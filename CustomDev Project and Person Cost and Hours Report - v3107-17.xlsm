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chartsheets/sheet1.xml" ContentType="application/vnd.openxmlformats-officedocument.spreadsheetml.chart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tables/table1.xml" ContentType="application/vnd.openxmlformats-officedocument.spreadsheetml.table+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tables/table2.xml" ContentType="application/vnd.openxmlformats-officedocument.spreadsheetml.table+xml"/>
  <Override PartName="/xl/slicers/slicer3.xml" ContentType="application/vnd.ms-excel.slicer+xml"/>
  <Override PartName="/xl/drawings/drawing5.xml" ContentType="application/vnd.openxmlformats-officedocument.drawing+xml"/>
  <Override PartName="/xl/tables/table3.xml" ContentType="application/vnd.openxmlformats-officedocument.spreadsheetml.table+xml"/>
  <Override PartName="/xl/slicers/slicer4.xml" ContentType="application/vnd.ms-excel.slicer+xml"/>
  <Override PartName="/xl/tables/table4.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hidePivotFieldList="1"/>
  <mc:AlternateContent xmlns:mc="http://schemas.openxmlformats.org/markup-compatibility/2006">
    <mc:Choice Requires="x15">
      <x15ac:absPath xmlns:x15ac="http://schemas.microsoft.com/office/spreadsheetml/2010/11/ac" url="https://awaraitkz-my.sharepoint.com/personal/andrey_erofeev_awara-it_com/Documents/Документы/___PMO/"/>
    </mc:Choice>
  </mc:AlternateContent>
  <xr:revisionPtr revIDLastSave="83" documentId="8_{10B3947C-1075-45CB-A0D9-C189BFEFDDDB}" xr6:coauthVersionLast="47" xr6:coauthVersionMax="47" xr10:uidLastSave="{161FC9AF-86AA-4EC8-A4F1-8C47B43660C0}"/>
  <bookViews>
    <workbookView xWindow="-120" yWindow="-120" windowWidth="29040" windowHeight="15720" tabRatio="808" activeTab="7" xr2:uid="{09300067-5722-4CFF-830C-24F5FDD623B0}"/>
  </bookViews>
  <sheets>
    <sheet name="PivotReport" sheetId="882" r:id="rId1"/>
    <sheet name="MonthlySummary" sheetId="883" r:id="rId2"/>
    <sheet name="ProjectMarginReport" sheetId="884" r:id="rId3"/>
    <sheet name="Руководство пользователя" sheetId="9" r:id="rId4"/>
    <sheet name="Chart1" sheetId="3" state="hidden" r:id="rId5"/>
    <sheet name="SpentTimeData" sheetId="1" r:id="rId6"/>
    <sheet name="ServiceData" sheetId="11" r:id="rId7"/>
    <sheet name="Config" sheetId="2" r:id="rId8"/>
    <sheet name="Rates" sheetId="310" r:id="rId9"/>
    <sheet name="ProjectPrices" sheetId="378" r:id="rId10"/>
  </sheets>
  <functionGroups builtInGroupCount="19"/>
  <definedNames>
    <definedName name="_xlnm._FilterDatabase" localSheetId="5" hidden="1">SpentTimeData!#REF!</definedName>
    <definedName name="Slicer_Project_Name">#N/A</definedName>
    <definedName name="Slicer_Project_Name1">#N/A</definedName>
    <definedName name="Slicer_ReportMonth">#N/A</definedName>
    <definedName name="Slicer_ReportMonth1">#N/A</definedName>
    <definedName name="Slicer_StartDate">#N/A</definedName>
    <definedName name="Slicer_User_Name">#N/A</definedName>
    <definedName name="Slicer_User_Name1">#N/A</definedName>
    <definedName name="Slicer_User_Name2">#N/A</definedName>
    <definedName name="Slicer_Проект">#N/A</definedName>
  </definedNames>
  <calcPr calcId="191029"/>
  <pivotCaches>
    <pivotCache cacheId="6" r:id="rId11"/>
  </pivotCaches>
  <extLst>
    <ext xmlns:x14="http://schemas.microsoft.com/office/spreadsheetml/2009/9/main" uri="{BBE1A952-AA13-448e-AADC-164F8A28A991}">
      <x14:slicerCaches>
        <x14:slicerCache r:id="rId12"/>
        <x14:slicerCache r:id="rId13"/>
        <x14:slicerCache r:id="rId14"/>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5"/>
        <x14:slicerCache r:id="rId16"/>
        <x14:slicerCache r:id="rId17"/>
        <x14:slicerCache r:id="rId18"/>
        <x14:slicerCache r:id="rId19"/>
        <x14:slicerCache r:id="rId20"/>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5" i="884" l="1"/>
  <c r="E5" i="884" s="1"/>
  <c r="D9" i="884"/>
  <c r="E9" i="884" s="1"/>
  <c r="D3" i="884"/>
  <c r="E3" i="884" s="1"/>
  <c r="D2" i="884"/>
  <c r="E2" i="884" s="1"/>
  <c r="D13" i="884"/>
  <c r="E13" i="884" s="1"/>
  <c r="D11" i="884"/>
  <c r="E11" i="884" s="1"/>
  <c r="E23" i="884"/>
  <c r="D23" i="884"/>
  <c r="D27" i="884"/>
  <c r="E27" i="884" s="1"/>
  <c r="D10" i="884"/>
  <c r="E10" i="884" s="1"/>
  <c r="D20" i="884"/>
  <c r="E20" i="884" s="1"/>
  <c r="D22" i="884"/>
  <c r="E22" i="884" s="1"/>
  <c r="D25" i="884"/>
  <c r="E25" i="884" s="1"/>
  <c r="D18" i="884"/>
  <c r="E18" i="884" s="1"/>
  <c r="D14" i="884"/>
  <c r="E14" i="884" s="1"/>
  <c r="D15" i="884"/>
  <c r="E15" i="884" s="1"/>
  <c r="D16" i="884"/>
  <c r="E16" i="884" s="1"/>
  <c r="D6" i="884"/>
  <c r="E6" i="884" s="1"/>
  <c r="D28" i="884"/>
  <c r="E28" i="884" s="1"/>
  <c r="D21" i="884"/>
  <c r="E21" i="884" s="1"/>
  <c r="D24" i="884"/>
  <c r="E24" i="884" s="1"/>
  <c r="D26" i="884"/>
  <c r="E26" i="884" s="1"/>
  <c r="D19" i="884"/>
  <c r="E19" i="884" s="1"/>
  <c r="D12" i="884"/>
  <c r="E12" i="884" s="1"/>
  <c r="D17" i="884"/>
  <c r="E17" i="884" s="1"/>
  <c r="D7" i="884"/>
  <c r="E7" i="884" s="1"/>
  <c r="D29" i="884"/>
  <c r="E29" i="884" s="1"/>
  <c r="D8" i="884"/>
  <c r="E8" i="884" s="1"/>
  <c r="D4" i="884"/>
  <c r="E4" i="884" s="1"/>
  <c r="C26" i="310"/>
  <c r="C5" i="310" l="1"/>
  <c r="C21" i="310"/>
  <c r="C20" i="310"/>
  <c r="C9" i="310"/>
  <c r="C11" i="310"/>
  <c r="C3" i="310"/>
  <c r="B28" i="2" l="1"/>
  <c r="B27" i="2"/>
  <c r="B26" i="2"/>
  <c r="B25" i="2" l="1"/>
  <c r="B17" i="2"/>
  <c r="B18" i="2"/>
  <c r="B19" i="2"/>
  <c r="B20" i="2"/>
  <c r="B21" i="2"/>
  <c r="B22" i="2"/>
  <c r="B23" i="2"/>
  <c r="B24" i="2"/>
  <c r="B10" i="2"/>
  <c r="B11" i="2"/>
  <c r="B12" i="2"/>
  <c r="B13" i="2"/>
  <c r="B14" i="2"/>
  <c r="B15" i="2"/>
  <c r="B16" i="2"/>
  <c r="B9" i="2"/>
</calcChain>
</file>

<file path=xl/sharedStrings.xml><?xml version="1.0" encoding="utf-8"?>
<sst xmlns="http://schemas.openxmlformats.org/spreadsheetml/2006/main" count="7440" uniqueCount="1097">
  <si>
    <t>Setting</t>
  </si>
  <si>
    <t>Value</t>
  </si>
  <si>
    <t>Easy Redmine URL</t>
  </si>
  <si>
    <t>API Access Key</t>
  </si>
  <si>
    <t>Start Date (YYYY-MM-DD)</t>
  </si>
  <si>
    <t>End Date (YYYY-MM-DD)</t>
  </si>
  <si>
    <t>Project ID (Optional)</t>
  </si>
  <si>
    <t>https://easyredmine.awara.pro</t>
  </si>
  <si>
    <t>Entry ID</t>
  </si>
  <si>
    <t>Project Name</t>
  </si>
  <si>
    <t>Issue ID</t>
  </si>
  <si>
    <t>User Name</t>
  </si>
  <si>
    <t>Activity</t>
  </si>
  <si>
    <t>Date</t>
  </si>
  <si>
    <t>Hours</t>
  </si>
  <si>
    <t>Comments</t>
  </si>
  <si>
    <t>Created On</t>
  </si>
  <si>
    <t>763c9fa14fcc0343773389494e8ba3004ef3cd65</t>
  </si>
  <si>
    <t>Внутренняя деятельность/Internal</t>
  </si>
  <si>
    <t>Внутренняя деятельность</t>
  </si>
  <si>
    <t>TotalDict-2024-2025-SUP</t>
  </si>
  <si>
    <t>Vadim Bondar</t>
  </si>
  <si>
    <t>Работа</t>
  </si>
  <si>
    <t>Konnect-001-PRJ-WD</t>
  </si>
  <si>
    <t>Terra-HouseMgmt-2-Analytics</t>
  </si>
  <si>
    <t>Julia Shutova</t>
  </si>
  <si>
    <t>Mikhail Yurchenko</t>
  </si>
  <si>
    <t>Lev Totok</t>
  </si>
  <si>
    <t>Predubezhdai-001-SUP</t>
  </si>
  <si>
    <t>Bork-001-PRJ-WMS</t>
  </si>
  <si>
    <t>Amirjon Holikov</t>
  </si>
  <si>
    <t>CustomDev_R&amp;D</t>
  </si>
  <si>
    <t>Andrey Erofeev</t>
  </si>
  <si>
    <t>Aleksandr Dmitriev</t>
  </si>
  <si>
    <t>CustomDev_Presales</t>
  </si>
  <si>
    <t>Terra-HouseMgmt-Dev</t>
  </si>
  <si>
    <t>Mikhail Pavlukhin</t>
  </si>
  <si>
    <t>Nikita Avdonin</t>
  </si>
  <si>
    <t>Spimex-001-Inkomand-HLD</t>
  </si>
  <si>
    <t>Dmitry Barabin</t>
  </si>
  <si>
    <t>BLT-011-PRJ-DS18</t>
  </si>
  <si>
    <t>Mikhail Matyasov</t>
  </si>
  <si>
    <t>Oleg Rybikov</t>
  </si>
  <si>
    <t>Alexandra Dementieva</t>
  </si>
  <si>
    <t>Sergey Lychagin</t>
  </si>
  <si>
    <t>Finist-001-PRJ-DEV</t>
  </si>
  <si>
    <t>Timofey Kochetkov</t>
  </si>
  <si>
    <t>Konnect-002-PRJ-PoC</t>
  </si>
  <si>
    <t>ROSKOSMOS-RU-002-PRJ-DEV</t>
  </si>
  <si>
    <t>Amir Khalikov</t>
  </si>
  <si>
    <t>ErtaShoes-001-SUP</t>
  </si>
  <si>
    <t>User Names to Fetch</t>
  </si>
  <si>
    <r>
      <rPr>
        <b/>
        <sz val="11"/>
        <color theme="1"/>
        <rFont val="Aptos Narrow"/>
        <family val="2"/>
        <scheme val="minor"/>
      </rPr>
      <t>Краткое руководство пользователя</t>
    </r>
    <r>
      <rPr>
        <sz val="11"/>
        <color theme="1"/>
        <rFont val="Aptos Narrow"/>
        <family val="2"/>
        <charset val="204"/>
        <scheme val="minor"/>
      </rPr>
      <t xml:space="preserve">
Этот файл Excel имеет две основные функции:
1. Загрузка данных о списанном времени из Redmine.
2. Удаление записей из Redmine прямо из таблицы Excel.
</t>
    </r>
    <r>
      <rPr>
        <b/>
        <sz val="11"/>
        <color theme="1"/>
        <rFont val="Aptos Narrow"/>
        <family val="2"/>
        <scheme val="minor"/>
      </rPr>
      <t xml:space="preserve">
Первоначальная настройка (выполняется один раз)
</t>
    </r>
    <r>
      <rPr>
        <sz val="11"/>
        <color theme="1"/>
        <rFont val="Aptos Narrow"/>
        <family val="2"/>
        <charset val="204"/>
        <scheme val="minor"/>
      </rPr>
      <t>1. Откройте лист Config.
2. Заполните ячейку B2: Ваш URL для Easy Redmine (например, https://redmine.mycompany.com).
3. Заполните ячейку B3: Ваш личный API-ключ доступа.
4. В столбце A, начиная с ячейки A9, впишите имена и фамилии сотрудников, чьи записи вы хотите загружать.</t>
    </r>
  </si>
  <si>
    <t>Процесс работы</t>
  </si>
  <si>
    <t>Project ID</t>
  </si>
  <si>
    <t>Demo stand</t>
  </si>
  <si>
    <t xml:space="preserve">Finist </t>
  </si>
  <si>
    <t>Konnect</t>
  </si>
  <si>
    <t>Predubezhdai</t>
  </si>
  <si>
    <t>Terra</t>
  </si>
  <si>
    <t>HouseMgmt-Estimate-Audit</t>
  </si>
  <si>
    <t>Total Dictation</t>
  </si>
  <si>
    <t>User ID</t>
  </si>
  <si>
    <t>Activity Name</t>
  </si>
  <si>
    <t>Activity ID</t>
  </si>
  <si>
    <t>Paid hours</t>
  </si>
  <si>
    <t>Action</t>
  </si>
  <si>
    <t>Anastasia Remish</t>
  </si>
  <si>
    <t>Sergey Grudinkin</t>
  </si>
  <si>
    <t>Alexey Anisimov</t>
  </si>
  <si>
    <t>Natalia Bolshakova</t>
  </si>
  <si>
    <t>Nikolay Vityuk</t>
  </si>
  <si>
    <t>Yuriy Kondrashin</t>
  </si>
  <si>
    <t>Oksana Printseva</t>
  </si>
  <si>
    <t>Sergey Mazanik</t>
  </si>
  <si>
    <t>Olga Chechil</t>
  </si>
  <si>
    <t>Elena Malysheva</t>
  </si>
  <si>
    <t>Nikolay Nenenko</t>
  </si>
  <si>
    <t>Anna Zamoshnik</t>
  </si>
  <si>
    <t>Roman Korneev</t>
  </si>
  <si>
    <t>Alexander Vinokurov</t>
  </si>
  <si>
    <t>Kristina Osennikova</t>
  </si>
  <si>
    <t>Olga Pak</t>
  </si>
  <si>
    <t>Marina Shilova</t>
  </si>
  <si>
    <t>Anastasia Ishkuatova</t>
  </si>
  <si>
    <t>Vitalii Nevesenko</t>
  </si>
  <si>
    <t>Natalia Krasnikova</t>
  </si>
  <si>
    <t>Aleksandr Kapralov</t>
  </si>
  <si>
    <t>Alexander Kurakin</t>
  </si>
  <si>
    <t>Ruslan Stanchik</t>
  </si>
  <si>
    <t>Arlan Zhumagulov</t>
  </si>
  <si>
    <t>Alina Pankina</t>
  </si>
  <si>
    <t>Pavel Gerasimov</t>
  </si>
  <si>
    <t>Andrey Sovetnikov</t>
  </si>
  <si>
    <t>Olga Vlasova</t>
  </si>
  <si>
    <t>Polina Lipnyagova</t>
  </si>
  <si>
    <t>Anna Davydova</t>
  </si>
  <si>
    <t>Stepan Saveliev</t>
  </si>
  <si>
    <t>Alexander Chizh</t>
  </si>
  <si>
    <t>Petr Gorshkov</t>
  </si>
  <si>
    <t>Maxim Gugaev</t>
  </si>
  <si>
    <t>Nikolay Yarygin</t>
  </si>
  <si>
    <t>Andrey Baludin</t>
  </si>
  <si>
    <t>Yulia Titova</t>
  </si>
  <si>
    <t>Denis Davydyuk</t>
  </si>
  <si>
    <t>Andrey Zhileev</t>
  </si>
  <si>
    <t>Ekaterina Mihajlova</t>
  </si>
  <si>
    <t>Elena Pivkina</t>
  </si>
  <si>
    <t>Anna Lebedeva</t>
  </si>
  <si>
    <t>Evgeny Dmitriev</t>
  </si>
  <si>
    <t>Valentin Andreev</t>
  </si>
  <si>
    <t>Alexei Rodchenkov</t>
  </si>
  <si>
    <t>Ilya Kolosov</t>
  </si>
  <si>
    <t>Dmitry Savintsev</t>
  </si>
  <si>
    <t>Nadezhda Kireyeva</t>
  </si>
  <si>
    <t>Dmitry Vlasov</t>
  </si>
  <si>
    <t>Mikhail Ilyin</t>
  </si>
  <si>
    <t>Marina Samsonova</t>
  </si>
  <si>
    <t>Irina Yurkova</t>
  </si>
  <si>
    <t>Ruslan Kashapov</t>
  </si>
  <si>
    <t>Georgiy Politov</t>
  </si>
  <si>
    <t>Alexandra Toropchinova</t>
  </si>
  <si>
    <t>Ivan Zamoshnik</t>
  </si>
  <si>
    <t>Arsen Zhamshitov</t>
  </si>
  <si>
    <t>Leonid Rusakov</t>
  </si>
  <si>
    <t>Maria Pobylitsa</t>
  </si>
  <si>
    <t>Gennady Leonov</t>
  </si>
  <si>
    <t>Aliya Salikhova</t>
  </si>
  <si>
    <t>Margarita Kruglikova</t>
  </si>
  <si>
    <t>Vadim Karimov</t>
  </si>
  <si>
    <t>Marina Ozhegova</t>
  </si>
  <si>
    <t>Ainura Togisbayeva</t>
  </si>
  <si>
    <t>Elena Nadzhapova</t>
  </si>
  <si>
    <t>Alexander Kuznetsov</t>
  </si>
  <si>
    <t>Ekaterina Timofeeva</t>
  </si>
  <si>
    <t>Dmitry Perminov</t>
  </si>
  <si>
    <t>Alexander Peters</t>
  </si>
  <si>
    <t>Marina Starostenko</t>
  </si>
  <si>
    <t>Ekaterina Laponova</t>
  </si>
  <si>
    <t>Maxim Sokolov</t>
  </si>
  <si>
    <t>Denis Rodionov</t>
  </si>
  <si>
    <t>Tatiana Kostruleva</t>
  </si>
  <si>
    <t>Alexander Shinkorenko</t>
  </si>
  <si>
    <t>Alexander Pashkovsky</t>
  </si>
  <si>
    <t>Dmitry Ovsyannikov</t>
  </si>
  <si>
    <t>Elena Belyaeva</t>
  </si>
  <si>
    <t>Anastasia Kuzmich</t>
  </si>
  <si>
    <t>Galina Ilyina</t>
  </si>
  <si>
    <t>Alexander Krylov</t>
  </si>
  <si>
    <t>Valeria Ryseva</t>
  </si>
  <si>
    <t>Anastasia Lavrik</t>
  </si>
  <si>
    <t>Julia Kolesnik</t>
  </si>
  <si>
    <t>Ilya Gorbenko</t>
  </si>
  <si>
    <t>Adema Sharipova</t>
  </si>
  <si>
    <t>Maksim Kasatkin</t>
  </si>
  <si>
    <t>Alexander Budennyy</t>
  </si>
  <si>
    <t>Gleb Verevkin</t>
  </si>
  <si>
    <t>Marina Shitova</t>
  </si>
  <si>
    <t>Saveliy Gudz</t>
  </si>
  <si>
    <t>Kuralbek Agubaev</t>
  </si>
  <si>
    <t>Julia Prozorova</t>
  </si>
  <si>
    <t>Veronika Paponina</t>
  </si>
  <si>
    <t>Dmitriy Sukhoterin</t>
  </si>
  <si>
    <t>Alexandra Adzhovskaya</t>
  </si>
  <si>
    <t>Mikhail Trifonov</t>
  </si>
  <si>
    <t>Eugeniy Gilevych</t>
  </si>
  <si>
    <t>Grigory Danchenko</t>
  </si>
  <si>
    <t>Aleksei Chechil</t>
  </si>
  <si>
    <t>Pavel Klevtsov</t>
  </si>
  <si>
    <t>Nikita Semenyuk</t>
  </si>
  <si>
    <t>Vladislav Skulachenko</t>
  </si>
  <si>
    <t>Artem Klemchuk</t>
  </si>
  <si>
    <t>Iliya Fertikov</t>
  </si>
  <si>
    <t>Islam Khafizov</t>
  </si>
  <si>
    <t>Uliana Suhova</t>
  </si>
  <si>
    <t>Ekaterina Zinevich</t>
  </si>
  <si>
    <t>Lidiya Voskresenskaya</t>
  </si>
  <si>
    <t>Karina Chobanu</t>
  </si>
  <si>
    <t>Anton Sarnovsky</t>
  </si>
  <si>
    <t>Arseniy Muravyov</t>
  </si>
  <si>
    <t>Sergey Zolotyh</t>
  </si>
  <si>
    <t>Ellina Islamova</t>
  </si>
  <si>
    <t>Maria Malakhova</t>
  </si>
  <si>
    <t>Kirill Savin</t>
  </si>
  <si>
    <t>Kseniya Shakirzyanova</t>
  </si>
  <si>
    <t>Maxim Alexandrov</t>
  </si>
  <si>
    <t>Maxim Mishin</t>
  </si>
  <si>
    <t>Roman Lukyanchikov</t>
  </si>
  <si>
    <t>Anton Stepanov</t>
  </si>
  <si>
    <t>Alexander Smolin</t>
  </si>
  <si>
    <t>Dmitry Zolotov</t>
  </si>
  <si>
    <t>Victoria Kadyrova</t>
  </si>
  <si>
    <t>Mikhail Dmitriev</t>
  </si>
  <si>
    <t>Zhenya Ivanova</t>
  </si>
  <si>
    <t>Anna Pugacheva</t>
  </si>
  <si>
    <t>Fedor Bazlov</t>
  </si>
  <si>
    <t>Elizaveta Totok</t>
  </si>
  <si>
    <t>Ilya Latypov</t>
  </si>
  <si>
    <t>Tatiana Gubina</t>
  </si>
  <si>
    <t>Eugeniia Zhuyko</t>
  </si>
  <si>
    <t>Mikhail Rakitsky</t>
  </si>
  <si>
    <t>Denis Belov</t>
  </si>
  <si>
    <t>Arman Kizatov</t>
  </si>
  <si>
    <t>Ekaterina Sutyagina</t>
  </si>
  <si>
    <t>Anastasia Averkina</t>
  </si>
  <si>
    <t>Oleg Spasitelev</t>
  </si>
  <si>
    <t>Alexander Kiryushin</t>
  </si>
  <si>
    <t>Darya Utlik</t>
  </si>
  <si>
    <t>Denis Timoshenko</t>
  </si>
  <si>
    <t>Aleksei Czeslawski</t>
  </si>
  <si>
    <t>Konstantin Savergin</t>
  </si>
  <si>
    <t>Yana Vlasova</t>
  </si>
  <si>
    <t>Alexey Yandola</t>
  </si>
  <si>
    <t>Katerina Chernevskaya</t>
  </si>
  <si>
    <t>Danila Efremov</t>
  </si>
  <si>
    <t>Valeria Montagut</t>
  </si>
  <si>
    <t>Dmitry Ignatiev</t>
  </si>
  <si>
    <t>Ekaterina Trushkina</t>
  </si>
  <si>
    <t>Diana Alpatova</t>
  </si>
  <si>
    <t>Anastasiya Lyakina</t>
  </si>
  <si>
    <t>Nikita Solovyev</t>
  </si>
  <si>
    <t>Andrey Fedotov</t>
  </si>
  <si>
    <t>Natalia Duganova</t>
  </si>
  <si>
    <t>Evgeny Yarusov</t>
  </si>
  <si>
    <t>Ekaterina Kirman</t>
  </si>
  <si>
    <t>Kristina Ushakova</t>
  </si>
  <si>
    <t>Tatiana Zaitseva</t>
  </si>
  <si>
    <t>Pavel Sasim</t>
  </si>
  <si>
    <t>Veronika Shelkovina</t>
  </si>
  <si>
    <t>Lyudmila Koroleva</t>
  </si>
  <si>
    <t>Denis Gulyaev</t>
  </si>
  <si>
    <t>Alice Boyarkina</t>
  </si>
  <si>
    <t>Nurbek Kambarbek</t>
  </si>
  <si>
    <t>Maria Petrova</t>
  </si>
  <si>
    <t>Tatiana Kozhanova</t>
  </si>
  <si>
    <t>User ID (lookup from ServiceData)</t>
  </si>
  <si>
    <t>Column Labels</t>
  </si>
  <si>
    <t>Row Labels</t>
  </si>
  <si>
    <t>Grand Total</t>
  </si>
  <si>
    <t>Май 2025</t>
  </si>
  <si>
    <t>Загрузка данных из Redmine и формирование отчетов</t>
  </si>
  <si>
    <t>Загрузка данных из Redmine</t>
  </si>
  <si>
    <r>
      <t xml:space="preserve">1. Перейдите на лист Config.
2. Установите нужный диапазон дат в ячейках B4 (Дата С) и B5 (Дата ПО).
3. При необходимости укажите ID проекта в ячейке B6 для фильтрации только по нему.
4. Нажмите Alt + F8, чтобы открыть окно макросов.
5. Выберите макрос </t>
    </r>
    <r>
      <rPr>
        <b/>
        <sz val="11"/>
        <color theme="1"/>
        <rFont val="Aptos Narrow"/>
        <family val="2"/>
        <scheme val="minor"/>
      </rPr>
      <t>RunFullProcess_And_CreateReports</t>
    </r>
    <r>
      <rPr>
        <sz val="11"/>
        <color theme="1"/>
        <rFont val="Aptos Narrow"/>
        <family val="2"/>
        <charset val="204"/>
        <scheme val="minor"/>
      </rPr>
      <t xml:space="preserve"> и нажмите "Выполнить".
6. Дождитесь сообщения о завершении. Все найденные данные появятся на листе SpentTimeData.
</t>
    </r>
    <r>
      <rPr>
        <b/>
        <sz val="11"/>
        <color theme="1"/>
        <rFont val="Aptos Narrow"/>
        <family val="2"/>
        <scheme val="minor"/>
      </rPr>
      <t>В результате:</t>
    </r>
    <r>
      <rPr>
        <sz val="11"/>
        <color theme="1"/>
        <rFont val="Aptos Narrow"/>
        <family val="2"/>
        <charset val="204"/>
        <scheme val="minor"/>
      </rPr>
      <t xml:space="preserve">
1. обновляется лист SpentTimeData
2. формируется лист ServiceData - имена проектов и их айди, пользователи и их айди - НЕ МЕНЯТЬ вручную
3. формируется пивот на листе PivotReport (и кнопка для перезапуска обновления и генерации отчетов)
4. формируется лист MonthlyReport 
</t>
    </r>
  </si>
  <si>
    <r>
      <t xml:space="preserve">1. Убедитесь, что на листе </t>
    </r>
    <r>
      <rPr>
        <b/>
        <sz val="11"/>
        <color theme="1"/>
        <rFont val="Aptos Narrow"/>
        <family val="2"/>
        <scheme val="minor"/>
      </rPr>
      <t>SpentTimeData</t>
    </r>
    <r>
      <rPr>
        <sz val="11"/>
        <color theme="1"/>
        <rFont val="Aptos Narrow"/>
        <family val="2"/>
        <charset val="204"/>
        <scheme val="minor"/>
      </rPr>
      <t xml:space="preserve"> находятся актуальные данные.
2. Найдите строку, которую хотите удалить.
3. В столбце </t>
    </r>
    <r>
      <rPr>
        <b/>
        <sz val="11"/>
        <color theme="1"/>
        <rFont val="Aptos Narrow"/>
        <family val="2"/>
        <scheme val="minor"/>
      </rPr>
      <t>Action</t>
    </r>
    <r>
      <rPr>
        <sz val="11"/>
        <color theme="1"/>
        <rFont val="Aptos Narrow"/>
        <family val="2"/>
        <charset val="204"/>
        <scheme val="minor"/>
      </rPr>
      <t xml:space="preserve"> для этой строки напишите команду </t>
    </r>
    <r>
      <rPr>
        <b/>
        <sz val="11"/>
        <color theme="1"/>
        <rFont val="Aptos Narrow"/>
        <family val="2"/>
        <scheme val="minor"/>
      </rPr>
      <t>delete</t>
    </r>
    <r>
      <rPr>
        <sz val="11"/>
        <color theme="1"/>
        <rFont val="Aptos Narrow"/>
        <family val="2"/>
        <charset val="204"/>
        <scheme val="minor"/>
      </rPr>
      <t xml:space="preserve">
4. Нажмите Alt + F8, чтобы открыть окно макросов.
5. Выберите макрос </t>
    </r>
    <r>
      <rPr>
        <b/>
        <sz val="11"/>
        <color theme="1"/>
        <rFont val="Aptos Narrow"/>
        <family val="2"/>
        <scheme val="minor"/>
      </rPr>
      <t>SyncWithRedmine</t>
    </r>
    <r>
      <rPr>
        <sz val="11"/>
        <color theme="1"/>
        <rFont val="Aptos Narrow"/>
        <family val="2"/>
        <charset val="204"/>
        <scheme val="minor"/>
      </rPr>
      <t xml:space="preserve"> и нажмите "Выполнить".
</t>
    </r>
    <r>
      <rPr>
        <b/>
        <sz val="11"/>
        <color theme="1"/>
        <rFont val="Aptos Narrow"/>
        <family val="2"/>
        <scheme val="minor"/>
      </rPr>
      <t xml:space="preserve">Результат: Макрос создаст помеченные записи. В столбце J статус изменится на "Created" (зеленый фон) для успешно удаленных или "Error" (красный фон) для неудачных попыток.
</t>
    </r>
  </si>
  <si>
    <r>
      <t xml:space="preserve">1. Убедитесь, что на листе </t>
    </r>
    <r>
      <rPr>
        <b/>
        <sz val="11"/>
        <color theme="1"/>
        <rFont val="Aptos Narrow"/>
        <family val="2"/>
        <scheme val="minor"/>
      </rPr>
      <t>SpentTimeData</t>
    </r>
    <r>
      <rPr>
        <sz val="11"/>
        <color theme="1"/>
        <rFont val="Aptos Narrow"/>
        <family val="2"/>
        <charset val="204"/>
        <scheme val="minor"/>
      </rPr>
      <t xml:space="preserve"> находятся актуальные данные.
2. Найдите строку, которую хотите удалить.
3. В столбце Action для этой строки напишите команду </t>
    </r>
    <r>
      <rPr>
        <b/>
        <sz val="11"/>
        <color theme="1"/>
        <rFont val="Aptos Narrow"/>
        <family val="2"/>
        <scheme val="minor"/>
      </rPr>
      <t>delete</t>
    </r>
    <r>
      <rPr>
        <sz val="11"/>
        <color theme="1"/>
        <rFont val="Aptos Narrow"/>
        <family val="2"/>
        <charset val="204"/>
        <scheme val="minor"/>
      </rPr>
      <t xml:space="preserve">
4. Нажмите Alt + F8, чтобы открыть окно макросов.
5. Выберите макрос </t>
    </r>
    <r>
      <rPr>
        <b/>
        <sz val="11"/>
        <color theme="1"/>
        <rFont val="Aptos Narrow"/>
        <family val="2"/>
        <scheme val="minor"/>
      </rPr>
      <t>SyncWithRedmine</t>
    </r>
    <r>
      <rPr>
        <sz val="11"/>
        <color theme="1"/>
        <rFont val="Aptos Narrow"/>
        <family val="2"/>
        <charset val="204"/>
        <scheme val="minor"/>
      </rPr>
      <t xml:space="preserve"> и нажмите "Выполнить".
6. Появится окно с запросом на подтверждение. Внимательно прочтите его! Если вы уверены, нажмите "Да".
</t>
    </r>
    <r>
      <rPr>
        <b/>
        <sz val="11"/>
        <color theme="1"/>
        <rFont val="Aptos Narrow"/>
        <family val="2"/>
        <scheme val="minor"/>
      </rPr>
      <t xml:space="preserve">Результат: Макрос удалит помеченные записи. В столбце J статус изменится на "Deleted" (зеленый фон) для успешно удаленных или "Error" (красный фон) для неудачных попыток.
</t>
    </r>
  </si>
  <si>
    <r>
      <t xml:space="preserve">1. Убедитесь, что на листе </t>
    </r>
    <r>
      <rPr>
        <b/>
        <sz val="11"/>
        <color theme="1"/>
        <rFont val="Aptos Narrow"/>
        <family val="2"/>
        <scheme val="minor"/>
      </rPr>
      <t>SpentTimeData</t>
    </r>
    <r>
      <rPr>
        <sz val="11"/>
        <color theme="1"/>
        <rFont val="Aptos Narrow"/>
        <family val="2"/>
        <charset val="204"/>
        <scheme val="minor"/>
      </rPr>
      <t xml:space="preserve"> находятся актуальные данные.
2. Найдите строку, которую хотите изменить.
3. Измените значения в столбцах </t>
    </r>
    <r>
      <rPr>
        <b/>
        <sz val="11"/>
        <color theme="1"/>
        <rFont val="Aptos Narrow"/>
        <family val="2"/>
        <scheme val="minor"/>
      </rPr>
      <t>Hours, Paid hours или Comments</t>
    </r>
    <r>
      <rPr>
        <sz val="11"/>
        <color theme="1"/>
        <rFont val="Aptos Narrow"/>
        <family val="2"/>
        <charset val="204"/>
        <scheme val="minor"/>
      </rPr>
      <t xml:space="preserve">. Важно: не меняйте проект, пользователя или задачу для существующей записи или дату (это пока не учитывается).
4. В столбце </t>
    </r>
    <r>
      <rPr>
        <b/>
        <sz val="11"/>
        <color theme="1"/>
        <rFont val="Aptos Narrow"/>
        <family val="2"/>
        <scheme val="minor"/>
      </rPr>
      <t>Action</t>
    </r>
    <r>
      <rPr>
        <sz val="11"/>
        <color theme="1"/>
        <rFont val="Aptos Narrow"/>
        <family val="2"/>
        <charset val="204"/>
        <scheme val="minor"/>
      </rPr>
      <t xml:space="preserve"> для этой строки напишите команду </t>
    </r>
    <r>
      <rPr>
        <b/>
        <sz val="11"/>
        <color theme="1"/>
        <rFont val="Aptos Narrow"/>
        <family val="2"/>
        <scheme val="minor"/>
      </rPr>
      <t xml:space="preserve">update
</t>
    </r>
    <r>
      <rPr>
        <sz val="11"/>
        <color theme="1"/>
        <rFont val="Aptos Narrow"/>
        <family val="2"/>
        <scheme val="minor"/>
      </rPr>
      <t xml:space="preserve">4. Нажмите Alt + F8, чтобы открыть окно макросов.
5. Выберите макрос </t>
    </r>
    <r>
      <rPr>
        <b/>
        <sz val="11"/>
        <color theme="1"/>
        <rFont val="Aptos Narrow"/>
        <family val="2"/>
        <scheme val="minor"/>
      </rPr>
      <t>SyncWithRedmine</t>
    </r>
    <r>
      <rPr>
        <sz val="11"/>
        <color theme="1"/>
        <rFont val="Aptos Narrow"/>
        <family val="2"/>
        <scheme val="minor"/>
      </rPr>
      <t xml:space="preserve"> и нажмите "Выполнить".
</t>
    </r>
    <r>
      <rPr>
        <b/>
        <sz val="11"/>
        <color theme="1"/>
        <rFont val="Aptos Narrow"/>
        <family val="2"/>
        <scheme val="minor"/>
      </rPr>
      <t xml:space="preserve">
Результат: Макрос изменит помеченные записи. В столбце J статус изменится на "Updated" (зеленый фон) для успешно удаленных или "Error" (красный фон) для неудачных попыток.
</t>
    </r>
  </si>
  <si>
    <r>
      <t xml:space="preserve">Удаление 
записей из Redmine (При необходимости)
</t>
    </r>
    <r>
      <rPr>
        <b/>
        <sz val="11"/>
        <color rgb="FFFF0000"/>
        <rFont val="Aptos Narrow"/>
        <family val="2"/>
        <scheme val="minor"/>
      </rPr>
      <t>ВНИМАНИЕ! Это действие необратимо и навсегда удалит данные из Redmine.</t>
    </r>
  </si>
  <si>
    <r>
      <t xml:space="preserve">Изменение 
записей из Redmine (При необходимости)
</t>
    </r>
    <r>
      <rPr>
        <b/>
        <sz val="11"/>
        <color rgb="FFFF0000"/>
        <rFont val="Aptos Narrow"/>
        <family val="2"/>
        <scheme val="minor"/>
      </rPr>
      <t>ВНИМАНИЕ! Это действие необратимо изменит данные из Redmine.</t>
    </r>
  </si>
  <si>
    <r>
      <t xml:space="preserve">Создание
записей из Redmine (При необходимости)
</t>
    </r>
    <r>
      <rPr>
        <b/>
        <sz val="11"/>
        <color rgb="FFFF0000"/>
        <rFont val="Aptos Narrow"/>
        <family val="2"/>
        <scheme val="minor"/>
      </rPr>
      <t>ВНИМАНИЕ! Это действие создаст данные в Redmine.</t>
    </r>
  </si>
  <si>
    <t>Cerri</t>
  </si>
  <si>
    <t>CERRI-001-AUDIT-CD</t>
  </si>
  <si>
    <t xml:space="preserve">Freedom Finance </t>
  </si>
  <si>
    <t>Nur-Magomed Tasuev</t>
  </si>
  <si>
    <t>Finist-002-PRJ-DEV</t>
  </si>
  <si>
    <t>Tetra-2024-2025-SUP</t>
  </si>
  <si>
    <t>-</t>
  </si>
  <si>
    <t>Alexey Ponomarenko</t>
  </si>
  <si>
    <t>Boris Bartenev</t>
  </si>
  <si>
    <t>CABA_Presales</t>
  </si>
  <si>
    <t>StartDate</t>
  </si>
  <si>
    <t>Rate</t>
  </si>
  <si>
    <t>Cost</t>
  </si>
  <si>
    <t>Project Price</t>
  </si>
  <si>
    <t>Июнь 2025</t>
  </si>
  <si>
    <t>Январь 2025</t>
  </si>
  <si>
    <t>Февраль 2025</t>
  </si>
  <si>
    <t>Март 2025</t>
  </si>
  <si>
    <t>Апрель 2025</t>
  </si>
  <si>
    <t>01.01.2025</t>
  </si>
  <si>
    <t>Viktoriya IC</t>
  </si>
  <si>
    <t>IC Viktoriya-006-DC3</t>
  </si>
  <si>
    <t>SmartTechSol</t>
  </si>
  <si>
    <t>SmartTechSol-Dev-01</t>
  </si>
  <si>
    <t>Terra-Module-Dev-Client-01</t>
  </si>
  <si>
    <t>Производственный календарь (почасовка, 40 ч/н, РФ) - 2025</t>
  </si>
  <si>
    <t>Gross per month</t>
  </si>
  <si>
    <r>
      <t xml:space="preserve">1. Перейдите на лист Config.
2. Установите нужный диапазон дат в ячейках B4 (Дата С) и B5 (Дата ПО).
3. При необходимости укажите ID проекта в ячейке B6 для фильтрации только по нему.
4. На листе PivotReport нажимите кнопку обновить отчеты
</t>
    </r>
    <r>
      <rPr>
        <b/>
        <sz val="11"/>
        <color theme="1"/>
        <rFont val="Aptos Narrow"/>
        <family val="2"/>
        <scheme val="minor"/>
      </rPr>
      <t>В результате:</t>
    </r>
    <r>
      <rPr>
        <sz val="11"/>
        <color theme="1"/>
        <rFont val="Aptos Narrow"/>
        <family val="2"/>
        <charset val="204"/>
        <scheme val="minor"/>
      </rPr>
      <t xml:space="preserve">
1. обновляется лист SpentTimeData, PivotReport, MonthlySummary и ProjectMarginReport
2. формируется лист ServiceData - имена проектов и их айди, пользователи и их айди - НЕ МЕНЯТЬ вручную
</t>
    </r>
  </si>
  <si>
    <t>Имя пользователя</t>
  </si>
  <si>
    <t>Часы</t>
  </si>
  <si>
    <t>Оплач. ч.</t>
  </si>
  <si>
    <t>Проект</t>
  </si>
  <si>
    <t>Себестоимость</t>
  </si>
  <si>
    <t>Цена проекта</t>
  </si>
  <si>
    <t>Маржа</t>
  </si>
  <si>
    <t>01.05.2025</t>
  </si>
  <si>
    <t>01.03.2025</t>
  </si>
  <si>
    <t>% Маржа</t>
  </si>
  <si>
    <t xml:space="preserve">В связи с смертью владельца, счета не выставлены </t>
  </si>
  <si>
    <t>Комментарий</t>
  </si>
  <si>
    <t>Внутренняя нагрузка</t>
  </si>
  <si>
    <t>Пока непонятно по счетам и оплате</t>
  </si>
  <si>
    <t>Гарантийка, 2025</t>
  </si>
  <si>
    <t>CustomDev Daily Sync</t>
  </si>
  <si>
    <t>Погруждение в проект, освежаем в памяти все моменты разработки. Исследуем ТЗ-16</t>
  </si>
  <si>
    <t>R&amp;amp;D</t>
  </si>
  <si>
    <t>ежедейл</t>
  </si>
  <si>
    <t>траблшутинг, разворачивание бека для коннекта</t>
  </si>
  <si>
    <t>Подробности в ОР</t>
  </si>
  <si>
    <t>backend: доработка dgraph-wrapper, выделение процедур валидации из подготовки схемы</t>
  </si>
  <si>
    <t>Обсуждение внутри команды Реестра собственников + Дейлик</t>
  </si>
  <si>
    <t>Сессия вопросов и ответов</t>
  </si>
  <si>
    <t>Синк по интеграции системы лояльности с MAXMA</t>
  </si>
  <si>
    <t>Создание сервиса "меню"</t>
  </si>
  <si>
    <t>Подготовка к интервью, проведение к интервью, обсуждение результатов интервью с коллегами и подготовка отчета</t>
  </si>
  <si>
    <t>Внутренний синк</t>
  </si>
  <si>
    <t>Проектирование фичи, декомпозиция, обсуждение с командой</t>
  </si>
  <si>
    <t>бек интеграция, регионы, элементы, аддминка</t>
  </si>
  <si>
    <t>Коннект. Мит команды бек+фронт по работе беком локально</t>
  </si>
  <si>
    <t>работы связанные с аналитикой и спецификацией в проекте ЖКХ</t>
  </si>
  <si>
    <t>Созвон с фронтом, синхронизировались, собрали</t>
  </si>
  <si>
    <t>ревью</t>
  </si>
  <si>
    <t>Обсуждение проблем с ORM и путей решения</t>
  </si>
  <si>
    <t>backend: UC-2.34 доработка в dgraph-wrapper генерация полей во вложенных сущностях</t>
  </si>
  <si>
    <t>Исследование фичи, сбор требований</t>
  </si>
  <si>
    <t>Бек интеграция, страницы, меню</t>
  </si>
  <si>
    <t>Учебный отпуск.</t>
  </si>
  <si>
    <t>Финальная доработка, проверка и идентификация проблем dgraph</t>
  </si>
  <si>
    <t>Созвон с командой, обсуждение решения проблем ORM</t>
  </si>
  <si>
    <t>Подробная карточка Организации</t>
  </si>
  <si>
    <t>Синк с Вадимом по проекту</t>
  </si>
  <si>
    <t>Обсуждение создание Организации, Дейлик</t>
  </si>
  <si>
    <t>Созвон со Львом, проставил задачу рассказал как все работает</t>
  </si>
  <si>
    <t>Изучение проекта</t>
  </si>
  <si>
    <t>Настройки бека, докеры</t>
  </si>
  <si>
    <t>Созвон по текущим задачам</t>
  </si>
  <si>
    <t>Подготовка ответов на письмо Полины</t>
  </si>
  <si>
    <t>Доработка формы создания, журнала и создание подробной карточки (вкладка Общая информация)</t>
  </si>
  <si>
    <t>Обсуждение прогресса по аналитике</t>
  </si>
  <si>
    <t>Разработка футера.</t>
  </si>
  <si>
    <t>Встреча с подрядчиками MAXMA</t>
  </si>
  <si>
    <t>Настройка инфраструктуры под бек и админку, проблемы с докером</t>
  </si>
  <si>
    <t>Созвон с командой</t>
  </si>
  <si>
    <t>Создание Coockie-баннера</t>
  </si>
  <si>
    <t>Вычитка страниц Вики по UC: 2.40, 2.184</t>
  </si>
  <si>
    <t>Звонок по сущности Договор, Дейлик</t>
  </si>
  <si>
    <t>Исследование</t>
  </si>
  <si>
    <t>work</t>
  </si>
  <si>
    <t>Task planning and estimates</t>
  </si>
  <si>
    <t>Реестр собственников</t>
  </si>
  <si>
    <t>Task 1932</t>
  </si>
  <si>
    <t>Админка</t>
  </si>
  <si>
    <t>Коннект. Дейл по уточнения функционала с беком и фронтом</t>
  </si>
  <si>
    <t>Доработка журнала Договоров</t>
  </si>
  <si>
    <t>Созвон с Львом, расказал про проект, поставил задачи</t>
  </si>
  <si>
    <t>Исследование проекта</t>
  </si>
  <si>
    <t>Звонок по Типологиям</t>
  </si>
  <si>
    <t>Обсуждение с Димой Реестра собственников</t>
  </si>
  <si>
    <t>Создание формы создания Договора</t>
  </si>
  <si>
    <t>Подписание ДС</t>
  </si>
  <si>
    <t>Изучение бойлерплейта</t>
  </si>
  <si>
    <t>Оборудование. Детальный дизайн</t>
  </si>
  <si>
    <t>Обучение</t>
  </si>
  <si>
    <t>(П): UC-2.70 Актуализировать описание сущности клиент в схеме БД</t>
  </si>
  <si>
    <t>Коннект.Дейл по проекту, уточнения БЛ</t>
  </si>
  <si>
    <t>Созвон по формату данных для фронта</t>
  </si>
  <si>
    <t>Тарифы закончил, оборудование</t>
  </si>
  <si>
    <t>Тарифы. Детальный дизайн.</t>
  </si>
  <si>
    <t>Tasks 1932, 2818</t>
  </si>
  <si>
    <t>Созвон с фронтом</t>
  </si>
  <si>
    <t>Тарифы, тарифные планы, доп услуги, управление админки</t>
  </si>
  <si>
    <t xml:space="preserve">Тарифы. Детальный дизайн. </t>
  </si>
  <si>
    <t>Аналитика</t>
  </si>
  <si>
    <t>backend: автоматизация подготовки схемы валидации параметров</t>
  </si>
  <si>
    <t>Tasks 1932, 2402</t>
  </si>
  <si>
    <t>Созвон по тарифам</t>
  </si>
  <si>
    <t>Анализ апгрейда с Basic SKU до Standard SKU</t>
  </si>
  <si>
    <t>Feature #2796 деплой</t>
  </si>
  <si>
    <t>Feature #2383 деплой</t>
  </si>
  <si>
    <t>Демонстрация админка</t>
  </si>
  <si>
    <t>Мёрж бэкенда и инфраструктуры</t>
  </si>
  <si>
    <t>Спутники, проектирование тарифов, бд</t>
  </si>
  <si>
    <t>Карта покрытия. Детальный дизайн</t>
  </si>
  <si>
    <t>Звонок с заказчиком. Промежуточное демо</t>
  </si>
  <si>
    <t>Tasks 2402, 1932</t>
  </si>
  <si>
    <t>Tasks 2775, 1932, 2802</t>
  </si>
  <si>
    <t>Главная страница. Детальный анализ согласно бренд-буку</t>
  </si>
  <si>
    <t>деплой 2383 - Настроить просмотр фото каталога, не открывая карточку товара</t>
  </si>
  <si>
    <t>Админка, прикрутил к блокам федеральные округа, разный контент в зависимости от блока</t>
  </si>
  <si>
    <t>Главная страница. Детальный дизайн согласно бренд-буку</t>
  </si>
  <si>
    <t>коннект, внутреннее демо</t>
  </si>
  <si>
    <t>CustomDev Admin</t>
  </si>
  <si>
    <t>Адаптация старого UI Kit под бренд-бук заказчика. Доработка компонентов.</t>
  </si>
  <si>
    <t>backend: UC-2.30 реализовать прокси-сервис для работы с dadata для получения информации об организациях. Исправление комментов по МР, поиск и внедрение более оптимальной библиотеки для работы с датами</t>
  </si>
  <si>
    <t>строка формы, шаред компоненты для формы</t>
  </si>
  <si>
    <t>2710,блок формы, адаптив.БЛ</t>
  </si>
  <si>
    <t>Поднимали у Альберта сервер</t>
  </si>
  <si>
    <t>Поднимал сервер на wsl, тестировал деплой на тестовый стенд</t>
  </si>
  <si>
    <t>Подготовка предложений и встречи по не резидентам виктории</t>
  </si>
  <si>
    <t>Task 1420</t>
  </si>
  <si>
    <t>Task2775</t>
  </si>
  <si>
    <t>backend: UC-2.30 реализовать прокси-сервис для работы с dadata для получения информации об организациях. Разработка</t>
  </si>
  <si>
    <t>backend: UC-2.30 реализовать прокси-сервис для работы с dadata для получения информации об организациях. Тестирование и написание тестов</t>
  </si>
  <si>
    <t>Карта покрытия - Вводный блок с текстом и картинкой</t>
  </si>
  <si>
    <t>Блок поиска/добавления спутников</t>
  </si>
  <si>
    <t>Фикс проблем с докером и зависимостями, запуск проекта</t>
  </si>
  <si>
    <t>Попытка решить проблему с dns в wsl2</t>
  </si>
  <si>
    <t>Tasks 1420, 2774</t>
  </si>
  <si>
    <t>Системное администрирование</t>
  </si>
  <si>
    <t>Task 2402</t>
  </si>
  <si>
    <t>R&amp;amp;D, Task planning, Tech. support of users and etc.</t>
  </si>
  <si>
    <t>backend: автоматизация подготовки схемы валидации параметров. Изменение спецификации в рамках задачи</t>
  </si>
  <si>
    <t>https://projects-customdev.wone-it.ru/projects/konnect-website/work_packages/2706</t>
  </si>
  <si>
    <t>поправки и локальное тестирование</t>
  </si>
  <si>
    <t>поправки</t>
  </si>
  <si>
    <t>Тестирование и написание wiki. Task 1932</t>
  </si>
  <si>
    <t>Предварительный анализ ТЗ</t>
  </si>
  <si>
    <t>Развёртывание проекта, мёрж бэкенда и докер-файлов</t>
  </si>
  <si>
    <t>Оценки задачам на июнь</t>
  </si>
  <si>
    <t>ЖКХ, ревью работы аналитиков по формальному описанию юз кейсов, проектирование</t>
  </si>
  <si>
    <t>backend: UC-2.30 реализовать прокси-сервис для работы с dadata для получения информации об организациях</t>
  </si>
  <si>
    <t>Task: 1932</t>
  </si>
  <si>
    <t>Daily</t>
  </si>
  <si>
    <t>написание документации и пополнение постмана</t>
  </si>
  <si>
    <t>Изучение системы</t>
  </si>
  <si>
    <t>Добавить api contract tests на проект</t>
  </si>
  <si>
    <t>https://projects-customdev.wone-it.ru/projects/konnect-website/work_packages/2617</t>
  </si>
  <si>
    <t>backend: обновить версию dgraph и dgraph-js</t>
  </si>
  <si>
    <t>https://projects-customdev.wone-it.ru/projects/konnect-website/work_packages/2618/</t>
  </si>
  <si>
    <t>доработки</t>
  </si>
  <si>
    <t>Созвон с командой + встреча сотрудников компании</t>
  </si>
  <si>
    <t>UC 2.183, 2.153, 2.154</t>
  </si>
  <si>
    <t>ежедейд</t>
  </si>
  <si>
    <t>https://projects-customdev.wone-it.ru/projects/konnect-website/work_packages/2608</t>
  </si>
  <si>
    <t>https://projects-customdev.wone-it.ru/projects/konnect-website/work_packages/2623</t>
  </si>
  <si>
    <t>поправки и анализ ошибки</t>
  </si>
  <si>
    <t>https://projects-customdev.wone-it.ru/projects/konnect-website/work_packages/2603</t>
  </si>
  <si>
    <t>https://projects-customdev.wone-it.ru/projects/konnect-website/work_packages/2602</t>
  </si>
  <si>
    <t>траблшутинг</t>
  </si>
  <si>
    <t>синк с  Тимофеем - АПИ контракт тестинг</t>
  </si>
  <si>
    <t>декомпозиция задач в бэклоге ЖКХ</t>
  </si>
  <si>
    <t>ЖКХ, ревью работы аналитиков по формальному описанию юз кейсов</t>
  </si>
  <si>
    <t>https://projects-customdev.wone-it.ru/projects/konnect-website/work_packages/2614</t>
  </si>
  <si>
    <t>https://projects-customdev.wone-it.ru/projects/konnect-website/work_packages/2605</t>
  </si>
  <si>
    <t>Разработка и тестирование</t>
  </si>
  <si>
    <t>https://projects-customdev.wone-it.ru/projects/konnect-website/work_packages/2620</t>
  </si>
  <si>
    <t>анализ ошибки в запросах</t>
  </si>
  <si>
    <t>Изучение материалов, документации, систем</t>
  </si>
  <si>
    <t>Создание подробной карточки ЛС</t>
  </si>
  <si>
    <t>работа с требованиями  ФТ клиенты, ревью, проектирование</t>
  </si>
  <si>
    <t>Разработка</t>
  </si>
  <si>
    <t>*</t>
  </si>
  <si>
    <t>Изучение материалов и технологий, необходимых для работы в проекте</t>
  </si>
  <si>
    <t>вводный мит в коннект с командой фронтов</t>
  </si>
  <si>
    <t>analitics</t>
  </si>
  <si>
    <t>Обработка данных с аудита</t>
  </si>
  <si>
    <t>Поддержка клиента и работа над задачами</t>
  </si>
  <si>
    <t>Анализ ФТ клиенты, подготовка схем, проектирование</t>
  </si>
  <si>
    <t>Дейл вводная в "коннект", предоставление ресурсов с ТЗ</t>
  </si>
  <si>
    <t>разработка</t>
  </si>
  <si>
    <t>Обсуждение</t>
  </si>
  <si>
    <t>Анализ ФТ клиенты, ревью сервисы мониторинга асинхронных задач</t>
  </si>
  <si>
    <t>Добавить api contract tests на проект, поиск библиотек и решений</t>
  </si>
  <si>
    <t>backend: автоматизация подготовки схемы валидации параметров, тестирование</t>
  </si>
  <si>
    <t>ОШибка с привязкой диктанта</t>
  </si>
  <si>
    <t xml:space="preserve">ревью сервисы мониторинга асинхронных задач,  анализ генерации тестов для АПИ </t>
  </si>
  <si>
    <t>backend: автоматизация подготовки схемы валидации параметров, внесение валидаторов в сервисы</t>
  </si>
  <si>
    <t>доработка ПР сервиса мониторинга</t>
  </si>
  <si>
    <t>Задачи 1932, 2383</t>
  </si>
  <si>
    <t>Системное администрирование за май</t>
  </si>
  <si>
    <t>Исправление ошибки с привязкой диктанта</t>
  </si>
  <si>
    <t>Решение проблем с пайплайнами и деплой</t>
  </si>
  <si>
    <t>подготовка фронтового приложения</t>
  </si>
  <si>
    <t>Задачи 1932, 2401</t>
  </si>
  <si>
    <t>Отпуск</t>
  </si>
  <si>
    <t>Дейл, ввод в курс дела по новым технологиям в коннект</t>
  </si>
  <si>
    <t>Настройка печати</t>
  </si>
  <si>
    <t>Тестирование</t>
  </si>
  <si>
    <t>Task planning, meetings with client</t>
  </si>
  <si>
    <t>Задача 2398, 1932</t>
  </si>
  <si>
    <t>Изменения в Submission.API</t>
  </si>
  <si>
    <t>Участие в аудите на складе</t>
  </si>
  <si>
    <t>Задача по новому статусу и авторизацию через телефон</t>
  </si>
  <si>
    <t>Изучение Entaxy</t>
  </si>
  <si>
    <t>Изменения в ESBD.API</t>
  </si>
  <si>
    <t>Development</t>
  </si>
  <si>
    <t>Встреча в офисе с Константином</t>
  </si>
  <si>
    <t>Reseach</t>
  </si>
  <si>
    <t>Смета по основным модулям готово</t>
  </si>
  <si>
    <t>Созвон по гранту</t>
  </si>
  <si>
    <t>По гранту, проверка текстов и подсчет часов</t>
  </si>
  <si>
    <t>дейлики</t>
  </si>
  <si>
    <t>Подготовка ТЗ и диаграмм на разработку MVP для СмартТехСол, участие в мите по обсуждению проекта</t>
  </si>
  <si>
    <t>Смета по основным модулям</t>
  </si>
  <si>
    <t>Грант от Тинькофф</t>
  </si>
  <si>
    <t>Обсуждение задач</t>
  </si>
  <si>
    <t>Государственные выходные.</t>
  </si>
  <si>
    <t>Разработка Producer</t>
  </si>
  <si>
    <t>Presales activities: offers, proposals, meetings</t>
  </si>
  <si>
    <t>Смета</t>
  </si>
  <si>
    <t>backend: создание сервиса мониторинга парсера</t>
  </si>
  <si>
    <t>Написание и анализ API спецификации, исправление замечаний МР по сервису мониторинга</t>
  </si>
  <si>
    <t>Исследование проблемы оформления заказа за клиента через админку. Разработка решения по задаче добавить новый статус заказа "Отправлен в шоурум"</t>
  </si>
  <si>
    <t>Подготовка ТЗ и диаграмм на разработку MVP для СмартТехСол</t>
  </si>
  <si>
    <t>Testing</t>
  </si>
  <si>
    <t>.</t>
  </si>
  <si>
    <t xml:space="preserve">Смарт Тех (Хошин Канри) </t>
  </si>
  <si>
    <t>Добавил декоратор @IsOptional к полю shortTitle в ProductsDto. Добавил на фронт отображение shortTitle. Тестирование на тест стенде</t>
  </si>
  <si>
    <t>анализ разработка</t>
  </si>
  <si>
    <t>В шаблонах при добавлении дома вносить изменения в справочники, тестирование функционала</t>
  </si>
  <si>
    <t>В шаблонах при добавлении дома вносить изменения в справочники</t>
  </si>
  <si>
    <t>backend: создание сервиса мониторинга парсера, исправление замечаний к МР</t>
  </si>
  <si>
    <t>анализ</t>
  </si>
  <si>
    <t>В рамках задачи добавлены в postman эндпоинты идущие с 1с с тестовыми данными, для локального тестирования. Добавленно поле в dto приходящее из 1с, в entity Product, добавил shortTitle при выборке. Создал миграцию. Начал тестирование</t>
  </si>
  <si>
    <t>ДОбавил работы участников росстелеком диктанта</t>
  </si>
  <si>
    <t>ДДос защита настроил сертификаты</t>
  </si>
  <si>
    <t>Найти пропавшие диктанты</t>
  </si>
  <si>
    <t>Исследование проблем и решение задач заказчика</t>
  </si>
  <si>
    <t>Исследование и завершение работы</t>
  </si>
  <si>
    <t>1839, траблшутинг</t>
  </si>
  <si>
    <t>Звонок с командой разработки о группах доступа</t>
  </si>
  <si>
    <t>Доработка макетов фильтров журнала групп доступа</t>
  </si>
  <si>
    <t>Смарт Тех (Хошин) Хедер</t>
  </si>
  <si>
    <t xml:space="preserve">повторная отправка сертификатов </t>
  </si>
  <si>
    <t>Тестирование на тестовом стенде с поправкой, чтобы элементы со значением 0 в поле сортировки были в конце. Делал рефакторинг чтобы линтер не ругался. Погружался в задачу</t>
  </si>
  <si>
    <t>Созвон по DDos защиты</t>
  </si>
  <si>
    <t>Созвон с командой, поиск решения для валидации параметров в сервисе шаблонов</t>
  </si>
  <si>
    <t xml:space="preserve">добавил в модель ProductsDto, которая идет из 1с, маппинг полей ProductCategoriesDto. Изменил добавление/обновление данных в product_categories. Подправил миграцию. Созвонились с заказчиком по поводу новый полей (sort_category, sort_section) </t>
  </si>
  <si>
    <t>Подготовка ко встрече с IKON Tires</t>
  </si>
  <si>
    <t>изучал</t>
  </si>
  <si>
    <t>Встреча с IKON Tires</t>
  </si>
  <si>
    <t>Смарт Тех (Хошин). Звонок с Амиром, работа над хедером</t>
  </si>
  <si>
    <t>внесение изменений в БД для повторной генерации сертификатов</t>
  </si>
  <si>
    <t>Перенес поле sortCategory из таблицы Product в таблицу ProductCategories, также сделал таблицу ProductCategories явной. Изменил модель получения категорий при получении продукта из 1с. Изменил миграцию. Приступил к тестированию на тестовом стенде</t>
  </si>
  <si>
    <t>UC3.3, 3.9: Дома не добавились и другие вопросы</t>
  </si>
  <si>
    <t xml:space="preserve">Ознакомление </t>
  </si>
  <si>
    <t>Проверить наличие кода аналитики от Гугла, и на тех сайтах где она есть ее убрать</t>
  </si>
  <si>
    <t>Пересчитать результат корпоративного диктанта для участницы n.savchenkova@volga.rt.ru</t>
  </si>
  <si>
    <t>artem-ba@yandex.ru - разобраться почему не рассчитался диктант</t>
  </si>
  <si>
    <t>Изменить скрипт расчета результата</t>
  </si>
  <si>
    <t>Смарт Тех (Хошин) Работа с документацией, разработка UI kit</t>
  </si>
  <si>
    <t>Изменил модель получения категорий при получении продукта из 1c. Теперь мы получаем не массив uuid категорий, а uuid категории и sortCategory. Добавлено новое dto - product-category.dto</t>
  </si>
  <si>
    <t>Участие в мите по обсуждению проекта для Ikon Tyres</t>
  </si>
  <si>
    <t>Созвон по ДДос</t>
  </si>
  <si>
    <t xml:space="preserve">Исправление багов по шаблонам, русификация логов, проверка на корректность добавления этажей </t>
  </si>
  <si>
    <t>Смарт Тех (Хошин) Изучала методологию, а также сценарий, присланный заказчиком</t>
  </si>
  <si>
    <t>lorynik@mail.ru - дублирование диктанта</t>
  </si>
  <si>
    <t>Пересборка образов, навел небольшой порядок, удалил старые дампы, так как в яндексе есть ограничение на количество, оставил только одну ВМ</t>
  </si>
  <si>
    <t>Настройка гит, перенес проект для удобство истории</t>
  </si>
  <si>
    <t xml:space="preserve">отсылка сертификатов участника по запросу </t>
  </si>
  <si>
    <t>1785, МР</t>
  </si>
  <si>
    <t>Исследование. Созванивались с Юрой - 1с по поводу внедрения новых полей. Начал переделывать поле sort_category, т.к. продукт может находится в нескольких категориях</t>
  </si>
  <si>
    <t>Работа с проектом</t>
  </si>
  <si>
    <t xml:space="preserve">Работа над багами, улучшения. </t>
  </si>
  <si>
    <t>Овертайм. Решение срочной проблемы на стенде заказчика</t>
  </si>
  <si>
    <t>Смарт Тех (Хошин). Звонок с заказчиком, ответы на вопросы</t>
  </si>
  <si>
    <t>Remind. Подготовка оценки проекта.</t>
  </si>
  <si>
    <t xml:space="preserve">Созвон с командой, обсуждение решения проблем по задаче 1886 UC3.45: проблемы с общим шаблоном </t>
  </si>
  <si>
    <t>UC3.45: проблемы с общим шаблоном</t>
  </si>
  <si>
    <t>daily</t>
  </si>
  <si>
    <t>Синк за неделю</t>
  </si>
  <si>
    <t>Настройки после диктанта, снял все образы, вернул в норм состояние сервера</t>
  </si>
  <si>
    <t>Исследование проблем и решение задач по поддержке сайта</t>
  </si>
  <si>
    <t>Отладка задачи</t>
  </si>
  <si>
    <t>Работа с проектом, изучение материалов</t>
  </si>
  <si>
    <t>Исследование задачи. Попытка воспроизведения ошибки. Помощь в исследовании</t>
  </si>
  <si>
    <t>внесение исправлений в БД для отправки писем с сертификатами по запросу</t>
  </si>
  <si>
    <t xml:space="preserve">Отпуск. </t>
  </si>
  <si>
    <t>Remind. Изучение документов, просмотр записи</t>
  </si>
  <si>
    <t>Смарт Тех (Хошин). Изучение документов, звонок с Амиром</t>
  </si>
  <si>
    <t>Добавлено поле sortOrder в таблицу Product для возможности менять товары внутри коллекции и в DTO, которая идет из 1с. Добавил в создание/обновление продукта из 1с применение sortSection. Изменил миграцию. Изменил логику сортировки.</t>
  </si>
  <si>
    <t>внесение изменений в БД для отправки почты по запросу</t>
  </si>
  <si>
    <t>Исправление замечаний, в телеграмме</t>
  </si>
  <si>
    <t>Начало исследования работы с этикетками</t>
  </si>
  <si>
    <t>Созвон с командой: backend: создание сервиса мониторинга парсера</t>
  </si>
  <si>
    <t>общая</t>
  </si>
  <si>
    <t>Разбор запросов от мос ру</t>
  </si>
  <si>
    <t>Работа с серверами, к диктанту</t>
  </si>
  <si>
    <t>мониторинг</t>
  </si>
  <si>
    <t>добавлено поле sortOrder в DTO, которая идет из 1с. Добавил в создание/обновление продукта из 1с применение sortSection. Исследовал процессы изменения и сброса пароля. Исследовал логи сервера и enkod. Тестировал сброс пароля</t>
  </si>
  <si>
    <t>Ростелеком диктант, настройка серверов, расчет результатов и прочее</t>
  </si>
  <si>
    <t>Донастройка на тестовом сервере</t>
  </si>
  <si>
    <t>Test Case Revision</t>
  </si>
  <si>
    <t>решение вопросов связанных с доставкой сертификатов участника диктанта</t>
  </si>
  <si>
    <t xml:space="preserve"> backend: доработка генератора шаблона, настройка корректной работы парсера</t>
  </si>
  <si>
    <t>backend: интеграция генератора шаблона, настройка для импорта элементов дома</t>
  </si>
  <si>
    <t>Ростелеком проведение диктанта</t>
  </si>
  <si>
    <t>ежедей</t>
  </si>
  <si>
    <t>запуск процесса генерации сертификатов, начальная проверка</t>
  </si>
  <si>
    <t>мониторинг состояния генерации сертификатов</t>
  </si>
  <si>
    <t xml:space="preserve"> Исследовал возможность использовать существующие поля в БД для смены расположения товаров в коллекции. Добавлено поле sortSection в таблицу Product для возможности менять товары внутри коллекции.</t>
  </si>
  <si>
    <t>Работа с проектом СПБ (Биржа), обследование, проектирование, анализ, тз</t>
  </si>
  <si>
    <t>рестарт сервисов, обнуление статистик</t>
  </si>
  <si>
    <t>обновление БД, проверка</t>
  </si>
  <si>
    <t>технические обсуждения с Андреем</t>
  </si>
  <si>
    <t>Проверка и пересборка образов, навел порядок</t>
  </si>
  <si>
    <t>Исправил форму донатов, поехала верстка в виджете</t>
  </si>
  <si>
    <t>Поддержка и решение задач по сайта</t>
  </si>
  <si>
    <t>Решение задачи</t>
  </si>
  <si>
    <t>Перенос интеграции на тестовый стенд</t>
  </si>
  <si>
    <t>Исследование возможности использовать sortOrder для изменения товаров внутри категории. Исследовал маппинг продукта с dto, которая идет из 1с. Написал на wiki страничку по миграциям</t>
  </si>
  <si>
    <t>тестирование</t>
  </si>
  <si>
    <t>демо</t>
  </si>
  <si>
    <t>Демо</t>
  </si>
  <si>
    <t>Загрузка результатов диктанта, правка скриптов</t>
  </si>
  <si>
    <t>Спринт9</t>
  </si>
  <si>
    <t>Ответы на письма заказчика</t>
  </si>
  <si>
    <t>Продолжаем исследование и настройку</t>
  </si>
  <si>
    <t>Изменил применение сертификата, т.к. в couponPointsPrices может прилететь skus от применения баллов (points) с разными ценами у одинаковых skus. Изменил логику оформления заказа для корректного применения баллов. Добавил в миграцию изменения order_payment_method_check - длбавлен новый способ оплаты POINTS</t>
  </si>
  <si>
    <t>Настройка коннектора Debezium для PostgreSQL локально. Проверка захвата изменений из БД с помощью фиктивного консьюмера</t>
  </si>
  <si>
    <t>Починить загрузку результатов очного диктанта</t>
  </si>
  <si>
    <t>Запросы от мос ру по баллам</t>
  </si>
  <si>
    <t>SQL запросы для ручной загрузке диктантов, подгрузка диктантов</t>
  </si>
  <si>
    <t xml:space="preserve">Помочь участникам, которым не начислили баллы на mos.ru </t>
  </si>
  <si>
    <t>Сборка образа</t>
  </si>
  <si>
    <t>доработка сервисов</t>
  </si>
  <si>
    <t xml:space="preserve">настройка и тестирование метрик и дашборд </t>
  </si>
  <si>
    <t>1809, траблшутинг</t>
  </si>
  <si>
    <t>Updating Test Cases</t>
  </si>
  <si>
    <t>Добавил POINTS в PaymentMethod. Удалил контроллер loyalty.controller, логику оттуда перенес в user.controller. Изменил логику в auth.service - теперь при регистрации нового пользователя, создание пользователя в бд идет на заранее добавленный новый метод register в user.service. Изменена логика в loyalty.service. Также пересмотрен подход к связт пользователя с системой лояльности в бд: отказ от таблице UserLoyaltyLevel и перенос полей из нее в User.</t>
  </si>
  <si>
    <t>Обработка блокировки пользователей</t>
  </si>
  <si>
    <t xml:space="preserve">#13970 - CD - Research </t>
  </si>
  <si>
    <t>Синхронизация диктантов, различные баги</t>
  </si>
  <si>
    <t>Переименовал CouponPriceDto -&amp;gt; CouponPointsPriceDto, для большей ясности при применении сертификата и баллов. Написал ендпоинт для получения пользователем истории заказов, участвующих в лояльности. Добавлены Guardы. Добавил создание лояльности с привязкой к пользователю при создании пользователя. Добавлен в крон accrualDeductionPointsCron обработка статуса CANCELED; также немного изменилась основная логика крона и обработка заказов теперь идет синхронно.  Разрешения циклических зависимостей между модулями. Изменил немоного миграцию. Протестировал крон, привязку пользователя к лояльности после его создания, получение истории лояльности, применение баллов.  Ендпоинты вынес в Postman.</t>
  </si>
  <si>
    <t>1567, траблшутинг</t>
  </si>
  <si>
    <t>1573, траблшутинг</t>
  </si>
  <si>
    <t>Обсуждали оценки</t>
  </si>
  <si>
    <t>Изучение материалов по проекту разработки MVP для СмартТехСол</t>
  </si>
  <si>
    <t>Изучение настройки Kafka, Debezium и настройка на локальной виртуальной машине</t>
  </si>
  <si>
    <t>#53094 - внутренняя коммуникация, демо</t>
  </si>
  <si>
    <t>Спутники, ЛК, обсуждение</t>
  </si>
  <si>
    <t>Проведение диктанта</t>
  </si>
  <si>
    <t>дейл</t>
  </si>
  <si>
    <t>Обсуждали оценку</t>
  </si>
  <si>
    <t>Решение задач заказчика</t>
  </si>
  <si>
    <t>Погржение в проект. Изуение обратной интеграции. Изучение интеграции с кафкой.</t>
  </si>
  <si>
    <t>Изучение обратной интеграции. Помощь Лидии в решении проблемы с обратной интеграцией</t>
  </si>
  <si>
    <t>Добавить текст про лимит при начислении баллов на странице диктанта</t>
  </si>
  <si>
    <t>Сообщение о блокикровки аккаунта</t>
  </si>
  <si>
    <t>Оценка требований, обсуждение с заказчиком</t>
  </si>
  <si>
    <t xml:space="preserve">доработка системы сборки метрик </t>
  </si>
  <si>
    <t>Изменил ендроинт '/user-loyalty'. Добавил в крон (accrualDeductionPointsCron) обработку статуса CANCELED_BY_CLIENT и возвращение баллов если они списывались и заказ был отменен</t>
  </si>
  <si>
    <t>добавил HistoryOrdersResponseDto, LoyaltyLevelDto, UserLoyaltyLevelResponseDto. Добавил контроллер для обработки запросов в Loyalty.service и вынес все связанное с лояльностью в отдельный модуль. Добавил контроллер для получения списка всех уровней лояльности. Добавил в логику создания заказа снятие баллов и изменил логику начисления. Также в крон accrualDeductionPointsCron добавлен еще один статус для обработки. В Order добавил поле isDeductionPoints</t>
  </si>
  <si>
    <t>обсуждение оценок</t>
  </si>
  <si>
    <t>ревью кода</t>
  </si>
  <si>
    <t>Настройка серверов подготовка</t>
  </si>
  <si>
    <t>Время на серверах и в коде Москва</t>
  </si>
  <si>
    <t>предварительный анализ баг репортов от заказчика</t>
  </si>
  <si>
    <t>коммуникация с разработчиками</t>
  </si>
  <si>
    <t>освобождение места fury</t>
  </si>
  <si>
    <t>Добавил POST ендпоинт '/points/apply' для применения баллов к заказу, логику авнес в класс LoyaltyLevelService, туда же вынес крон для начисления и списания баллов. Добавил ApplyPointsRequestDto, PointsPriceDto, ApplyPointsResponseDto. В CreateOrderDto и Order добавил поле deductionPoints для списания баллов. Подправил файл CertificateService, т.к. если couponPrice равен 0 (при оплате данного товара баллами) то в skuPrice будет price.</t>
  </si>
  <si>
    <t>backend: реализовать endpoint для обработки запроса на создание дома через шаблон</t>
  </si>
  <si>
    <t>установка ПО на сервера</t>
  </si>
  <si>
    <t>Обучение.</t>
  </si>
  <si>
    <t>Изменил GET ендпоинт '/loyalty_level'. Добавил в таблицу order 2 поля accrualPoints и isAccrualPoints для указания баллов которые будут начислены. Добавил крон для начисления и списания баллов при доставки заказа и при возврате товара</t>
  </si>
  <si>
    <t xml:space="preserve">ревью решений в бэкенде </t>
  </si>
  <si>
    <t>1748 1750</t>
  </si>
  <si>
    <t>Составление писем заказчику</t>
  </si>
  <si>
    <t>траблшутинг проблемы https://projects-customdev.wone-it.ru/projects/tp-priedubiezhdai/work_packages/1741/activity</t>
  </si>
  <si>
    <t>#47570 - Ревью кода</t>
  </si>
  <si>
    <t>Реализовал универсальный метод по работе с кастомными полями</t>
  </si>
  <si>
    <t>Различные созвоны по ревью</t>
  </si>
  <si>
    <t>Ревью ТЗ FBR-WIT-012_РЧ-выгрузка</t>
  </si>
  <si>
    <t>Создал таблицы LoyaltyLevel UserLoyaltyLevel и миграционный файл. Написал GET ендпоинт '/loyalty_level' (не тестировал)</t>
  </si>
  <si>
    <t>estimates</t>
  </si>
  <si>
    <t>Tech.</t>
  </si>
  <si>
    <t>Дефект при редактирование справочника</t>
  </si>
  <si>
    <t>Показ спринта 8</t>
  </si>
  <si>
    <t>техподдержка</t>
  </si>
  <si>
    <t>1570, Troubleshooting MR</t>
  </si>
  <si>
    <t>Подробнее в Open Project</t>
  </si>
  <si>
    <t>Решение задач заказчика по Предубеждай</t>
  </si>
  <si>
    <t>Дейл с бек,ресёрч,  решение вопроса фильтрации</t>
  </si>
  <si>
    <t>Правки по ревью редактирование кастомного поля</t>
  </si>
  <si>
    <t>Удаление и восстановление кастомного поля</t>
  </si>
  <si>
    <t>Ревью и правки по созданию кастомного поля</t>
  </si>
  <si>
    <t>интеграция генератора шаблона</t>
  </si>
  <si>
    <t>Регситрация, поддержка</t>
  </si>
  <si>
    <t>Встреча с коллегами по обсуждению ТЗ</t>
  </si>
  <si>
    <t>backend: интеграция генератора шаблона, настройка с целью загрузки домов</t>
  </si>
  <si>
    <t>ddos от яндекса</t>
  </si>
  <si>
    <t>backend: доработать компонент для работы с excel файлами, реализовать парсинг</t>
  </si>
  <si>
    <t>Изчение материалов по проекту</t>
  </si>
  <si>
    <t>Переход базы в реадонли, для библиотеки</t>
  </si>
  <si>
    <t>Серверная часть: после решения основных задач, сделать пересборку образа с последними изменениями</t>
  </si>
  <si>
    <t>Добавил чат, исправил конфликты</t>
  </si>
  <si>
    <t>созвон перед диктантом</t>
  </si>
  <si>
    <t>Настройка ftp</t>
  </si>
  <si>
    <t>1568, All tasks by filter architect</t>
  </si>
  <si>
    <t>Добавил getAll и getByUid, универсальный метод для сущностей</t>
  </si>
  <si>
    <t>Work</t>
  </si>
  <si>
    <t>work on IP</t>
  </si>
  <si>
    <t>1556, 1394</t>
  </si>
  <si>
    <t>tech support</t>
  </si>
  <si>
    <t>Созвон по шаблонам и сущностям,</t>
  </si>
  <si>
    <t>ПРоектирование кастомных полей, спека варианты реализации</t>
  </si>
  <si>
    <t>Работа с шаблонам и баг по комментариям к дому</t>
  </si>
  <si>
    <t>технические дискуссии</t>
  </si>
  <si>
    <t>Обсуждение и разработка эндпоинтов для шаблонов</t>
  </si>
  <si>
    <t xml:space="preserve">backend: необходимо реализовать интерфейс/механизм для обновления справочников городов и районов </t>
  </si>
  <si>
    <t xml:space="preserve">Созвон по справочникам и accessGroup	</t>
  </si>
  <si>
    <t>Проектирование структуры кастомных пол</t>
  </si>
  <si>
    <t>Кастомные поля</t>
  </si>
  <si>
    <t>backend: реализовать процесс генерации шаблона в формате ms excel</t>
  </si>
  <si>
    <t>обсуждение коннекта с заказчиком</t>
  </si>
  <si>
    <t>митинг и обсуждение проекта на бэке</t>
  </si>
  <si>
    <t xml:space="preserve">Шаблоны: описание </t>
  </si>
  <si>
    <t>Подправил сервисы, работает группы адресов</t>
  </si>
  <si>
    <t>Реализовал обновление справочников, плю</t>
  </si>
  <si>
    <t>Созвон по справочникам и другим задача</t>
  </si>
  <si>
    <t>синк</t>
  </si>
  <si>
    <t>Правки по блокировки</t>
  </si>
  <si>
    <t>операции с шаблонами</t>
  </si>
  <si>
    <t>обсуждение работы с шаблонами и общий миттинг</t>
  </si>
  <si>
    <t>Отправка смс уведомлений</t>
  </si>
  <si>
    <t>проектирование сервисов для работы с шаблонами загрузки</t>
  </si>
  <si>
    <t>Убрал переадресацию на главную для всех соц</t>
  </si>
  <si>
    <t>Некорректное отображение результатов в списке</t>
  </si>
  <si>
    <t>Исправить ошибку, возникающую при замене почты в ЛК на уже используемый на сайте логин</t>
  </si>
  <si>
    <t>Вывести в Excel список всех текстов задействованных при проведение диктанта, тексты писем</t>
  </si>
  <si>
    <t>Объединить аккаунты kutyushevays@sch2057.ru и kutyusheva.ya@mail.ru, перенести все данные профиля и диктанты</t>
  </si>
  <si>
    <t>Исправить ошибку, из-за которой информация в поле "О диктаторе" в описании площадки сокращается, хотя лимит знаков соблюден</t>
  </si>
  <si>
    <t>Разобраться с подтверждением почты в ЛК участника</t>
  </si>
  <si>
    <t xml:space="preserve">подготовка оценки </t>
  </si>
  <si>
    <t>backend: интеграция компонента для генерации excel шаблона</t>
  </si>
  <si>
    <t>Работа с багами, и шаблоны</t>
  </si>
  <si>
    <t>Исследование требований мобильного приложения</t>
  </si>
  <si>
    <t>Единичные зачисления</t>
  </si>
  <si>
    <t>Описание на wiki всех процессы связанные со СДЭК на беке и подготавливаю пр по изменению тарифов</t>
  </si>
  <si>
    <t>TestFlow</t>
  </si>
  <si>
    <t>1526 оценка модулей</t>
  </si>
  <si>
    <t>Исследование тз. Тестирование на тестовом стенде. Показ демки</t>
  </si>
  <si>
    <t xml:space="preserve">ревью сервиса комментов и изучение шаблонов </t>
  </si>
  <si>
    <t>Созвон по настройке проекта</t>
  </si>
  <si>
    <t xml:space="preserve">Окончил тестирование тарифа склад-&amp;gt;склад. Описание эндпоинтов которые идут на бек. Тестирование локально с тестовым сервером 1с и на тестовом стенде </t>
  </si>
  <si>
    <t>работы с бэклогом, грумминг</t>
  </si>
  <si>
    <t>анализ и решение</t>
  </si>
  <si>
    <t>подготовка к оценке след этапов</t>
  </si>
  <si>
    <t>on-boarding для Тимофея, коммуникации в команде</t>
  </si>
  <si>
    <t>подробнее в Open Project</t>
  </si>
  <si>
    <t>доработки и улучшения в сервисе комментов к дому</t>
  </si>
  <si>
    <t>Описание эндпоинтов которые сейчас есть на беке. Исследование документации im.shop. Пополнение postman СДЭК начало тестирование тарифа склад-&amp;gt;склад</t>
  </si>
  <si>
    <t xml:space="preserve">Разработка прототипа Шлюмберже. </t>
  </si>
  <si>
    <t>ревью сервиса комментов</t>
  </si>
  <si>
    <t>Тестирование тарифа склад -&amp;gt; дверь на тестовом окружении СДЭК. Пополнение общего postman запросами на СДЭК</t>
  </si>
  <si>
    <t>решение задач в бэкенде</t>
  </si>
  <si>
    <t>Безналичные зачисления</t>
  </si>
  <si>
    <t>Исследование api СДЕК, тестирование на тестовой среде api.edu.cdek.ru</t>
  </si>
  <si>
    <t>Поддержка и исследование проекта Предубеждай</t>
  </si>
  <si>
    <t>UC3.59: Редактирование настроек отображения и порядка столбцов журналов системы для всех пользователей</t>
  </si>
  <si>
    <t>демо спринт7, оценка АСУ след этап,  тех обсуждение с ПОлиной</t>
  </si>
  <si>
    <t>1366 траблшутинг</t>
  </si>
  <si>
    <t>Создание решения</t>
  </si>
  <si>
    <t>Изучение апи СДЭК и ApiShip и взаимодействие с ними. Debug кода, отслеживание взаимодействие</t>
  </si>
  <si>
    <t>техническая встреча для подготовки оценок на этап 2</t>
  </si>
  <si>
    <t>1366, 685</t>
  </si>
  <si>
    <t>работа со стейдж  серверами</t>
  </si>
  <si>
    <t>разные организационные и тех встречи в команде</t>
  </si>
  <si>
    <t>#51251 - FE</t>
  </si>
  <si>
    <t>ревью бэка</t>
  </si>
  <si>
    <t>синки, тех обсуждения</t>
  </si>
  <si>
    <t>Описывал причины появления сертификатов без серийного номера. Исследование задачи, кода</t>
  </si>
  <si>
    <t>#47614 - Разработка FE</t>
  </si>
  <si>
    <t>1351, 1352</t>
  </si>
  <si>
    <t>Изменил обработку создания заказа, чтобы серийный номер не генерился, а возвращался из 1с. Изменил запрос в 1с, чтобы отправлялся не только значение сертификата, но и id заказа. Создал пр на сертификаты. Описание процесса покупки и активации сертификатов.</t>
  </si>
  <si>
    <t>1517, Внесение символов и знаков в в обязательные поля ввода в созданном доме</t>
  </si>
  <si>
    <t xml:space="preserve">1518, Количество пробелов в полях </t>
  </si>
  <si>
    <t xml:space="preserve">1491, Проверить, что вид журнала меняется в зависимости от фильтров. Фильтр не работает, по заданной логике </t>
  </si>
  <si>
    <t>Обсудили обработку ошибок, справочник</t>
  </si>
  <si>
    <t>начисление балов</t>
  </si>
  <si>
    <t>траблшутинг мр 906, 907, 908</t>
  </si>
  <si>
    <t>резюмирующий дейл месяца</t>
  </si>
  <si>
    <t>Писал Wiki покупки сертификатов и активации. Расписывал в виде диаграммы более глубокое взаимодействие. Разработка решения</t>
  </si>
  <si>
    <t>Task planning, meetings</t>
  </si>
  <si>
    <t>user QR code</t>
  </si>
  <si>
    <t>Созвон по шаблонам, группам, справочни</t>
  </si>
  <si>
    <t>анализ вариантов решения для accessGroups</t>
  </si>
  <si>
    <t>Писал Wiki покупки сертификатов. Расписывал в виде диаграммы более глубокое взаимодействие. Разработка решения</t>
  </si>
  <si>
    <t>Закончил, обработка ошибок в wrapper и во всех сервисах</t>
  </si>
  <si>
    <t>905, мр траблшутинг</t>
  </si>
  <si>
    <t>Писал Wiki покупки сертификатов. Разработка решения</t>
  </si>
  <si>
    <t>Добил агенты и разбор с блокировкой</t>
  </si>
  <si>
    <t>Созвон бек по permissions</t>
  </si>
  <si>
    <t>Обсуждение ребрендинга основного сайта</t>
  </si>
  <si>
    <t xml:space="preserve"> Ресерч технологий, разработка общих компонентов</t>
  </si>
  <si>
    <t>Разработка. Тестирование на реальных данных</t>
  </si>
  <si>
    <t>Созвон по созданию entityType</t>
  </si>
  <si>
    <t>Созвон с заказчиком по текущим задачам</t>
  </si>
  <si>
    <t>интеграция с мос ру</t>
  </si>
  <si>
    <t>обсуждение шаблонов</t>
  </si>
  <si>
    <t>Обработка ошибок</t>
  </si>
  <si>
    <t>Изучение репозитория. Изменил методы активации сертификата и создание заказа сертификатов, теперь они берут из бд сертификаты. Начал тестирование</t>
  </si>
  <si>
    <t>Разбирался с dgraph, как отлавливать оши</t>
  </si>
  <si>
    <t>Созвон по шаблонам</t>
  </si>
  <si>
    <t>Решение проблемы с агентами</t>
  </si>
  <si>
    <t>Развертывание и дебаг сервера локально. Создание условий для появления кнопки "активировать сертификат"</t>
  </si>
  <si>
    <t>Созвоны с миллион призов, интеграция с ними</t>
  </si>
  <si>
    <t>Созвон по справочникам, добавил задачи</t>
  </si>
  <si>
    <t>Придумал описание полей кастомных</t>
  </si>
  <si>
    <t>Добавил баннер локально и протестировал, позже добавил на сервер и внёс изменения в базу данных. На мобильной версии сайта половина баннера перекрывается нижним элементом. Необходимо было изменить в /src/static/assets/css/style.css во всех .html-banner высоту на 100%</t>
  </si>
  <si>
    <t>Изучение коммитов. Начал писать возможное решение</t>
  </si>
  <si>
    <t>Готово подсчет, с учетом сортировки и фильтрации</t>
  </si>
  <si>
    <t>Груминг задач sprint 7</t>
  </si>
  <si>
    <t>Результаты переделка</t>
  </si>
  <si>
    <t>https://projects-customdev.wone-it.ru/projects/tp-priedubiezhdai/work_packages/1392/activity</t>
  </si>
  <si>
    <t>общий дейл</t>
  </si>
  <si>
    <t>903, мр траблшутинг</t>
  </si>
  <si>
    <t xml:space="preserve"> Развёртывание локально. Поднял в докере локальный код сервера. Создание условий для появление кнопки "активировать сертификат" на странице заказа.</t>
  </si>
  <si>
    <t>Показ спринта 6</t>
  </si>
  <si>
    <t>Различные варианты реализации подсчета</t>
  </si>
  <si>
    <t>Созвон по созданию сущностей, шаблонов</t>
  </si>
  <si>
    <t>демо спринт6</t>
  </si>
  <si>
    <t>проблема с журналом действий пользователей</t>
  </si>
  <si>
    <t>разные технические обсуждения</t>
  </si>
  <si>
    <t>Созвон по спринту 7, растановка часов</t>
  </si>
  <si>
    <t>Созвон по беку</t>
  </si>
  <si>
    <t>Подсчет количества помещений, универсальный метод работой с math</t>
  </si>
  <si>
    <t>доработка словарей</t>
  </si>
  <si>
    <t>разные встречи и тех обсуждения</t>
  </si>
  <si>
    <t>разное</t>
  </si>
  <si>
    <t>review</t>
  </si>
  <si>
    <t>Интеграция продолжение</t>
  </si>
  <si>
    <t>Обсуждение entityType</t>
  </si>
  <si>
    <t>Созвон с Мишей по задачам</t>
  </si>
  <si>
    <t>Занимался интеграцией с мос ру</t>
  </si>
  <si>
    <t>Изменил delete, добавил универсальный метод restore. Правки по wrapper</t>
  </si>
  <si>
    <t>backend: Удаление значений поля или связи, если значение = null, правки по нежилым</t>
  </si>
  <si>
    <t>реализация сервисов</t>
  </si>
  <si>
    <t>коммуникация с разработчиками и дизайнером интерфейса</t>
  </si>
  <si>
    <t>backend: реализовать endpoint для привязки услуги к парадной дома / дому</t>
  </si>
  <si>
    <t>backend: реализовать endpoint для редактирования услуги</t>
  </si>
  <si>
    <t>backend: Удаление значений поля или связи, если значение = null</t>
  </si>
  <si>
    <t>Созвон бек по услугам и коммуналкам</t>
  </si>
  <si>
    <t>backend: добавить в dgraph-seeder справочник услуг</t>
  </si>
  <si>
    <t>backend: реализовать endpoint для удаления услуги</t>
  </si>
  <si>
    <t>backend: реализовать endpoint для выдачи пагинированного списка услуг</t>
  </si>
  <si>
    <t>backend: реализовать endpoint для создания услуги</t>
  </si>
  <si>
    <t>эндпоинты для работы с коммунальными комнатами</t>
  </si>
  <si>
    <t>ревью решений в бэкенде</t>
  </si>
  <si>
    <t>дисковое пространство fury - поиск и чистка</t>
  </si>
  <si>
    <t>backend: доработка db-seeder для хранения информации о тех помещениях дома</t>
  </si>
  <si>
    <t>backend: реализовать endpoint для удаления технического помещения</t>
  </si>
  <si>
    <t>backend: реализовать endpoint для показа детальной информации оп тех помещении</t>
  </si>
  <si>
    <t>backend: реализовать endpoint для выдачи пагинированного списка тех помещений привязанных к дому</t>
  </si>
  <si>
    <t xml:space="preserve">backend: реализовать endpoint для редактирования технических помещений </t>
  </si>
  <si>
    <t>backend: реализовать endpoint для создания технических помещений</t>
  </si>
  <si>
    <t>API спецификация</t>
  </si>
  <si>
    <t>деплой в staging, sanity checks</t>
  </si>
  <si>
    <t>деплой, анализ проблем с  build failure</t>
  </si>
  <si>
    <t>внутри проектные встречи, тех обсуждения, работа с бэклогом задач команды бэкенда</t>
  </si>
  <si>
    <t>Ошибка при загрузке результатов на сайт</t>
  </si>
  <si>
    <t>backend: реализовать endpoint для создания нежилого помещения в доме</t>
  </si>
  <si>
    <t>backend: реализовать endpoint для удаления нежилого помещения</t>
  </si>
  <si>
    <t>backend: реализовать endpoint для детальной информации по нежилым помещениям</t>
  </si>
  <si>
    <t>Написание и тестирование тест-кейсов</t>
  </si>
  <si>
    <t>backend: реализовать endpoint для выдачи пагинированного списка нежилых помещений</t>
  </si>
  <si>
    <t>backend: реализовать endpoint для редактирования нежилого помещения</t>
  </si>
  <si>
    <t>Созвон с Мишей</t>
  </si>
  <si>
    <t>Отладка ошибок</t>
  </si>
  <si>
    <t>Встречи с заказчиком</t>
  </si>
  <si>
    <t>Демо, отладка багов</t>
  </si>
  <si>
    <t>решение задач</t>
  </si>
  <si>
    <t>Созвон с Юлей по нежилым помещениям</t>
  </si>
  <si>
    <t>Созвон с Мишей по задачам, сиду</t>
  </si>
  <si>
    <t>Сидер для нежилых помещений, все справочники</t>
  </si>
  <si>
    <t>дискуссия по интеграции с АД</t>
  </si>
  <si>
    <t>проектирование</t>
  </si>
  <si>
    <t>коммуникация внутри команды</t>
  </si>
  <si>
    <t>Созвон по ролям и разрешениям</t>
  </si>
  <si>
    <t>журналилование</t>
  </si>
  <si>
    <t>Добавил проверку в dgraph wrapper fullAddress</t>
  </si>
  <si>
    <t>backend: Доработка реализации генерации разрешений</t>
  </si>
  <si>
    <t>Разработка сервисов, обсуждение нового спринта</t>
  </si>
  <si>
    <t>Демонстрация Спринт 5</t>
  </si>
  <si>
    <t>Созвон после синка</t>
  </si>
  <si>
    <t>Проведение диктанта 30.01, решение ошибок в процессе проведения.</t>
  </si>
  <si>
    <t>автогенерация в работе</t>
  </si>
  <si>
    <t>документация Руководство пользователя</t>
  </si>
  <si>
    <t>Работы с пермиссионс</t>
  </si>
  <si>
    <t>Созвоны по permissions и ролям, продумали новую логику создания составных permissions</t>
  </si>
  <si>
    <t>Спринт 6, обсуждение задач и простановка времени</t>
  </si>
  <si>
    <t>проработка задачи по интеграции AD</t>
  </si>
  <si>
    <t>структура документа</t>
  </si>
  <si>
    <t>Создание придомовой территории</t>
  </si>
  <si>
    <t>Редактирование придомовой территории</t>
  </si>
  <si>
    <t>Добавил придомовую территорию и исправил спеку под доп поля</t>
  </si>
  <si>
    <t>Созвон с Мишей по жилым помещениям, мапингу и другим вопросам</t>
  </si>
  <si>
    <t>встречи</t>
  </si>
  <si>
    <t>правки в вики</t>
  </si>
  <si>
    <t>Сидер для придомовой территории</t>
  </si>
  <si>
    <t>Удаление входа, универсальный метод</t>
  </si>
  <si>
    <t>Редактирование входов, создание универсального метода</t>
  </si>
  <si>
    <t>несколько встреч с заказчиком</t>
  </si>
  <si>
    <t>доделала экраны по балтике</t>
  </si>
  <si>
    <t>Добавил механизм составных ключей, проверки при вставки и обновлении</t>
  </si>
  <si>
    <t>Добавил создание входа</t>
  </si>
  <si>
    <t>1197 работа над сидером</t>
  </si>
  <si>
    <t>проектные активности</t>
  </si>
  <si>
    <t>работа со stage сервером, траблшутинг проблем, первичный анализ</t>
  </si>
  <si>
    <t>разные проектные встречи</t>
  </si>
  <si>
    <t>Вывод парадных, универсальный метод, подойдет для всех сущностей</t>
  </si>
  <si>
    <t>Созвон с Мишей и Сашей по парадным, спеке</t>
  </si>
  <si>
    <t>R&amp;amp;D new features</t>
  </si>
  <si>
    <t>встреча</t>
  </si>
  <si>
    <t>дизайн экранов</t>
  </si>
  <si>
    <t>backend: доработка db-seeder для хранения данных парадных и подъездов. Готово</t>
  </si>
  <si>
    <t>Созвон с Мишей по сиду и комплексным ключам</t>
  </si>
  <si>
    <t>Проведение тестового диктанта, исправление ошибок возникающих по ходу и др</t>
  </si>
  <si>
    <t>#1197</t>
  </si>
  <si>
    <t>code review</t>
  </si>
  <si>
    <t>коммуникация с заказчиком</t>
  </si>
  <si>
    <t>#890</t>
  </si>
  <si>
    <t>реализация сервисов - 807,1029, 1197</t>
  </si>
  <si>
    <t>автоматизация миграции и сиид для стейдж сервера</t>
  </si>
  <si>
    <t>синки в команде</t>
  </si>
  <si>
    <t>дом и полный адрес. Добавил необходимые поля, добавил возможность программно генерировать любые поля, так же добавил проверки</t>
  </si>
  <si>
    <t>backend: доработка db-seeder для хранения данных парадных и подъездов</t>
  </si>
  <si>
    <t>дизайн и созвон с Виталей</t>
  </si>
  <si>
    <t>Созвон бек по задачам</t>
  </si>
  <si>
    <t>Test Case Creation</t>
  </si>
  <si>
    <t>Правки после review подразделения</t>
  </si>
  <si>
    <t>Обновление Битрикс и ПХП на продакшн</t>
  </si>
  <si>
    <t>работы на сервисами бэкенда</t>
  </si>
  <si>
    <t>ревью решений для бэкенда</t>
  </si>
  <si>
    <t>встречи в проекта</t>
  </si>
  <si>
    <t>была на рабочих созвонах</t>
  </si>
  <si>
    <t>аналитика</t>
  </si>
  <si>
    <t>Работа с проектом СПБ (Биржа), проектирование, внесение изменение в прототип по требованиям заказчика</t>
  </si>
  <si>
    <t>Доступ к прод серверу по ssh, после сбоя</t>
  </si>
  <si>
    <t>Изменил сид, доавил обработку подразделений, тесты</t>
  </si>
  <si>
    <t>Созвон с беком по текущим задачам, полный адрес, удаление и восстановление пароля, почта</t>
  </si>
  <si>
    <t>подготовка макетов в фигме</t>
  </si>
  <si>
    <t xml:space="preserve">встречи </t>
  </si>
  <si>
    <t xml:space="preserve">описание типов событий </t>
  </si>
  <si>
    <t>#1213</t>
  </si>
  <si>
    <t>#1029</t>
  </si>
  <si>
    <t>№1029</t>
  </si>
  <si>
    <t>разные тех дискуссии с разработчиками</t>
  </si>
  <si>
    <t>Реализовано удаление пользователя, софт делете</t>
  </si>
  <si>
    <t>Созвон с фронтом, обновление данных, удаление узлов, пришли к единому мнению</t>
  </si>
  <si>
    <t>Созвон с беком, проставили остальные часы, обсудили справочники</t>
  </si>
  <si>
    <t>Созвон с Мишей по тек задачам, ревью и баги</t>
  </si>
  <si>
    <t>Test</t>
  </si>
  <si>
    <t>Синк</t>
  </si>
  <si>
    <t>встречи с клиентом, подготовка письма</t>
  </si>
  <si>
    <t>#1072</t>
  </si>
  <si>
    <t>#1231</t>
  </si>
  <si>
    <t>тикеты в бэкенде</t>
  </si>
  <si>
    <t>Реализовал двунаправленную reverse связь, исправил сид, тестирование, подправил вики для сортировки и фильтров, вики для entityType</t>
  </si>
  <si>
    <t>Решил проблему с шаблоном в админке</t>
  </si>
  <si>
    <t>ресерч аналогичных приложений</t>
  </si>
  <si>
    <t>подготовка письма, ответы на вопросы, внесение правок в документацию</t>
  </si>
  <si>
    <t>встреча с клиентом</t>
  </si>
  <si>
    <t>подготовка ко встрече</t>
  </si>
  <si>
    <t>разбор задачи про иерархию справочников</t>
  </si>
  <si>
    <t>внесение правок</t>
  </si>
  <si>
    <t>внутренний звонок, погружение в задачу</t>
  </si>
  <si>
    <t>анализ и решение проблемы с билд пайплайном</t>
  </si>
  <si>
    <t>#1196</t>
  </si>
  <si>
    <t>работа с вики</t>
  </si>
  <si>
    <t>ReportMonth</t>
  </si>
  <si>
    <t>Проект по РП числится на другой практике</t>
  </si>
  <si>
    <t xml:space="preserve"> IC Viktoriya-004-DC1</t>
  </si>
  <si>
    <t>IC Viktoriya-003-SUP</t>
  </si>
  <si>
    <t>IC Viktoriya-005-DC2</t>
  </si>
  <si>
    <t>IC Viktoriya-007-DC4</t>
  </si>
  <si>
    <t>IC Viktoriya-008-DC5</t>
  </si>
  <si>
    <t>IC Viktoriya-009-DC6</t>
  </si>
  <si>
    <t>Исправление замечаний и не точностей</t>
  </si>
  <si>
    <t>Фикс возникшего бага</t>
  </si>
  <si>
    <t>Изменение проверок дат</t>
  </si>
  <si>
    <t>Локальное тестирование разработанного ф</t>
  </si>
  <si>
    <t>#54990 - Локальное тестирование разработанного функционала FE</t>
  </si>
  <si>
    <t>Исправление формы submissions для случая, когда основной участник резидент, а второй не резидент</t>
  </si>
  <si>
    <t>#54989 - Добавление перевода анкет для не резидентов ФЛ/ЮЛ</t>
  </si>
  <si>
    <t>#54988 - Внесение изменение в бизнес логику анкеты в части ЮЛ</t>
  </si>
  <si>
    <t>Исправление выставления дат для не резидентов</t>
  </si>
  <si>
    <t>Разработка блока страхования анкеты нерезидентов для ЮЛ</t>
  </si>
  <si>
    <t xml:space="preserve"> Внесение изменение в бизнес логику анкеты в части ЮЛ</t>
  </si>
  <si>
    <t>Добавление поля даты рождения и поиска по нему в Blocking</t>
  </si>
  <si>
    <t>Отключение сервиса верификации персональных данных для нерезиденто</t>
  </si>
  <si>
    <t>Развёртывание среды и анализ проекта</t>
  </si>
  <si>
    <t>#54985 - Изменение валидаторов и маппингов полей формы для отправки данных на сервер</t>
  </si>
  <si>
    <t>Отключение сервиса верификации персональных данных для нерезиденто фронт</t>
  </si>
  <si>
    <t>Настройка проекта локально для разработки</t>
  </si>
  <si>
    <t>Внесение изменений в форму поиска лиц, для сбора отсутствующей информации (место рождения, пол)</t>
  </si>
  <si>
    <t>Добавление переводов отображаемой информации о транзитном ТС</t>
  </si>
  <si>
    <t xml:space="preserve"> Изменение логики отображения информации о ТС, при транзитном ТС вывод доп информации</t>
  </si>
  <si>
    <t>Локальное тестирование и отладка изменений разработчиком -  FE</t>
  </si>
  <si>
    <t>Деплой на прод и стейдж</t>
  </si>
  <si>
    <t>Деплой + решение проблем с билдом пайплайна</t>
  </si>
  <si>
    <t>Тестирование и отладка</t>
  </si>
  <si>
    <t>Изменение логики отображения информации о ТС, при транзитном ТС вывод доп информации</t>
  </si>
  <si>
    <t>Локальное тестирование и отладка изменений разработчиком</t>
  </si>
  <si>
    <t>Изменение логики отображения информации о транспортном средстве, при транзитном ТС вывод доп информации.</t>
  </si>
  <si>
    <t xml:space="preserve"> Добавление переводов отображаемой информации о транзитном ТС</t>
  </si>
  <si>
    <t>Доработка бизнес логики сервиса анкет для приема информации о транзитном ТС на сервере</t>
  </si>
  <si>
    <t xml:space="preserve">Локальное тестирование и отладка изменений разработчиком -  FE </t>
  </si>
  <si>
    <t>Новая логика содания полиса</t>
  </si>
  <si>
    <t>Разработка нового контрола для сбора информации о транзитном транспортном средстве</t>
  </si>
  <si>
    <t>Доработка бизнес логики передачи информации о передаче информации о тразитном транспортном средстве на серверную часть анкеты</t>
  </si>
  <si>
    <t>Аналитика и проектирование нового решения</t>
  </si>
  <si>
    <t>Заявки не отображались, т.к полисы для них не были созданы из-за недоступности есбд. Пришлось перезапускать создание полисов для первых 2-х заявок. Для 3 заявки не удалось перезапустить создание полиса, т.к там не хватает данных. 4 заявку не нашел ни в БД, ни в ЛК</t>
  </si>
  <si>
    <t>API для добавления/обновления транзитного ТС</t>
  </si>
  <si>
    <t>Выкладка на стейдж</t>
  </si>
  <si>
    <t>Интеграция нового клиента(ГБД)</t>
  </si>
  <si>
    <t>Добавление нового клиента для работы с ГБД</t>
  </si>
  <si>
    <t>Интеграция нового клиента(кеш) в сущ. функционал</t>
  </si>
  <si>
    <t xml:space="preserve">В ходе анализа некорректного расчета премии, была выяснина причина. Начиная с апреля месяца внешний метод расчета предоставляемый сервисом ЕСБД начал выдавать не корректную сумму страхового полиса. На данный момент используется другой метод расчета страховой премии, сделано также как у 1С заказчика. Ждем информации от ЕСБД, когда будет произведена корректировка расчета, чтобы вернуться к использованию старого метода расчета. </t>
  </si>
  <si>
    <t>Выяснение причин и устранения сбоя деплоя на прод. Было выяснено, что на работу влияло состояние инфраструктуры заказчика, при прохождении билда появлялась ошибка. Спустя устранения ппроблем с инфраструктурой, выяснилось, что есть ограничение доступа к реестру контейнеров с машин на которых развернут бэк. Это является блокером для продолжения выяснения и устранения причин сбоя деплоя.</t>
  </si>
  <si>
    <t>Изменения поля из которого берем данные для запроса в ЕСБД</t>
  </si>
  <si>
    <t>Выяснение причин не работоспособности деплоя</t>
  </si>
  <si>
    <t>Анализ логов из продовой БД</t>
  </si>
  <si>
    <t>Проверял Back end, разбирался по какой причине не прошло создание договоров и вручную запускал процессы, чтобы конкретные договоры досоздались</t>
  </si>
  <si>
    <t>Новые типы документов, интеграция с ЕСБД</t>
  </si>
  <si>
    <t>Отправка уведомлений на email</t>
  </si>
  <si>
    <t>Настройка на проде + сверка с ТЗ</t>
  </si>
  <si>
    <t>Исправление пайплайнов</t>
  </si>
  <si>
    <t>Встреча по системе лояльности</t>
  </si>
  <si>
    <t>Исследование апи Maxima</t>
  </si>
  <si>
    <t>Tetra-001-PRJ</t>
  </si>
  <si>
    <t>Счет еще не выставлен, проект в процессе сдачи-приемки</t>
  </si>
  <si>
    <t>IC Viktoriya-010-DC7</t>
  </si>
  <si>
    <t>Нерезидент компания + иностранное авто</t>
  </si>
  <si>
    <t>работа</t>
  </si>
  <si>
    <t>дейлик</t>
  </si>
  <si>
    <t>Тестирование и решение проблем с пайплайном</t>
  </si>
  <si>
    <t>Настройка для нового диапазона дат формирования полиса</t>
  </si>
  <si>
    <t>Обсудил формат таблицы, создал БД и таблицу, описал на вики</t>
  </si>
  <si>
    <t>Настроил эмуляторы на тестовом сервере LTWMS, описал результаты исследования на вики</t>
  </si>
  <si>
    <t>Добавление новых полей при возврате в ЛК</t>
  </si>
  <si>
    <t>Изучил, проверил доступные эмуляторы ZPL принтера. Увы не работают. Создал два своих эмулятора</t>
  </si>
  <si>
    <t>Изучил руководство по печати из LT, настроил CUPS на тестовом сервере LT и локально</t>
  </si>
  <si>
    <t>Вычисление премии для иностранное авто</t>
  </si>
  <si>
    <t>Начало исследования</t>
  </si>
  <si>
    <t>Добавление даты рождения в эндпоинты и сервисы</t>
  </si>
  <si>
    <t>Доисследование по грузоместам, обсуждение вариантов с Лидией</t>
  </si>
  <si>
    <t>Создаем окна по ТЗ-16. Исследуем вопрос с размещением данных о грузоместе</t>
  </si>
  <si>
    <t>Исследование проекта, тесты</t>
  </si>
  <si>
    <t>Созвон с командой, брейншторм</t>
  </si>
  <si>
    <t>Июль 2025</t>
  </si>
  <si>
    <t xml:space="preserve">	Task #2983: Публикация изменений на стейдж среде</t>
  </si>
  <si>
    <t>#17 - Отпуск/Vacation</t>
  </si>
  <si>
    <t>Отпуск/Vacation</t>
  </si>
  <si>
    <t xml:space="preserve">	Task #2996: Адаптация анкет трех анкет ИПДЛ для заполения без ИИ</t>
  </si>
  <si>
    <t>Создание сервиса "меню". Исследование проекта</t>
  </si>
  <si>
    <t>Вкладка Контакты</t>
  </si>
  <si>
    <t>создание скелета приложения</t>
  </si>
  <si>
    <t xml:space="preserve">	Task #2996: Адаптация анкет трех анкет ИПДЛ для заполения без</t>
  </si>
  <si>
    <t xml:space="preserve">	Task #2995: Локальное тестирование разработанного изменений ЛК</t>
  </si>
  <si>
    <t xml:space="preserve">	Task #2991: Добавление перевода анкет для не резидентов ФИЗ/ЮР</t>
  </si>
  <si>
    <t>Feature #3105: Смена плашки "подпишитесь на рассылку" на промокод БЛАГОДАТЬ	двойная выкатка + фикс после дизайнера</t>
  </si>
  <si>
    <t xml:space="preserve">	Task #2990: Адаптация анкет трех анкет ИПДЛ для запол</t>
  </si>
  <si>
    <t xml:space="preserve">	Task #2995: Локальное тестирование разработанного из</t>
  </si>
  <si>
    <t xml:space="preserve">	Task #2994: Адаптация раздела заявки для отображения</t>
  </si>
  <si>
    <t xml:space="preserve">	Task #2991: Добавление перевода анкет для не резидент</t>
  </si>
  <si>
    <t xml:space="preserve">	Task #2989: Локальное тестирование разработанного изменений ЛК</t>
  </si>
  <si>
    <t xml:space="preserve">	Task #2990: Адаптация анкет трех анкет ИПДЛ для заполения без И</t>
  </si>
  <si>
    <t xml:space="preserve">	Task #2988: Адаптация раздела договора для отображения договор</t>
  </si>
  <si>
    <t xml:space="preserve">	Task #2987: Адаптация раздела заявки для отображения новой ин</t>
  </si>
  <si>
    <t>Мобильная разработка под Apple</t>
  </si>
  <si>
    <t>#54721 - Review</t>
  </si>
  <si>
    <t>трабл с билдом</t>
  </si>
  <si>
    <t xml:space="preserve">	Task #2992: Адаптация раздела заявки для отображения новой информации по заявке (нерезидент ОГПО ВТС ФИЗ/ЮР)</t>
  </si>
  <si>
    <t xml:space="preserve">	Task #3006: Изменение логики расчета периода действия + 	Task #3005: Доработка изменений по блоку автомобиле</t>
  </si>
  <si>
    <t xml:space="preserve">	Task #2994: Адаптация раздела заявки для отображения ее компла</t>
  </si>
  <si>
    <t xml:space="preserve">	Task #2993: Адаптация раздела договора для отображения договора по с новой информацией по заявке (нерезидент ОГПО ВТС ФИЗ/ЮР)</t>
  </si>
  <si>
    <t>настройка инфры</t>
  </si>
  <si>
    <t>Ревью кода Льва</t>
  </si>
  <si>
    <t>Создание сервиса "меню", написание спеки</t>
  </si>
  <si>
    <t>1 ч - Публикация на прод сервере "Анкет страхования"</t>
  </si>
  <si>
    <t>1 - ч Тестирование работоспособности "Анкет страхования"</t>
  </si>
  <si>
    <t>1ч - Публикация на стейдж сервере "Анкет страхования"</t>
  </si>
  <si>
    <t>Task 1601 Публикация на стейдж сервере "Личного кабинета клиента"</t>
  </si>
  <si>
    <t>Task 1602 Тестирование работоспособности "Личного кабинета клиента"</t>
  </si>
  <si>
    <t>Task 1603 Публикация на прод сервере "Личного кабинета клиента"</t>
  </si>
  <si>
    <t>Корректировка ссылок в header и footer "Калькулятор амортизационного износа" (потолок и подвал страницы) в соответствие с главной страницей сайта.</t>
  </si>
  <si>
    <t>1ч - 1739 - корректировка ссылок Публикация на стейдж сервере "Калькулятор амортизационного износа"</t>
  </si>
  <si>
    <t>1 ч - 1794 - корректировки ссылок Тестирование работоспособности "Калькулятор амортизационного износа"</t>
  </si>
  <si>
    <t>1ч - 1795 - корректировка ссылок Публикация на прод сервере "Калькулятор амортизационного износа"</t>
  </si>
  <si>
    <t>1 ч - 1798 - корректировка ссылок Публикация на стейдж сервере "Анкет страхования"</t>
  </si>
  <si>
    <t>1ч - 1799 - корректировка ссылок Тестирование работоспособности "Анкет страхования"</t>
  </si>
  <si>
    <t>1ч - 1800 - корректировка ссылок Публикация на прод сервере "Анкет страхования"</t>
  </si>
  <si>
    <t>1 ч - 1669 -Публикация на стейдж сервере "Анкет страхования", корректировки от Елены перевода в футаре</t>
  </si>
  <si>
    <t>1ч - 1671 - Публикация на прод сервере "Анкет страхования" корректировки от Елены по футару</t>
  </si>
  <si>
    <t>Переместить смену языка с нижнего левого угла вверх, как на основном сайте, и убрать английский язык. Иконку  сделать по аналогии с иконкой на основном сайте.</t>
  </si>
  <si>
    <t>При нажатии на кнопку "Создать заявку" необходимо, чтобы страница с оформление заявки открывалась на той же вкладке, а не на отдельной.</t>
  </si>
  <si>
    <t>Страницы личного кабинета (страховые случаи по пяти обязательным классам страхования), которые не переведены на казахский язык, необходимо сделать еще на казахском языке после получения текста перевода.</t>
  </si>
  <si>
    <t>Страницы личного кабинета (договоры по пяти обязательным классам страхования), которые не переведены на казахский язык, необходимо сделать еще на казахском языке после получения текста перевода.</t>
  </si>
  <si>
    <t>Страницы личного кабинета (поданные заявки по пяти обязательным классам страхования), которые не переведены на казахский язык, необходимо сделать еще на казахском языке после получения текста перевода.</t>
  </si>
  <si>
    <t>анкеты ИПДЛ (Физ лицо ниже 100000,Физ лицо свыше 100000, Юр лицо, по пяти обязательным классам страхования) Task# 1678</t>
  </si>
  <si>
    <t>анкеты ИПДЛ (Физ лицо ниже 100000,Физ лицо свыше 100000, Юр лицо, по пяти обязательным классам страхования) Task#1678</t>
  </si>
  <si>
    <t>подготовка файла с текстом полей личного кабинета клиента, который необходимо будет перевести на казахский язык Task#1679</t>
  </si>
  <si>
    <t>Отправка данных ошибок оформления полиса на email</t>
  </si>
  <si>
    <t>создание приложения по ТЗ-20</t>
  </si>
  <si>
    <t>Реализация логирования ошибок с категориями ошибок</t>
  </si>
  <si>
    <t>Разработка приложения</t>
  </si>
  <si>
    <t>предача знаний/работы от Лидии на время отпуска (митинг)</t>
  </si>
  <si>
    <t>Скелег приложения готов. Реализация самого ТЗ</t>
  </si>
  <si>
    <t>Исследование по задаче с логированием ошибок</t>
  </si>
  <si>
    <t>Проблема с некорректным телефоном, к которому привязан договор</t>
  </si>
  <si>
    <t>Деплой изменений, обновление CustomDev версий</t>
  </si>
  <si>
    <t>Поля страна и пол для анкеты нерезидента</t>
  </si>
  <si>
    <t>разработка приложения</t>
  </si>
  <si>
    <t>Обсуждение ТЗ-24: АРМ с привлеченным фронтовиком</t>
  </si>
  <si>
    <t>- JS/TS</t>
  </si>
  <si>
    <t>Итоговая стоимость</t>
  </si>
  <si>
    <t>31.06.2025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</si>
</sst>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 #,##0.00\ &quot;₽&quot;_-;\-* #,##0.00\ &quot;₽&quot;_-;_-* &quot;-&quot;??\ &quot;₽&quot;_-;_-@_-"/>
    <numFmt numFmtId="164" formatCode="yyyy\-mm\-dd;@"/>
    <numFmt numFmtId="165" formatCode="mmm\ yyyy"/>
    <numFmt numFmtId="166" formatCode="#,##0.00\ &quot;р.&quot;"/>
  </numFmts>
  <fonts count="9" x14ac:knownFonts="1">
    <font>
      <sz val="11"/>
      <color theme="1"/>
      <name val="Aptos Narrow"/>
      <family val="2"/>
      <charset val="204"/>
      <scheme val="minor"/>
    </font>
    <font>
      <sz val="10"/>
      <color rgb="FF242525"/>
      <name val="Consolas"/>
      <family val="3"/>
      <charset val="204"/>
    </font>
    <font>
      <u/>
      <sz val="11"/>
      <color theme="10"/>
      <name val="Aptos Narrow"/>
      <family val="2"/>
      <charset val="204"/>
      <scheme val="minor"/>
    </font>
    <font>
      <b/>
      <sz val="11"/>
      <color theme="1"/>
      <name val="Aptos Narrow"/>
      <family val="2"/>
      <scheme val="minor"/>
    </font>
    <font>
      <sz val="11"/>
      <color theme="1"/>
      <name val="Aptos Narrow"/>
      <family val="2"/>
      <scheme val="minor"/>
    </font>
    <font>
      <b/>
      <sz val="11"/>
      <color rgb="FFFF0000"/>
      <name val="Aptos Narrow"/>
      <family val="2"/>
      <scheme val="minor"/>
    </font>
    <font>
      <sz val="11"/>
      <color theme="1"/>
      <name val="Aptos Narrow"/>
      <family val="2"/>
      <charset val="204"/>
      <scheme val="minor"/>
    </font>
    <font>
      <sz val="11"/>
      <color rgb="FF000000"/>
      <name val="Aptos Narrow"/>
      <family val="2"/>
      <charset val="204"/>
      <scheme val="minor"/>
    </font>
    <font>
      <sz val="8"/>
      <name val="Aptos Narrow"/>
      <family val="2"/>
      <charset val="204"/>
      <scheme val="minor"/>
    </font>
  </fonts>
  <fills count="7">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4" tint="0.399975585192419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3">
    <xf numFmtId="0" fontId="0" fillId="0" borderId="0"/>
    <xf numFmtId="0" fontId="2" fillId="0" borderId="0" applyNumberFormat="0" applyFill="0" applyBorder="0" applyAlignment="0" applyProtection="0"/>
    <xf numFmtId="44" fontId="6" fillId="0" borderId="0" applyFont="0" applyFill="0" applyBorder="0" applyAlignment="0" applyProtection="0"/>
  </cellStyleXfs>
  <cellXfs count="37">
    <xf numFmtId="0" fontId="0" fillId="0" borderId="0" xfId="0"/>
    <xf numFmtId="0" fontId="3" fillId="0" borderId="0" xfId="0" applyFont="1"/>
    <xf numFmtId="0" fontId="0" fillId="0" borderId="0" xfId="0" applyAlignment="1">
      <alignment horizontal="right"/>
    </xf>
    <xf numFmtId="0" fontId="0" fillId="0" borderId="0" xfId="0" pivotButton="1"/>
    <xf numFmtId="0" fontId="0" fillId="0" borderId="0" xfId="0" applyAlignment="1">
      <alignment horizontal="left"/>
    </xf>
    <xf numFmtId="0" fontId="3" fillId="2" borderId="0" xfId="0" applyFont="1" applyFill="1" applyAlignment="1">
      <alignment horizontal="center" vertical="center"/>
    </xf>
    <xf numFmtId="0" fontId="0" fillId="0" borderId="0" xfId="0" applyAlignment="1">
      <alignment wrapText="1"/>
    </xf>
    <xf numFmtId="0" fontId="4" fillId="0" borderId="0" xfId="0" applyFont="1" applyAlignment="1">
      <alignment wrapText="1"/>
    </xf>
    <xf numFmtId="0" fontId="3" fillId="0" borderId="0" xfId="0" applyFont="1" applyAlignment="1">
      <alignment horizontal="left" vertical="center"/>
    </xf>
    <xf numFmtId="0" fontId="3" fillId="0" borderId="0" xfId="0" applyFont="1" applyAlignment="1">
      <alignment horizontal="left" vertical="center" wrapText="1"/>
    </xf>
    <xf numFmtId="0" fontId="0" fillId="3" borderId="0" xfId="0" applyFill="1" applyAlignment="1">
      <alignment horizontal="right"/>
    </xf>
    <xf numFmtId="164" fontId="1" fillId="3" borderId="0" xfId="0" applyNumberFormat="1" applyFont="1" applyFill="1" applyAlignment="1">
      <alignment horizontal="right"/>
    </xf>
    <xf numFmtId="49" fontId="0" fillId="3" borderId="0" xfId="0" applyNumberFormat="1" applyFill="1" applyAlignment="1">
      <alignment horizontal="left"/>
    </xf>
    <xf numFmtId="0" fontId="2" fillId="3" borderId="0" xfId="1" applyFill="1" applyAlignment="1">
      <alignment horizontal="right"/>
    </xf>
    <xf numFmtId="0" fontId="0" fillId="3" borderId="0" xfId="0" applyFill="1" applyAlignment="1">
      <alignment horizontal="left"/>
    </xf>
    <xf numFmtId="165" fontId="0" fillId="0" borderId="0" xfId="0" applyNumberFormat="1"/>
    <xf numFmtId="2" fontId="0" fillId="0" borderId="0" xfId="0" applyNumberFormat="1"/>
    <xf numFmtId="2" fontId="0" fillId="0" borderId="1" xfId="0" applyNumberFormat="1" applyBorder="1"/>
    <xf numFmtId="44" fontId="7" fillId="0" borderId="0" xfId="2" applyFont="1"/>
    <xf numFmtId="49" fontId="0" fillId="0" borderId="0" xfId="0" applyNumberFormat="1" applyAlignment="1">
      <alignment horizontal="left"/>
    </xf>
    <xf numFmtId="0" fontId="3" fillId="0" borderId="1" xfId="0" applyFont="1" applyBorder="1"/>
    <xf numFmtId="17" fontId="0" fillId="0" borderId="0" xfId="0" applyNumberFormat="1"/>
    <xf numFmtId="17" fontId="0" fillId="5" borderId="0" xfId="0" applyNumberFormat="1" applyFill="1"/>
    <xf numFmtId="0" fontId="0" fillId="4" borderId="0" xfId="0" applyFill="1" applyAlignment="1">
      <alignment horizontal="center"/>
    </xf>
    <xf numFmtId="44" fontId="0" fillId="0" borderId="0" xfId="2" applyFont="1"/>
    <xf numFmtId="10" fontId="0" fillId="0" borderId="0" xfId="0" applyNumberFormat="1"/>
    <xf numFmtId="44" fontId="0" fillId="0" borderId="0" xfId="2" quotePrefix="1" applyFont="1"/>
    <xf numFmtId="14" fontId="0" fillId="0" borderId="0" xfId="0" applyNumberFormat="1"/>
    <xf numFmtId="166" fontId="3" fillId="0" borderId="0" xfId="0" applyNumberFormat="1" applyFont="1"/>
    <xf numFmtId="166" fontId="0" fillId="0" borderId="0" xfId="0" applyNumberFormat="1"/>
    <xf numFmtId="44" fontId="0" fillId="0" borderId="0" xfId="2" applyFont="1" applyFill="1" applyBorder="1"/>
    <xf numFmtId="16" fontId="0" fillId="0" borderId="0" xfId="0" applyNumberFormat="1"/>
    <xf numFmtId="0" fontId="3" fillId="0" borderId="1" xfId="0" applyFont="1" applyBorder="1" applyAlignment="1">
      <alignment horizontal="center"/>
    </xf>
    <xf numFmtId="0" fontId="5" fillId="2" borderId="0" xfId="0" applyFont="1" applyFill="1" applyAlignment="1">
      <alignment horizontal="center" vertical="center"/>
    </xf>
    <xf numFmtId="0" fontId="0" fillId="6" borderId="0" xfId="0" applyFill="1" applyAlignment="1">
      <alignment horizontal="center"/>
    </xf>
    <xf numFmtId="0" fontId="0" fillId="0" borderId="0" xfId="0" applyAlignment="1">
      <alignment horizontal="left" indent="1"/>
    </xf>
    <xf numFmtId="0" fontId="3" fillId="0" borderId="0" xfId="0" applyFont="1" applyBorder="1"/>
  </cellXfs>
  <cellStyles count="3">
    <cellStyle name="Currency" xfId="2" builtinId="4"/>
    <cellStyle name="Hyperlink" xfId="1" builtinId="8"/>
    <cellStyle name="Normal" xfId="0" builtinId="0"/>
  </cellStyles>
  <dxfs count="19">
    <dxf>
      <numFmt numFmtId="14" formatCode="0.00%"/>
    </dxf>
    <dxf>
      <numFmt numFmtId="166" formatCode="#,##0.00\ &quot;р.&quot;"/>
    </dxf>
    <dxf>
      <font>
        <b/>
        <i val="0"/>
        <strike val="0"/>
        <condense val="0"/>
        <extend val="0"/>
        <outline val="0"/>
        <shadow val="0"/>
        <u val="none"/>
        <vertAlign val="baseline"/>
        <sz val="11"/>
        <color theme="1"/>
        <name val="Aptos Narrow"/>
        <family val="2"/>
        <scheme val="minor"/>
      </font>
      <numFmt numFmtId="166" formatCode="#,##0.00\ &quot;р.&quot;"/>
    </dxf>
    <dxf>
      <numFmt numFmtId="166" formatCode="#,##0.00\ &quot;р.&quot;"/>
    </dxf>
    <dxf>
      <numFmt numFmtId="166" formatCode="#,##0.00\ &quot;р.&quot;"/>
    </dxf>
    <dxf>
      <numFmt numFmtId="166" formatCode="#,##0.00\ &quot;р.&quot;"/>
    </dxf>
    <dxf>
      <numFmt numFmtId="165" formatCode="mmm\ yyyy"/>
    </dxf>
    <dxf>
      <numFmt numFmtId="166" formatCode="#,##0.00\ &quot;р.&quot;"/>
    </dxf>
    <dxf>
      <font>
        <b/>
        <i val="0"/>
        <strike val="0"/>
        <condense val="0"/>
        <extend val="0"/>
        <outline val="0"/>
        <shadow val="0"/>
        <u val="none"/>
        <vertAlign val="baseline"/>
        <sz val="11"/>
        <color theme="1"/>
        <name val="Aptos Narrow"/>
        <family val="2"/>
        <scheme val="minor"/>
      </font>
    </dxf>
    <dxf>
      <numFmt numFmtId="19" formatCode="dd/mm/yyyy"/>
    </dxf>
    <dxf>
      <numFmt numFmtId="19" formatCode="dd/mm/yyyy"/>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b val="0"/>
        <i val="0"/>
        <strike val="0"/>
        <condense val="0"/>
        <extend val="0"/>
        <outline val="0"/>
        <shadow val="0"/>
        <u val="none"/>
        <vertAlign val="baseline"/>
        <sz val="11"/>
        <color rgb="FF000000"/>
        <name val="Aptos Narrow"/>
        <family val="2"/>
        <charset val="204"/>
        <scheme val="minor"/>
      </font>
    </dxf>
    <dxf>
      <font>
        <b val="0"/>
        <i val="0"/>
        <strike val="0"/>
        <condense val="0"/>
        <extend val="0"/>
        <outline val="0"/>
        <shadow val="0"/>
        <u val="none"/>
        <vertAlign val="baseline"/>
        <sz val="11"/>
        <color rgb="FF000000"/>
        <name val="Aptos Narrow"/>
        <family val="2"/>
        <charset val="204"/>
        <scheme val="minor"/>
      </font>
    </dxf>
    <dxf>
      <numFmt numFmtId="30" formatCode="@"/>
      <fill>
        <patternFill patternType="none">
          <fgColor indexed="64"/>
          <bgColor indexed="65"/>
        </patternFill>
      </fill>
      <alignment horizontal="left" vertical="bottom" textRotation="0" wrapText="0" indent="0" justifyLastLine="0" shrinkToFit="0" readingOrder="0"/>
    </dxf>
    <dxf>
      <numFmt numFmtId="30" formatCode="@"/>
      <fill>
        <patternFill patternType="none">
          <fgColor indexed="64"/>
          <bgColor auto="1"/>
        </patternFill>
      </fill>
      <alignment horizontal="left"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7.xml"/><Relationship Id="rId13" Type="http://schemas.microsoft.com/office/2007/relationships/slicerCache" Target="slicerCaches/slicerCache2.xml"/><Relationship Id="rId18" Type="http://schemas.microsoft.com/office/2007/relationships/slicerCache" Target="slicerCaches/slicerCache7.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6.xml"/><Relationship Id="rId12" Type="http://schemas.microsoft.com/office/2007/relationships/slicerCache" Target="slicerCaches/slicerCache1.xml"/><Relationship Id="rId17" Type="http://schemas.microsoft.com/office/2007/relationships/slicerCache" Target="slicerCaches/slicerCache6.xml"/><Relationship Id="rId25" Type="http://schemas.microsoft.com/office/2006/relationships/vbaProject" Target="vbaProject.bin"/><Relationship Id="rId2" Type="http://schemas.openxmlformats.org/officeDocument/2006/relationships/worksheet" Target="worksheets/sheet2.xml"/><Relationship Id="rId16" Type="http://schemas.microsoft.com/office/2007/relationships/slicerCache" Target="slicerCaches/slicerCache5.xml"/><Relationship Id="rId20" Type="http://schemas.microsoft.com/office/2007/relationships/slicerCache" Target="slicerCaches/slicerCache9.xml"/><Relationship Id="rId1" Type="http://schemas.openxmlformats.org/officeDocument/2006/relationships/worksheet" Target="worksheets/sheet1.xml"/><Relationship Id="rId6" Type="http://schemas.openxmlformats.org/officeDocument/2006/relationships/worksheet" Target="worksheets/sheet5.xml"/><Relationship Id="rId11" Type="http://schemas.openxmlformats.org/officeDocument/2006/relationships/pivotCacheDefinition" Target="pivotCache/pivotCacheDefinition1.xml"/><Relationship Id="rId24" Type="http://schemas.openxmlformats.org/officeDocument/2006/relationships/calcChain" Target="calcChain.xml"/><Relationship Id="rId5" Type="http://schemas.openxmlformats.org/officeDocument/2006/relationships/chartsheet" Target="chartsheets/sheet1.xml"/><Relationship Id="rId15" Type="http://schemas.microsoft.com/office/2007/relationships/slicerCache" Target="slicerCaches/slicerCache4.xml"/><Relationship Id="rId23" Type="http://schemas.openxmlformats.org/officeDocument/2006/relationships/sharedStrings" Target="sharedStrings.xml"/><Relationship Id="rId10" Type="http://schemas.openxmlformats.org/officeDocument/2006/relationships/worksheet" Target="worksheets/sheet9.xml"/><Relationship Id="rId19" Type="http://schemas.microsoft.com/office/2007/relationships/slicerCache" Target="slicerCaches/slicerCache8.xml"/><Relationship Id="rId4" Type="http://schemas.openxmlformats.org/officeDocument/2006/relationships/worksheet" Target="worksheets/sheet4.xml"/><Relationship Id="rId9" Type="http://schemas.openxmlformats.org/officeDocument/2006/relationships/worksheet" Target="worksheets/sheet8.xml"/><Relationship Id="rId14" Type="http://schemas.microsoft.com/office/2007/relationships/slicerCache" Target="slicerCaches/slicerCache3.xml"/><Relationship Id="rId22"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[CustomDev Project and Person Cost and Hours Report - v3107-17.xlsm]PivotReport!TimeReportPivot</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a:t>Данные по месяцам (используйте фильтры)</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PivotReport!$B$22:$B$23</c:f>
              <c:strCache>
                <c:ptCount val="1"/>
                <c:pt idx="0">
                  <c:v>янв 2025</c:v>
                </c:pt>
              </c:strCache>
            </c:strRef>
          </c:tx>
          <c:spPr>
            <a:solidFill>
              <a:schemeClr val="accent1"/>
            </a:solidFill>
            <a:ln>
              <a:noFill/>
            </a:ln>
            <a:effectLst/>
          </c:spPr>
          <c:invertIfNegative val="0"/>
          <c:cat>
            <c:multiLvlStrRef>
              <c:f>PivotReport!$A$24:$A$171</c:f>
              <c:multiLvlStrCache>
                <c:ptCount val="127"/>
                <c:lvl>
                  <c:pt idx="0">
                    <c:v>CustomDev_Presales</c:v>
                  </c:pt>
                  <c:pt idx="1">
                    <c:v>CustomDev_R&amp;D</c:v>
                  </c:pt>
                  <c:pt idx="2">
                    <c:v>HouseMgmt-Estimate-Audit</c:v>
                  </c:pt>
                  <c:pt idx="3">
                    <c:v>IC Viktoriya-003-SUP</c:v>
                  </c:pt>
                  <c:pt idx="4">
                    <c:v>IC Viktoriya-008-DC5</c:v>
                  </c:pt>
                  <c:pt idx="5">
                    <c:v>IC Viktoriya-009-DC6</c:v>
                  </c:pt>
                  <c:pt idx="6">
                    <c:v>IC Viktoriya-010-DC7</c:v>
                  </c:pt>
                  <c:pt idx="7">
                    <c:v>Konnect-001-PRJ-WD</c:v>
                  </c:pt>
                  <c:pt idx="8">
                    <c:v>Predubezhdai-001-SUP</c:v>
                  </c:pt>
                  <c:pt idx="9">
                    <c:v>ROSKOSMOS-RU-002-PRJ-DEV</c:v>
                  </c:pt>
                  <c:pt idx="10">
                    <c:v>Terra-HouseMgmt-Dev</c:v>
                  </c:pt>
                  <c:pt idx="11">
                    <c:v>Terra-Module-Dev-Client-01</c:v>
                  </c:pt>
                  <c:pt idx="12">
                    <c:v>Tetra-2024-2025-SUP</c:v>
                  </c:pt>
                  <c:pt idx="13">
                    <c:v>Внутренняя деятельность/Internal</c:v>
                  </c:pt>
                  <c:pt idx="14">
                    <c:v>CustomDev_R&amp;D</c:v>
                  </c:pt>
                  <c:pt idx="15">
                    <c:v>IC Viktoriya-003-SUP</c:v>
                  </c:pt>
                  <c:pt idx="16">
                    <c:v>IC Viktoriya-010-DC7</c:v>
                  </c:pt>
                  <c:pt idx="17">
                    <c:v>Konnect-001-PRJ-WD</c:v>
                  </c:pt>
                  <c:pt idx="18">
                    <c:v>Predubezhdai-001-SUP</c:v>
                  </c:pt>
                  <c:pt idx="19">
                    <c:v>Terra-HouseMgmt-Dev</c:v>
                  </c:pt>
                  <c:pt idx="20">
                    <c:v>Terra-Module-Dev-Client-01</c:v>
                  </c:pt>
                  <c:pt idx="21">
                    <c:v>Внутренняя деятельность/Internal</c:v>
                  </c:pt>
                  <c:pt idx="22">
                    <c:v>Spimex-001-Inkomand-HLD</c:v>
                  </c:pt>
                  <c:pt idx="23">
                    <c:v>Внутренняя деятельность/Internal</c:v>
                  </c:pt>
                  <c:pt idx="24">
                    <c:v>CABA_Presales</c:v>
                  </c:pt>
                  <c:pt idx="25">
                    <c:v>Spimex-001-Inkomand-HLD</c:v>
                  </c:pt>
                  <c:pt idx="26">
                    <c:v>Terra-HouseMgmt-Dev</c:v>
                  </c:pt>
                  <c:pt idx="27">
                    <c:v>CustomDev_R&amp;D</c:v>
                  </c:pt>
                  <c:pt idx="28">
                    <c:v>Konnect-002-PRJ-PoC</c:v>
                  </c:pt>
                  <c:pt idx="29">
                    <c:v>Terra-HouseMgmt-2-Analytics</c:v>
                  </c:pt>
                  <c:pt idx="30">
                    <c:v>Внутренняя деятельность/Internal</c:v>
                  </c:pt>
                  <c:pt idx="31">
                    <c:v>Bork-001-PRJ-WMS</c:v>
                  </c:pt>
                  <c:pt idx="32">
                    <c:v>CustomDev_R&amp;D</c:v>
                  </c:pt>
                  <c:pt idx="33">
                    <c:v>Konnect-001-PRJ-WD</c:v>
                  </c:pt>
                  <c:pt idx="34">
                    <c:v>Terra-HouseMgmt-Dev</c:v>
                  </c:pt>
                  <c:pt idx="35">
                    <c:v>Внутренняя деятельность/Internal</c:v>
                  </c:pt>
                  <c:pt idx="36">
                    <c:v>CustomDev_Presales</c:v>
                  </c:pt>
                  <c:pt idx="37">
                    <c:v>CustomDev_R&amp;D</c:v>
                  </c:pt>
                  <c:pt idx="38">
                    <c:v>HouseMgmt-Estimate-Audit</c:v>
                  </c:pt>
                  <c:pt idx="39">
                    <c:v>Predubezhdai-001-SUP</c:v>
                  </c:pt>
                  <c:pt idx="40">
                    <c:v>ROSKOSMOS-RU-002-PRJ-DEV</c:v>
                  </c:pt>
                  <c:pt idx="41">
                    <c:v>Terra-HouseMgmt-2-Analytics</c:v>
                  </c:pt>
                  <c:pt idx="42">
                    <c:v>Terra-HouseMgmt-Dev</c:v>
                  </c:pt>
                  <c:pt idx="43">
                    <c:v>Tetra-2024-2025-SUP</c:v>
                  </c:pt>
                  <c:pt idx="44">
                    <c:v>TotalDict-2024-2025-SUP</c:v>
                  </c:pt>
                  <c:pt idx="45">
                    <c:v>Внутренняя деятельность/Internal</c:v>
                  </c:pt>
                  <c:pt idx="46">
                    <c:v>Terra-HouseMgmt-Dev</c:v>
                  </c:pt>
                  <c:pt idx="47">
                    <c:v>Tetra-2024-2025-SUP</c:v>
                  </c:pt>
                  <c:pt idx="48">
                    <c:v>Внутренняя деятельность/Internal</c:v>
                  </c:pt>
                  <c:pt idx="49">
                    <c:v>Bork-001-PRJ-WMS</c:v>
                  </c:pt>
                  <c:pt idx="50">
                    <c:v>CustomDev_R&amp;D</c:v>
                  </c:pt>
                  <c:pt idx="51">
                    <c:v>HouseMgmt-Estimate-Audit</c:v>
                  </c:pt>
                  <c:pt idx="52">
                    <c:v>Spimex-001-Inkomand-HLD</c:v>
                  </c:pt>
                  <c:pt idx="53">
                    <c:v>Terra-HouseMgmt-2-Analytics</c:v>
                  </c:pt>
                  <c:pt idx="54">
                    <c:v>Внутренняя деятельность/Internal</c:v>
                  </c:pt>
                  <c:pt idx="55">
                    <c:v>CustomDev_Presales</c:v>
                  </c:pt>
                  <c:pt idx="56">
                    <c:v>CustomDev_R&amp;D</c:v>
                  </c:pt>
                  <c:pt idx="57">
                    <c:v>HouseMgmt-Estimate-Audit</c:v>
                  </c:pt>
                  <c:pt idx="58">
                    <c:v>Konnect-001-PRJ-WD</c:v>
                  </c:pt>
                  <c:pt idx="59">
                    <c:v>Konnect-002-PRJ-PoC</c:v>
                  </c:pt>
                  <c:pt idx="60">
                    <c:v>Terra-HouseMgmt-2-Analytics</c:v>
                  </c:pt>
                  <c:pt idx="61">
                    <c:v>Terra-HouseMgmt-Dev</c:v>
                  </c:pt>
                  <c:pt idx="62">
                    <c:v>Внутренняя деятельность/Internal</c:v>
                  </c:pt>
                  <c:pt idx="63">
                    <c:v>CustomDev_R&amp;D</c:v>
                  </c:pt>
                  <c:pt idx="64">
                    <c:v>ErtaShoes-001-SUP</c:v>
                  </c:pt>
                  <c:pt idx="65">
                    <c:v>Konnect-001-PRJ-WD</c:v>
                  </c:pt>
                  <c:pt idx="66">
                    <c:v>Predubezhdai-001-SUP</c:v>
                  </c:pt>
                  <c:pt idx="67">
                    <c:v>Внутренняя деятельность/Internal</c:v>
                  </c:pt>
                  <c:pt idx="68">
                    <c:v> IC Viktoriya-004-DC1</c:v>
                  </c:pt>
                  <c:pt idx="69">
                    <c:v>BLT-011-PRJ-DS18</c:v>
                  </c:pt>
                  <c:pt idx="70">
                    <c:v>CustomDev_R&amp;D</c:v>
                  </c:pt>
                  <c:pt idx="71">
                    <c:v>Finist-001-PRJ-DEV</c:v>
                  </c:pt>
                  <c:pt idx="72">
                    <c:v>IC Viktoriya-003-SUP</c:v>
                  </c:pt>
                  <c:pt idx="73">
                    <c:v>IC Viktoriya-005-DC2</c:v>
                  </c:pt>
                  <c:pt idx="74">
                    <c:v>IC Viktoriya-006-DC3</c:v>
                  </c:pt>
                  <c:pt idx="75">
                    <c:v>IC Viktoriya-007-DC4</c:v>
                  </c:pt>
                  <c:pt idx="76">
                    <c:v>IC Viktoriya-008-DC5</c:v>
                  </c:pt>
                  <c:pt idx="77">
                    <c:v>IC Viktoriya-009-DC6</c:v>
                  </c:pt>
                  <c:pt idx="78">
                    <c:v>Tetra-2024-2025-SUP</c:v>
                  </c:pt>
                  <c:pt idx="79">
                    <c:v>Внутренняя деятельность/Internal</c:v>
                  </c:pt>
                  <c:pt idx="80">
                    <c:v>CustomDev_Presales</c:v>
                  </c:pt>
                  <c:pt idx="81">
                    <c:v>CustomDev_R&amp;D</c:v>
                  </c:pt>
                  <c:pt idx="82">
                    <c:v>HouseMgmt-Estimate-Audit</c:v>
                  </c:pt>
                  <c:pt idx="83">
                    <c:v>ROSKOSMOS-RU-002-PRJ-DEV</c:v>
                  </c:pt>
                  <c:pt idx="84">
                    <c:v>Terra-HouseMgmt-Dev</c:v>
                  </c:pt>
                  <c:pt idx="85">
                    <c:v>Terra-Module-Dev-Client-01</c:v>
                  </c:pt>
                  <c:pt idx="86">
                    <c:v>Внутренняя деятельность/Internal</c:v>
                  </c:pt>
                  <c:pt idx="87">
                    <c:v> IC Viktoriya-004-DC1</c:v>
                  </c:pt>
                  <c:pt idx="88">
                    <c:v>BLT-011-PRJ-DS18</c:v>
                  </c:pt>
                  <c:pt idx="89">
                    <c:v>CERRI-001-AUDIT-CD</c:v>
                  </c:pt>
                  <c:pt idx="90">
                    <c:v>CustomDev_R&amp;D</c:v>
                  </c:pt>
                  <c:pt idx="91">
                    <c:v>Finist-001-PRJ-DEV</c:v>
                  </c:pt>
                  <c:pt idx="92">
                    <c:v>IC Viktoriya-003-SUP</c:v>
                  </c:pt>
                  <c:pt idx="93">
                    <c:v>IC Viktoriya-009-DC6</c:v>
                  </c:pt>
                  <c:pt idx="94">
                    <c:v>Konnect-001-PRJ-WD</c:v>
                  </c:pt>
                  <c:pt idx="95">
                    <c:v>Внутренняя деятельность/Internal</c:v>
                  </c:pt>
                  <c:pt idx="96">
                    <c:v>BLT-011-PRJ-DS18</c:v>
                  </c:pt>
                  <c:pt idx="97">
                    <c:v>CustomDev_R&amp;D</c:v>
                  </c:pt>
                  <c:pt idx="98">
                    <c:v>IC Viktoriya-008-DC5</c:v>
                  </c:pt>
                  <c:pt idx="99">
                    <c:v>IC Viktoriya-009-DC6</c:v>
                  </c:pt>
                  <c:pt idx="100">
                    <c:v>Terra-HouseMgmt-2-Analytics</c:v>
                  </c:pt>
                  <c:pt idx="101">
                    <c:v>Terra-HouseMgmt-Dev</c:v>
                  </c:pt>
                  <c:pt idx="102">
                    <c:v>Terra-Module-Dev-Client-01</c:v>
                  </c:pt>
                  <c:pt idx="103">
                    <c:v>Внутренняя деятельность/Internal</c:v>
                  </c:pt>
                  <c:pt idx="104">
                    <c:v>CustomDev_R&amp;D</c:v>
                  </c:pt>
                  <c:pt idx="105">
                    <c:v>Konnect-001-PRJ-WD</c:v>
                  </c:pt>
                  <c:pt idx="106">
                    <c:v>Predubezhdai-001-SUP</c:v>
                  </c:pt>
                  <c:pt idx="107">
                    <c:v>Terra-HouseMgmt-Dev</c:v>
                  </c:pt>
                  <c:pt idx="108">
                    <c:v>Terra-Module-Dev-Client-01</c:v>
                  </c:pt>
                  <c:pt idx="109">
                    <c:v>CustomDev_R&amp;D</c:v>
                  </c:pt>
                  <c:pt idx="110">
                    <c:v>Konnect-001-PRJ-WD</c:v>
                  </c:pt>
                  <c:pt idx="111">
                    <c:v>Terra-HouseMgmt-Dev</c:v>
                  </c:pt>
                  <c:pt idx="112">
                    <c:v>Bork-001-PRJ-WMS</c:v>
                  </c:pt>
                  <c:pt idx="113">
                    <c:v>CustomDev_Presales</c:v>
                  </c:pt>
                  <c:pt idx="114">
                    <c:v>CustomDev_R&amp;D</c:v>
                  </c:pt>
                  <c:pt idx="115">
                    <c:v>Predubezhdai-001-SUP</c:v>
                  </c:pt>
                  <c:pt idx="116">
                    <c:v>Внутренняя деятельность/Internal</c:v>
                  </c:pt>
                  <c:pt idx="117">
                    <c:v>CustomDev_R&amp;D</c:v>
                  </c:pt>
                  <c:pt idx="118">
                    <c:v>Terra-HouseMgmt-Dev</c:v>
                  </c:pt>
                  <c:pt idx="119">
                    <c:v>Terra-Module-Dev-Client-01</c:v>
                  </c:pt>
                  <c:pt idx="120">
                    <c:v>Внутренняя деятельность/Internal</c:v>
                  </c:pt>
                  <c:pt idx="121">
                    <c:v>CustomDev_R&amp;D</c:v>
                  </c:pt>
                  <c:pt idx="122">
                    <c:v>Konnect-001-PRJ-WD</c:v>
                  </c:pt>
                  <c:pt idx="123">
                    <c:v>Terra-HouseMgmt-Dev</c:v>
                  </c:pt>
                  <c:pt idx="124">
                    <c:v>Terra-Module-Dev-Client-01</c:v>
                  </c:pt>
                  <c:pt idx="125">
                    <c:v>TotalDict-2024-2025-SUP</c:v>
                  </c:pt>
                  <c:pt idx="126">
                    <c:v>Внутренняя деятельность/Internal</c:v>
                  </c:pt>
                </c:lvl>
                <c:lvl>
                  <c:pt idx="0">
                    <c:v>Aleksandr Dmitriev</c:v>
                  </c:pt>
                  <c:pt idx="14">
                    <c:v>Alexandra Dementieva</c:v>
                  </c:pt>
                  <c:pt idx="22">
                    <c:v>Alexey Ponomarenko</c:v>
                  </c:pt>
                  <c:pt idx="24">
                    <c:v>Alice Boyarkina</c:v>
                  </c:pt>
                  <c:pt idx="27">
                    <c:v>Amir Khalikov</c:v>
                  </c:pt>
                  <c:pt idx="31">
                    <c:v>Amirjon Holikov</c:v>
                  </c:pt>
                  <c:pt idx="36">
                    <c:v>Andrey Erofeev</c:v>
                  </c:pt>
                  <c:pt idx="46">
                    <c:v>Boris Bartenev</c:v>
                  </c:pt>
                  <c:pt idx="49">
                    <c:v>Dmitry Barabin</c:v>
                  </c:pt>
                  <c:pt idx="55">
                    <c:v>Julia Shutova</c:v>
                  </c:pt>
                  <c:pt idx="63">
                    <c:v>Lev Totok</c:v>
                  </c:pt>
                  <c:pt idx="68">
                    <c:v>Mikhail Matyasov</c:v>
                  </c:pt>
                  <c:pt idx="80">
                    <c:v>Mikhail Pavlukhin</c:v>
                  </c:pt>
                  <c:pt idx="87">
                    <c:v>Mikhail Yurchenko</c:v>
                  </c:pt>
                  <c:pt idx="96">
                    <c:v>Nikita Avdonin</c:v>
                  </c:pt>
                  <c:pt idx="104">
                    <c:v>Nur-Magomed Tasuev</c:v>
                  </c:pt>
                  <c:pt idx="109">
                    <c:v>Oleg Rybikov</c:v>
                  </c:pt>
                  <c:pt idx="112">
                    <c:v>Sergey Lychagin</c:v>
                  </c:pt>
                  <c:pt idx="117">
                    <c:v>Timofey Kochetkov</c:v>
                  </c:pt>
                  <c:pt idx="121">
                    <c:v>Vadim Bondar</c:v>
                  </c:pt>
                </c:lvl>
              </c:multiLvlStrCache>
            </c:multiLvlStrRef>
          </c:cat>
          <c:val>
            <c:numRef>
              <c:f>PivotReport!$B$24:$B$171</c:f>
              <c:numCache>
                <c:formatCode>#\,##0.00\ "р."</c:formatCode>
                <c:ptCount val="127"/>
                <c:pt idx="10">
                  <c:v>165483.43474117649</c:v>
                </c:pt>
                <c:pt idx="12">
                  <c:v>87390.128458823528</c:v>
                </c:pt>
                <c:pt idx="19">
                  <c:v>39046.653141176466</c:v>
                </c:pt>
                <c:pt idx="21">
                  <c:v>24171.737658823527</c:v>
                </c:pt>
                <c:pt idx="22">
                  <c:v>62474.645035294117</c:v>
                </c:pt>
                <c:pt idx="23">
                  <c:v>78093.306294117647</c:v>
                </c:pt>
                <c:pt idx="24">
                  <c:v>30679.513182352945</c:v>
                </c:pt>
                <c:pt idx="25">
                  <c:v>14874.915482352941</c:v>
                </c:pt>
                <c:pt idx="26">
                  <c:v>72515.212976470604</c:v>
                </c:pt>
                <c:pt idx="34">
                  <c:v>101149.4253</c:v>
                </c:pt>
                <c:pt idx="36">
                  <c:v>65077.75523529412</c:v>
                </c:pt>
                <c:pt idx="37">
                  <c:v>46484.110882352943</c:v>
                </c:pt>
                <c:pt idx="42">
                  <c:v>188260.64907352941</c:v>
                </c:pt>
                <c:pt idx="43">
                  <c:v>16269.43880882353</c:v>
                </c:pt>
                <c:pt idx="46">
                  <c:v>66937.119676470582</c:v>
                </c:pt>
                <c:pt idx="47">
                  <c:v>81997.971603676458</c:v>
                </c:pt>
                <c:pt idx="48">
                  <c:v>78651.115619852935</c:v>
                </c:pt>
                <c:pt idx="52">
                  <c:v>126436.78160000005</c:v>
                </c:pt>
                <c:pt idx="61">
                  <c:v>189655.17240000001</c:v>
                </c:pt>
                <c:pt idx="64">
                  <c:v>77349.560523529421</c:v>
                </c:pt>
                <c:pt idx="67">
                  <c:v>23799.864776470589</c:v>
                </c:pt>
                <c:pt idx="69">
                  <c:v>249154.83432941177</c:v>
                </c:pt>
                <c:pt idx="72">
                  <c:v>3718.7288705882352</c:v>
                </c:pt>
                <c:pt idx="80">
                  <c:v>87018.255588970584</c:v>
                </c:pt>
                <c:pt idx="84">
                  <c:v>216430.02031102945</c:v>
                </c:pt>
                <c:pt idx="88">
                  <c:v>164367.8161</c:v>
                </c:pt>
                <c:pt idx="101">
                  <c:v>23799.864752941179</c:v>
                </c:pt>
                <c:pt idx="103">
                  <c:v>26774.847847058823</c:v>
                </c:pt>
                <c:pt idx="107">
                  <c:v>187680</c:v>
                </c:pt>
                <c:pt idx="111">
                  <c:v>5672</c:v>
                </c:pt>
                <c:pt idx="123">
                  <c:v>167342.79917647064</c:v>
                </c:pt>
                <c:pt idx="125">
                  <c:v>41835.699794117645</c:v>
                </c:pt>
                <c:pt idx="126">
                  <c:v>75304.259629411768</c:v>
                </c:pt>
              </c:numCache>
            </c:numRef>
          </c:val>
          <c:extLst>
            <c:ext xmlns:c16="http://schemas.microsoft.com/office/drawing/2014/chart" uri="{C3380CC4-5D6E-409C-BE32-E72D297353CC}">
              <c16:uniqueId val="{00000000-6BB0-409A-BF30-63893DEEB1AC}"/>
            </c:ext>
          </c:extLst>
        </c:ser>
        <c:ser>
          <c:idx val="1"/>
          <c:order val="1"/>
          <c:tx>
            <c:strRef>
              <c:f>PivotReport!$C$22:$C$23</c:f>
              <c:strCache>
                <c:ptCount val="1"/>
                <c:pt idx="0">
                  <c:v>фев 2025</c:v>
                </c:pt>
              </c:strCache>
            </c:strRef>
          </c:tx>
          <c:spPr>
            <a:solidFill>
              <a:schemeClr val="accent2"/>
            </a:solidFill>
            <a:ln>
              <a:noFill/>
            </a:ln>
            <a:effectLst/>
          </c:spPr>
          <c:invertIfNegative val="0"/>
          <c:cat>
            <c:multiLvlStrRef>
              <c:f>PivotReport!$A$24:$A$171</c:f>
              <c:multiLvlStrCache>
                <c:ptCount val="127"/>
                <c:lvl>
                  <c:pt idx="0">
                    <c:v>CustomDev_Presales</c:v>
                  </c:pt>
                  <c:pt idx="1">
                    <c:v>CustomDev_R&amp;D</c:v>
                  </c:pt>
                  <c:pt idx="2">
                    <c:v>HouseMgmt-Estimate-Audit</c:v>
                  </c:pt>
                  <c:pt idx="3">
                    <c:v>IC Viktoriya-003-SUP</c:v>
                  </c:pt>
                  <c:pt idx="4">
                    <c:v>IC Viktoriya-008-DC5</c:v>
                  </c:pt>
                  <c:pt idx="5">
                    <c:v>IC Viktoriya-009-DC6</c:v>
                  </c:pt>
                  <c:pt idx="6">
                    <c:v>IC Viktoriya-010-DC7</c:v>
                  </c:pt>
                  <c:pt idx="7">
                    <c:v>Konnect-001-PRJ-WD</c:v>
                  </c:pt>
                  <c:pt idx="8">
                    <c:v>Predubezhdai-001-SUP</c:v>
                  </c:pt>
                  <c:pt idx="9">
                    <c:v>ROSKOSMOS-RU-002-PRJ-DEV</c:v>
                  </c:pt>
                  <c:pt idx="10">
                    <c:v>Terra-HouseMgmt-Dev</c:v>
                  </c:pt>
                  <c:pt idx="11">
                    <c:v>Terra-Module-Dev-Client-01</c:v>
                  </c:pt>
                  <c:pt idx="12">
                    <c:v>Tetra-2024-2025-SUP</c:v>
                  </c:pt>
                  <c:pt idx="13">
                    <c:v>Внутренняя деятельность/Internal</c:v>
                  </c:pt>
                  <c:pt idx="14">
                    <c:v>CustomDev_R&amp;D</c:v>
                  </c:pt>
                  <c:pt idx="15">
                    <c:v>IC Viktoriya-003-SUP</c:v>
                  </c:pt>
                  <c:pt idx="16">
                    <c:v>IC Viktoriya-010-DC7</c:v>
                  </c:pt>
                  <c:pt idx="17">
                    <c:v>Konnect-001-PRJ-WD</c:v>
                  </c:pt>
                  <c:pt idx="18">
                    <c:v>Predubezhdai-001-SUP</c:v>
                  </c:pt>
                  <c:pt idx="19">
                    <c:v>Terra-HouseMgmt-Dev</c:v>
                  </c:pt>
                  <c:pt idx="20">
                    <c:v>Terra-Module-Dev-Client-01</c:v>
                  </c:pt>
                  <c:pt idx="21">
                    <c:v>Внутренняя деятельность/Internal</c:v>
                  </c:pt>
                  <c:pt idx="22">
                    <c:v>Spimex-001-Inkomand-HLD</c:v>
                  </c:pt>
                  <c:pt idx="23">
                    <c:v>Внутренняя деятельность/Internal</c:v>
                  </c:pt>
                  <c:pt idx="24">
                    <c:v>CABA_Presales</c:v>
                  </c:pt>
                  <c:pt idx="25">
                    <c:v>Spimex-001-Inkomand-HLD</c:v>
                  </c:pt>
                  <c:pt idx="26">
                    <c:v>Terra-HouseMgmt-Dev</c:v>
                  </c:pt>
                  <c:pt idx="27">
                    <c:v>CustomDev_R&amp;D</c:v>
                  </c:pt>
                  <c:pt idx="28">
                    <c:v>Konnect-002-PRJ-PoC</c:v>
                  </c:pt>
                  <c:pt idx="29">
                    <c:v>Terra-HouseMgmt-2-Analytics</c:v>
                  </c:pt>
                  <c:pt idx="30">
                    <c:v>Внутренняя деятельность/Internal</c:v>
                  </c:pt>
                  <c:pt idx="31">
                    <c:v>Bork-001-PRJ-WMS</c:v>
                  </c:pt>
                  <c:pt idx="32">
                    <c:v>CustomDev_R&amp;D</c:v>
                  </c:pt>
                  <c:pt idx="33">
                    <c:v>Konnect-001-PRJ-WD</c:v>
                  </c:pt>
                  <c:pt idx="34">
                    <c:v>Terra-HouseMgmt-Dev</c:v>
                  </c:pt>
                  <c:pt idx="35">
                    <c:v>Внутренняя деятельность/Internal</c:v>
                  </c:pt>
                  <c:pt idx="36">
                    <c:v>CustomDev_Presales</c:v>
                  </c:pt>
                  <c:pt idx="37">
                    <c:v>CustomDev_R&amp;D</c:v>
                  </c:pt>
                  <c:pt idx="38">
                    <c:v>HouseMgmt-Estimate-Audit</c:v>
                  </c:pt>
                  <c:pt idx="39">
                    <c:v>Predubezhdai-001-SUP</c:v>
                  </c:pt>
                  <c:pt idx="40">
                    <c:v>ROSKOSMOS-RU-002-PRJ-DEV</c:v>
                  </c:pt>
                  <c:pt idx="41">
                    <c:v>Terra-HouseMgmt-2-Analytics</c:v>
                  </c:pt>
                  <c:pt idx="42">
                    <c:v>Terra-HouseMgmt-Dev</c:v>
                  </c:pt>
                  <c:pt idx="43">
                    <c:v>Tetra-2024-2025-SUP</c:v>
                  </c:pt>
                  <c:pt idx="44">
                    <c:v>TotalDict-2024-2025-SUP</c:v>
                  </c:pt>
                  <c:pt idx="45">
                    <c:v>Внутренняя деятельность/Internal</c:v>
                  </c:pt>
                  <c:pt idx="46">
                    <c:v>Terra-HouseMgmt-Dev</c:v>
                  </c:pt>
                  <c:pt idx="47">
                    <c:v>Tetra-2024-2025-SUP</c:v>
                  </c:pt>
                  <c:pt idx="48">
                    <c:v>Внутренняя деятельность/Internal</c:v>
                  </c:pt>
                  <c:pt idx="49">
                    <c:v>Bork-001-PRJ-WMS</c:v>
                  </c:pt>
                  <c:pt idx="50">
                    <c:v>CustomDev_R&amp;D</c:v>
                  </c:pt>
                  <c:pt idx="51">
                    <c:v>HouseMgmt-Estimate-Audit</c:v>
                  </c:pt>
                  <c:pt idx="52">
                    <c:v>Spimex-001-Inkomand-HLD</c:v>
                  </c:pt>
                  <c:pt idx="53">
                    <c:v>Terra-HouseMgmt-2-Analytics</c:v>
                  </c:pt>
                  <c:pt idx="54">
                    <c:v>Внутренняя деятельность/Internal</c:v>
                  </c:pt>
                  <c:pt idx="55">
                    <c:v>CustomDev_Presales</c:v>
                  </c:pt>
                  <c:pt idx="56">
                    <c:v>CustomDev_R&amp;D</c:v>
                  </c:pt>
                  <c:pt idx="57">
                    <c:v>HouseMgmt-Estimate-Audit</c:v>
                  </c:pt>
                  <c:pt idx="58">
                    <c:v>Konnect-001-PRJ-WD</c:v>
                  </c:pt>
                  <c:pt idx="59">
                    <c:v>Konnect-002-PRJ-PoC</c:v>
                  </c:pt>
                  <c:pt idx="60">
                    <c:v>Terra-HouseMgmt-2-Analytics</c:v>
                  </c:pt>
                  <c:pt idx="61">
                    <c:v>Terra-HouseMgmt-Dev</c:v>
                  </c:pt>
                  <c:pt idx="62">
                    <c:v>Внутренняя деятельность/Internal</c:v>
                  </c:pt>
                  <c:pt idx="63">
                    <c:v>CustomDev_R&amp;D</c:v>
                  </c:pt>
                  <c:pt idx="64">
                    <c:v>ErtaShoes-001-SUP</c:v>
                  </c:pt>
                  <c:pt idx="65">
                    <c:v>Konnect-001-PRJ-WD</c:v>
                  </c:pt>
                  <c:pt idx="66">
                    <c:v>Predubezhdai-001-SUP</c:v>
                  </c:pt>
                  <c:pt idx="67">
                    <c:v>Внутренняя деятельность/Internal</c:v>
                  </c:pt>
                  <c:pt idx="68">
                    <c:v> IC Viktoriya-004-DC1</c:v>
                  </c:pt>
                  <c:pt idx="69">
                    <c:v>BLT-011-PRJ-DS18</c:v>
                  </c:pt>
                  <c:pt idx="70">
                    <c:v>CustomDev_R&amp;D</c:v>
                  </c:pt>
                  <c:pt idx="71">
                    <c:v>Finist-001-PRJ-DEV</c:v>
                  </c:pt>
                  <c:pt idx="72">
                    <c:v>IC Viktoriya-003-SUP</c:v>
                  </c:pt>
                  <c:pt idx="73">
                    <c:v>IC Viktoriya-005-DC2</c:v>
                  </c:pt>
                  <c:pt idx="74">
                    <c:v>IC Viktoriya-006-DC3</c:v>
                  </c:pt>
                  <c:pt idx="75">
                    <c:v>IC Viktoriya-007-DC4</c:v>
                  </c:pt>
                  <c:pt idx="76">
                    <c:v>IC Viktoriya-008-DC5</c:v>
                  </c:pt>
                  <c:pt idx="77">
                    <c:v>IC Viktoriya-009-DC6</c:v>
                  </c:pt>
                  <c:pt idx="78">
                    <c:v>Tetra-2024-2025-SUP</c:v>
                  </c:pt>
                  <c:pt idx="79">
                    <c:v>Внутренняя деятельность/Internal</c:v>
                  </c:pt>
                  <c:pt idx="80">
                    <c:v>CustomDev_Presales</c:v>
                  </c:pt>
                  <c:pt idx="81">
                    <c:v>CustomDev_R&amp;D</c:v>
                  </c:pt>
                  <c:pt idx="82">
                    <c:v>HouseMgmt-Estimate-Audit</c:v>
                  </c:pt>
                  <c:pt idx="83">
                    <c:v>ROSKOSMOS-RU-002-PRJ-DEV</c:v>
                  </c:pt>
                  <c:pt idx="84">
                    <c:v>Terra-HouseMgmt-Dev</c:v>
                  </c:pt>
                  <c:pt idx="85">
                    <c:v>Terra-Module-Dev-Client-01</c:v>
                  </c:pt>
                  <c:pt idx="86">
                    <c:v>Внутренняя деятельность/Internal</c:v>
                  </c:pt>
                  <c:pt idx="87">
                    <c:v> IC Viktoriya-004-DC1</c:v>
                  </c:pt>
                  <c:pt idx="88">
                    <c:v>BLT-011-PRJ-DS18</c:v>
                  </c:pt>
                  <c:pt idx="89">
                    <c:v>CERRI-001-AUDIT-CD</c:v>
                  </c:pt>
                  <c:pt idx="90">
                    <c:v>CustomDev_R&amp;D</c:v>
                  </c:pt>
                  <c:pt idx="91">
                    <c:v>Finist-001-PRJ-DEV</c:v>
                  </c:pt>
                  <c:pt idx="92">
                    <c:v>IC Viktoriya-003-SUP</c:v>
                  </c:pt>
                  <c:pt idx="93">
                    <c:v>IC Viktoriya-009-DC6</c:v>
                  </c:pt>
                  <c:pt idx="94">
                    <c:v>Konnect-001-PRJ-WD</c:v>
                  </c:pt>
                  <c:pt idx="95">
                    <c:v>Внутренняя деятельность/Internal</c:v>
                  </c:pt>
                  <c:pt idx="96">
                    <c:v>BLT-011-PRJ-DS18</c:v>
                  </c:pt>
                  <c:pt idx="97">
                    <c:v>CustomDev_R&amp;D</c:v>
                  </c:pt>
                  <c:pt idx="98">
                    <c:v>IC Viktoriya-008-DC5</c:v>
                  </c:pt>
                  <c:pt idx="99">
                    <c:v>IC Viktoriya-009-DC6</c:v>
                  </c:pt>
                  <c:pt idx="100">
                    <c:v>Terra-HouseMgmt-2-Analytics</c:v>
                  </c:pt>
                  <c:pt idx="101">
                    <c:v>Terra-HouseMgmt-Dev</c:v>
                  </c:pt>
                  <c:pt idx="102">
                    <c:v>Terra-Module-Dev-Client-01</c:v>
                  </c:pt>
                  <c:pt idx="103">
                    <c:v>Внутренняя деятельность/Internal</c:v>
                  </c:pt>
                  <c:pt idx="104">
                    <c:v>CustomDev_R&amp;D</c:v>
                  </c:pt>
                  <c:pt idx="105">
                    <c:v>Konnect-001-PRJ-WD</c:v>
                  </c:pt>
                  <c:pt idx="106">
                    <c:v>Predubezhdai-001-SUP</c:v>
                  </c:pt>
                  <c:pt idx="107">
                    <c:v>Terra-HouseMgmt-Dev</c:v>
                  </c:pt>
                  <c:pt idx="108">
                    <c:v>Terra-Module-Dev-Client-01</c:v>
                  </c:pt>
                  <c:pt idx="109">
                    <c:v>CustomDev_R&amp;D</c:v>
                  </c:pt>
                  <c:pt idx="110">
                    <c:v>Konnect-001-PRJ-WD</c:v>
                  </c:pt>
                  <c:pt idx="111">
                    <c:v>Terra-HouseMgmt-Dev</c:v>
                  </c:pt>
                  <c:pt idx="112">
                    <c:v>Bork-001-PRJ-WMS</c:v>
                  </c:pt>
                  <c:pt idx="113">
                    <c:v>CustomDev_Presales</c:v>
                  </c:pt>
                  <c:pt idx="114">
                    <c:v>CustomDev_R&amp;D</c:v>
                  </c:pt>
                  <c:pt idx="115">
                    <c:v>Predubezhdai-001-SUP</c:v>
                  </c:pt>
                  <c:pt idx="116">
                    <c:v>Внутренняя деятельность/Internal</c:v>
                  </c:pt>
                  <c:pt idx="117">
                    <c:v>CustomDev_R&amp;D</c:v>
                  </c:pt>
                  <c:pt idx="118">
                    <c:v>Terra-HouseMgmt-Dev</c:v>
                  </c:pt>
                  <c:pt idx="119">
                    <c:v>Terra-Module-Dev-Client-01</c:v>
                  </c:pt>
                  <c:pt idx="120">
                    <c:v>Внутренняя деятельность/Internal</c:v>
                  </c:pt>
                  <c:pt idx="121">
                    <c:v>CustomDev_R&amp;D</c:v>
                  </c:pt>
                  <c:pt idx="122">
                    <c:v>Konnect-001-PRJ-WD</c:v>
                  </c:pt>
                  <c:pt idx="123">
                    <c:v>Terra-HouseMgmt-Dev</c:v>
                  </c:pt>
                  <c:pt idx="124">
                    <c:v>Terra-Module-Dev-Client-01</c:v>
                  </c:pt>
                  <c:pt idx="125">
                    <c:v>TotalDict-2024-2025-SUP</c:v>
                  </c:pt>
                  <c:pt idx="126">
                    <c:v>Внутренняя деятельность/Internal</c:v>
                  </c:pt>
                </c:lvl>
                <c:lvl>
                  <c:pt idx="0">
                    <c:v>Aleksandr Dmitriev</c:v>
                  </c:pt>
                  <c:pt idx="14">
                    <c:v>Alexandra Dementieva</c:v>
                  </c:pt>
                  <c:pt idx="22">
                    <c:v>Alexey Ponomarenko</c:v>
                  </c:pt>
                  <c:pt idx="24">
                    <c:v>Alice Boyarkina</c:v>
                  </c:pt>
                  <c:pt idx="27">
                    <c:v>Amir Khalikov</c:v>
                  </c:pt>
                  <c:pt idx="31">
                    <c:v>Amirjon Holikov</c:v>
                  </c:pt>
                  <c:pt idx="36">
                    <c:v>Andrey Erofeev</c:v>
                  </c:pt>
                  <c:pt idx="46">
                    <c:v>Boris Bartenev</c:v>
                  </c:pt>
                  <c:pt idx="49">
                    <c:v>Dmitry Barabin</c:v>
                  </c:pt>
                  <c:pt idx="55">
                    <c:v>Julia Shutova</c:v>
                  </c:pt>
                  <c:pt idx="63">
                    <c:v>Lev Totok</c:v>
                  </c:pt>
                  <c:pt idx="68">
                    <c:v>Mikhail Matyasov</c:v>
                  </c:pt>
                  <c:pt idx="80">
                    <c:v>Mikhail Pavlukhin</c:v>
                  </c:pt>
                  <c:pt idx="87">
                    <c:v>Mikhail Yurchenko</c:v>
                  </c:pt>
                  <c:pt idx="96">
                    <c:v>Nikita Avdonin</c:v>
                  </c:pt>
                  <c:pt idx="104">
                    <c:v>Nur-Magomed Tasuev</c:v>
                  </c:pt>
                  <c:pt idx="109">
                    <c:v>Oleg Rybikov</c:v>
                  </c:pt>
                  <c:pt idx="112">
                    <c:v>Sergey Lychagin</c:v>
                  </c:pt>
                  <c:pt idx="117">
                    <c:v>Timofey Kochetkov</c:v>
                  </c:pt>
                  <c:pt idx="121">
                    <c:v>Vadim Bondar</c:v>
                  </c:pt>
                </c:lvl>
              </c:multiLvlStrCache>
            </c:multiLvlStrRef>
          </c:cat>
          <c:val>
            <c:numRef>
              <c:f>PivotReport!$C$24:$C$171</c:f>
              <c:numCache>
                <c:formatCode>#\,##0.00\ "р."</c:formatCode>
                <c:ptCount val="127"/>
                <c:pt idx="0">
                  <c:v>31609.195399999997</c:v>
                </c:pt>
                <c:pt idx="1">
                  <c:v>47413.793099999995</c:v>
                </c:pt>
                <c:pt idx="8">
                  <c:v>34770.114939999999</c:v>
                </c:pt>
                <c:pt idx="10">
                  <c:v>139080.45976</c:v>
                </c:pt>
                <c:pt idx="19">
                  <c:v>44252.87356</c:v>
                </c:pt>
                <c:pt idx="21">
                  <c:v>18965.517240000001</c:v>
                </c:pt>
                <c:pt idx="34">
                  <c:v>101149.4253</c:v>
                </c:pt>
                <c:pt idx="36">
                  <c:v>59267.241375000005</c:v>
                </c:pt>
                <c:pt idx="37">
                  <c:v>51364.942525000006</c:v>
                </c:pt>
                <c:pt idx="39">
                  <c:v>5926.7241375000012</c:v>
                </c:pt>
                <c:pt idx="42">
                  <c:v>197557.47125000003</c:v>
                </c:pt>
                <c:pt idx="43">
                  <c:v>1975.5747125000003</c:v>
                </c:pt>
                <c:pt idx="46">
                  <c:v>79655.172414999994</c:v>
                </c:pt>
                <c:pt idx="47">
                  <c:v>9956.8965518749992</c:v>
                </c:pt>
                <c:pt idx="48">
                  <c:v>137974.13793312499</c:v>
                </c:pt>
                <c:pt idx="52">
                  <c:v>126436.78160000005</c:v>
                </c:pt>
                <c:pt idx="61">
                  <c:v>189655.1724000001</c:v>
                </c:pt>
                <c:pt idx="64">
                  <c:v>34770.114946875001</c:v>
                </c:pt>
                <c:pt idx="66">
                  <c:v>31609.195406250001</c:v>
                </c:pt>
                <c:pt idx="67">
                  <c:v>35402.298855000001</c:v>
                </c:pt>
                <c:pt idx="68">
                  <c:v>33189.655169999998</c:v>
                </c:pt>
                <c:pt idx="69">
                  <c:v>143821.83907000002</c:v>
                </c:pt>
                <c:pt idx="72">
                  <c:v>12643.678159999999</c:v>
                </c:pt>
                <c:pt idx="80">
                  <c:v>91034.482770000002</c:v>
                </c:pt>
                <c:pt idx="84">
                  <c:v>212413.79313000001</c:v>
                </c:pt>
                <c:pt idx="87">
                  <c:v>41091.954024999999</c:v>
                </c:pt>
                <c:pt idx="88">
                  <c:v>20545.9770125</c:v>
                </c:pt>
                <c:pt idx="90">
                  <c:v>80129.31034874999</c:v>
                </c:pt>
                <c:pt idx="96">
                  <c:v>10114.942520000001</c:v>
                </c:pt>
                <c:pt idx="101">
                  <c:v>17701.149409999998</c:v>
                </c:pt>
                <c:pt idx="103">
                  <c:v>22758.62067</c:v>
                </c:pt>
                <c:pt idx="107">
                  <c:v>216660</c:v>
                </c:pt>
                <c:pt idx="111">
                  <c:v>163637.20000000001</c:v>
                </c:pt>
                <c:pt idx="115">
                  <c:v>230114.94252500002</c:v>
                </c:pt>
                <c:pt idx="123">
                  <c:v>213362.0689500001</c:v>
                </c:pt>
                <c:pt idx="125">
                  <c:v>71120.68965</c:v>
                </c:pt>
              </c:numCache>
            </c:numRef>
          </c:val>
          <c:extLst>
            <c:ext xmlns:c16="http://schemas.microsoft.com/office/drawing/2014/chart" uri="{C3380CC4-5D6E-409C-BE32-E72D297353CC}">
              <c16:uniqueId val="{00000001-6BB0-409A-BF30-63893DEEB1AC}"/>
            </c:ext>
          </c:extLst>
        </c:ser>
        <c:ser>
          <c:idx val="2"/>
          <c:order val="2"/>
          <c:tx>
            <c:strRef>
              <c:f>PivotReport!$D$22:$D$23</c:f>
              <c:strCache>
                <c:ptCount val="1"/>
                <c:pt idx="0">
                  <c:v>мар 2025</c:v>
                </c:pt>
              </c:strCache>
            </c:strRef>
          </c:tx>
          <c:spPr>
            <a:solidFill>
              <a:schemeClr val="accent3"/>
            </a:solidFill>
            <a:ln>
              <a:noFill/>
            </a:ln>
            <a:effectLst/>
          </c:spPr>
          <c:invertIfNegative val="0"/>
          <c:cat>
            <c:multiLvlStrRef>
              <c:f>PivotReport!$A$24:$A$171</c:f>
              <c:multiLvlStrCache>
                <c:ptCount val="127"/>
                <c:lvl>
                  <c:pt idx="0">
                    <c:v>CustomDev_Presales</c:v>
                  </c:pt>
                  <c:pt idx="1">
                    <c:v>CustomDev_R&amp;D</c:v>
                  </c:pt>
                  <c:pt idx="2">
                    <c:v>HouseMgmt-Estimate-Audit</c:v>
                  </c:pt>
                  <c:pt idx="3">
                    <c:v>IC Viktoriya-003-SUP</c:v>
                  </c:pt>
                  <c:pt idx="4">
                    <c:v>IC Viktoriya-008-DC5</c:v>
                  </c:pt>
                  <c:pt idx="5">
                    <c:v>IC Viktoriya-009-DC6</c:v>
                  </c:pt>
                  <c:pt idx="6">
                    <c:v>IC Viktoriya-010-DC7</c:v>
                  </c:pt>
                  <c:pt idx="7">
                    <c:v>Konnect-001-PRJ-WD</c:v>
                  </c:pt>
                  <c:pt idx="8">
                    <c:v>Predubezhdai-001-SUP</c:v>
                  </c:pt>
                  <c:pt idx="9">
                    <c:v>ROSKOSMOS-RU-002-PRJ-DEV</c:v>
                  </c:pt>
                  <c:pt idx="10">
                    <c:v>Terra-HouseMgmt-Dev</c:v>
                  </c:pt>
                  <c:pt idx="11">
                    <c:v>Terra-Module-Dev-Client-01</c:v>
                  </c:pt>
                  <c:pt idx="12">
                    <c:v>Tetra-2024-2025-SUP</c:v>
                  </c:pt>
                  <c:pt idx="13">
                    <c:v>Внутренняя деятельность/Internal</c:v>
                  </c:pt>
                  <c:pt idx="14">
                    <c:v>CustomDev_R&amp;D</c:v>
                  </c:pt>
                  <c:pt idx="15">
                    <c:v>IC Viktoriya-003-SUP</c:v>
                  </c:pt>
                  <c:pt idx="16">
                    <c:v>IC Viktoriya-010-DC7</c:v>
                  </c:pt>
                  <c:pt idx="17">
                    <c:v>Konnect-001-PRJ-WD</c:v>
                  </c:pt>
                  <c:pt idx="18">
                    <c:v>Predubezhdai-001-SUP</c:v>
                  </c:pt>
                  <c:pt idx="19">
                    <c:v>Terra-HouseMgmt-Dev</c:v>
                  </c:pt>
                  <c:pt idx="20">
                    <c:v>Terra-Module-Dev-Client-01</c:v>
                  </c:pt>
                  <c:pt idx="21">
                    <c:v>Внутренняя деятельность/Internal</c:v>
                  </c:pt>
                  <c:pt idx="22">
                    <c:v>Spimex-001-Inkomand-HLD</c:v>
                  </c:pt>
                  <c:pt idx="23">
                    <c:v>Внутренняя деятельность/Internal</c:v>
                  </c:pt>
                  <c:pt idx="24">
                    <c:v>CABA_Presales</c:v>
                  </c:pt>
                  <c:pt idx="25">
                    <c:v>Spimex-001-Inkomand-HLD</c:v>
                  </c:pt>
                  <c:pt idx="26">
                    <c:v>Terra-HouseMgmt-Dev</c:v>
                  </c:pt>
                  <c:pt idx="27">
                    <c:v>CustomDev_R&amp;D</c:v>
                  </c:pt>
                  <c:pt idx="28">
                    <c:v>Konnect-002-PRJ-PoC</c:v>
                  </c:pt>
                  <c:pt idx="29">
                    <c:v>Terra-HouseMgmt-2-Analytics</c:v>
                  </c:pt>
                  <c:pt idx="30">
                    <c:v>Внутренняя деятельность/Internal</c:v>
                  </c:pt>
                  <c:pt idx="31">
                    <c:v>Bork-001-PRJ-WMS</c:v>
                  </c:pt>
                  <c:pt idx="32">
                    <c:v>CustomDev_R&amp;D</c:v>
                  </c:pt>
                  <c:pt idx="33">
                    <c:v>Konnect-001-PRJ-WD</c:v>
                  </c:pt>
                  <c:pt idx="34">
                    <c:v>Terra-HouseMgmt-Dev</c:v>
                  </c:pt>
                  <c:pt idx="35">
                    <c:v>Внутренняя деятельность/Internal</c:v>
                  </c:pt>
                  <c:pt idx="36">
                    <c:v>CustomDev_Presales</c:v>
                  </c:pt>
                  <c:pt idx="37">
                    <c:v>CustomDev_R&amp;D</c:v>
                  </c:pt>
                  <c:pt idx="38">
                    <c:v>HouseMgmt-Estimate-Audit</c:v>
                  </c:pt>
                  <c:pt idx="39">
                    <c:v>Predubezhdai-001-SUP</c:v>
                  </c:pt>
                  <c:pt idx="40">
                    <c:v>ROSKOSMOS-RU-002-PRJ-DEV</c:v>
                  </c:pt>
                  <c:pt idx="41">
                    <c:v>Terra-HouseMgmt-2-Analytics</c:v>
                  </c:pt>
                  <c:pt idx="42">
                    <c:v>Terra-HouseMgmt-Dev</c:v>
                  </c:pt>
                  <c:pt idx="43">
                    <c:v>Tetra-2024-2025-SUP</c:v>
                  </c:pt>
                  <c:pt idx="44">
                    <c:v>TotalDict-2024-2025-SUP</c:v>
                  </c:pt>
                  <c:pt idx="45">
                    <c:v>Внутренняя деятельность/Internal</c:v>
                  </c:pt>
                  <c:pt idx="46">
                    <c:v>Terra-HouseMgmt-Dev</c:v>
                  </c:pt>
                  <c:pt idx="47">
                    <c:v>Tetra-2024-2025-SUP</c:v>
                  </c:pt>
                  <c:pt idx="48">
                    <c:v>Внутренняя деятельность/Internal</c:v>
                  </c:pt>
                  <c:pt idx="49">
                    <c:v>Bork-001-PRJ-WMS</c:v>
                  </c:pt>
                  <c:pt idx="50">
                    <c:v>CustomDev_R&amp;D</c:v>
                  </c:pt>
                  <c:pt idx="51">
                    <c:v>HouseMgmt-Estimate-Audit</c:v>
                  </c:pt>
                  <c:pt idx="52">
                    <c:v>Spimex-001-Inkomand-HLD</c:v>
                  </c:pt>
                  <c:pt idx="53">
                    <c:v>Terra-HouseMgmt-2-Analytics</c:v>
                  </c:pt>
                  <c:pt idx="54">
                    <c:v>Внутренняя деятельность/Internal</c:v>
                  </c:pt>
                  <c:pt idx="55">
                    <c:v>CustomDev_Presales</c:v>
                  </c:pt>
                  <c:pt idx="56">
                    <c:v>CustomDev_R&amp;D</c:v>
                  </c:pt>
                  <c:pt idx="57">
                    <c:v>HouseMgmt-Estimate-Audit</c:v>
                  </c:pt>
                  <c:pt idx="58">
                    <c:v>Konnect-001-PRJ-WD</c:v>
                  </c:pt>
                  <c:pt idx="59">
                    <c:v>Konnect-002-PRJ-PoC</c:v>
                  </c:pt>
                  <c:pt idx="60">
                    <c:v>Terra-HouseMgmt-2-Analytics</c:v>
                  </c:pt>
                  <c:pt idx="61">
                    <c:v>Terra-HouseMgmt-Dev</c:v>
                  </c:pt>
                  <c:pt idx="62">
                    <c:v>Внутренняя деятельность/Internal</c:v>
                  </c:pt>
                  <c:pt idx="63">
                    <c:v>CustomDev_R&amp;D</c:v>
                  </c:pt>
                  <c:pt idx="64">
                    <c:v>ErtaShoes-001-SUP</c:v>
                  </c:pt>
                  <c:pt idx="65">
                    <c:v>Konnect-001-PRJ-WD</c:v>
                  </c:pt>
                  <c:pt idx="66">
                    <c:v>Predubezhdai-001-SUP</c:v>
                  </c:pt>
                  <c:pt idx="67">
                    <c:v>Внутренняя деятельность/Internal</c:v>
                  </c:pt>
                  <c:pt idx="68">
                    <c:v> IC Viktoriya-004-DC1</c:v>
                  </c:pt>
                  <c:pt idx="69">
                    <c:v>BLT-011-PRJ-DS18</c:v>
                  </c:pt>
                  <c:pt idx="70">
                    <c:v>CustomDev_R&amp;D</c:v>
                  </c:pt>
                  <c:pt idx="71">
                    <c:v>Finist-001-PRJ-DEV</c:v>
                  </c:pt>
                  <c:pt idx="72">
                    <c:v>IC Viktoriya-003-SUP</c:v>
                  </c:pt>
                  <c:pt idx="73">
                    <c:v>IC Viktoriya-005-DC2</c:v>
                  </c:pt>
                  <c:pt idx="74">
                    <c:v>IC Viktoriya-006-DC3</c:v>
                  </c:pt>
                  <c:pt idx="75">
                    <c:v>IC Viktoriya-007-DC4</c:v>
                  </c:pt>
                  <c:pt idx="76">
                    <c:v>IC Viktoriya-008-DC5</c:v>
                  </c:pt>
                  <c:pt idx="77">
                    <c:v>IC Viktoriya-009-DC6</c:v>
                  </c:pt>
                  <c:pt idx="78">
                    <c:v>Tetra-2024-2025-SUP</c:v>
                  </c:pt>
                  <c:pt idx="79">
                    <c:v>Внутренняя деятельность/Internal</c:v>
                  </c:pt>
                  <c:pt idx="80">
                    <c:v>CustomDev_Presales</c:v>
                  </c:pt>
                  <c:pt idx="81">
                    <c:v>CustomDev_R&amp;D</c:v>
                  </c:pt>
                  <c:pt idx="82">
                    <c:v>HouseMgmt-Estimate-Audit</c:v>
                  </c:pt>
                  <c:pt idx="83">
                    <c:v>ROSKOSMOS-RU-002-PRJ-DEV</c:v>
                  </c:pt>
                  <c:pt idx="84">
                    <c:v>Terra-HouseMgmt-Dev</c:v>
                  </c:pt>
                  <c:pt idx="85">
                    <c:v>Terra-Module-Dev-Client-01</c:v>
                  </c:pt>
                  <c:pt idx="86">
                    <c:v>Внутренняя деятельность/Internal</c:v>
                  </c:pt>
                  <c:pt idx="87">
                    <c:v> IC Viktoriya-004-DC1</c:v>
                  </c:pt>
                  <c:pt idx="88">
                    <c:v>BLT-011-PRJ-DS18</c:v>
                  </c:pt>
                  <c:pt idx="89">
                    <c:v>CERRI-001-AUDIT-CD</c:v>
                  </c:pt>
                  <c:pt idx="90">
                    <c:v>CustomDev_R&amp;D</c:v>
                  </c:pt>
                  <c:pt idx="91">
                    <c:v>Finist-001-PRJ-DEV</c:v>
                  </c:pt>
                  <c:pt idx="92">
                    <c:v>IC Viktoriya-003-SUP</c:v>
                  </c:pt>
                  <c:pt idx="93">
                    <c:v>IC Viktoriya-009-DC6</c:v>
                  </c:pt>
                  <c:pt idx="94">
                    <c:v>Konnect-001-PRJ-WD</c:v>
                  </c:pt>
                  <c:pt idx="95">
                    <c:v>Внутренняя деятельность/Internal</c:v>
                  </c:pt>
                  <c:pt idx="96">
                    <c:v>BLT-011-PRJ-DS18</c:v>
                  </c:pt>
                  <c:pt idx="97">
                    <c:v>CustomDev_R&amp;D</c:v>
                  </c:pt>
                  <c:pt idx="98">
                    <c:v>IC Viktoriya-008-DC5</c:v>
                  </c:pt>
                  <c:pt idx="99">
                    <c:v>IC Viktoriya-009-DC6</c:v>
                  </c:pt>
                  <c:pt idx="100">
                    <c:v>Terra-HouseMgmt-2-Analytics</c:v>
                  </c:pt>
                  <c:pt idx="101">
                    <c:v>Terra-HouseMgmt-Dev</c:v>
                  </c:pt>
                  <c:pt idx="102">
                    <c:v>Terra-Module-Dev-Client-01</c:v>
                  </c:pt>
                  <c:pt idx="103">
                    <c:v>Внутренняя деятельность/Internal</c:v>
                  </c:pt>
                  <c:pt idx="104">
                    <c:v>CustomDev_R&amp;D</c:v>
                  </c:pt>
                  <c:pt idx="105">
                    <c:v>Konnect-001-PRJ-WD</c:v>
                  </c:pt>
                  <c:pt idx="106">
                    <c:v>Predubezhdai-001-SUP</c:v>
                  </c:pt>
                  <c:pt idx="107">
                    <c:v>Terra-HouseMgmt-Dev</c:v>
                  </c:pt>
                  <c:pt idx="108">
                    <c:v>Terra-Module-Dev-Client-01</c:v>
                  </c:pt>
                  <c:pt idx="109">
                    <c:v>CustomDev_R&amp;D</c:v>
                  </c:pt>
                  <c:pt idx="110">
                    <c:v>Konnect-001-PRJ-WD</c:v>
                  </c:pt>
                  <c:pt idx="111">
                    <c:v>Terra-HouseMgmt-Dev</c:v>
                  </c:pt>
                  <c:pt idx="112">
                    <c:v>Bork-001-PRJ-WMS</c:v>
                  </c:pt>
                  <c:pt idx="113">
                    <c:v>CustomDev_Presales</c:v>
                  </c:pt>
                  <c:pt idx="114">
                    <c:v>CustomDev_R&amp;D</c:v>
                  </c:pt>
                  <c:pt idx="115">
                    <c:v>Predubezhdai-001-SUP</c:v>
                  </c:pt>
                  <c:pt idx="116">
                    <c:v>Внутренняя деятельность/Internal</c:v>
                  </c:pt>
                  <c:pt idx="117">
                    <c:v>CustomDev_R&amp;D</c:v>
                  </c:pt>
                  <c:pt idx="118">
                    <c:v>Terra-HouseMgmt-Dev</c:v>
                  </c:pt>
                  <c:pt idx="119">
                    <c:v>Terra-Module-Dev-Client-01</c:v>
                  </c:pt>
                  <c:pt idx="120">
                    <c:v>Внутренняя деятельность/Internal</c:v>
                  </c:pt>
                  <c:pt idx="121">
                    <c:v>CustomDev_R&amp;D</c:v>
                  </c:pt>
                  <c:pt idx="122">
                    <c:v>Konnect-001-PRJ-WD</c:v>
                  </c:pt>
                  <c:pt idx="123">
                    <c:v>Terra-HouseMgmt-Dev</c:v>
                  </c:pt>
                  <c:pt idx="124">
                    <c:v>Terra-Module-Dev-Client-01</c:v>
                  </c:pt>
                  <c:pt idx="125">
                    <c:v>TotalDict-2024-2025-SUP</c:v>
                  </c:pt>
                  <c:pt idx="126">
                    <c:v>Внутренняя деятельность/Internal</c:v>
                  </c:pt>
                </c:lvl>
                <c:lvl>
                  <c:pt idx="0">
                    <c:v>Aleksandr Dmitriev</c:v>
                  </c:pt>
                  <c:pt idx="14">
                    <c:v>Alexandra Dementieva</c:v>
                  </c:pt>
                  <c:pt idx="22">
                    <c:v>Alexey Ponomarenko</c:v>
                  </c:pt>
                  <c:pt idx="24">
                    <c:v>Alice Boyarkina</c:v>
                  </c:pt>
                  <c:pt idx="27">
                    <c:v>Amir Khalikov</c:v>
                  </c:pt>
                  <c:pt idx="31">
                    <c:v>Amirjon Holikov</c:v>
                  </c:pt>
                  <c:pt idx="36">
                    <c:v>Andrey Erofeev</c:v>
                  </c:pt>
                  <c:pt idx="46">
                    <c:v>Boris Bartenev</c:v>
                  </c:pt>
                  <c:pt idx="49">
                    <c:v>Dmitry Barabin</c:v>
                  </c:pt>
                  <c:pt idx="55">
                    <c:v>Julia Shutova</c:v>
                  </c:pt>
                  <c:pt idx="63">
                    <c:v>Lev Totok</c:v>
                  </c:pt>
                  <c:pt idx="68">
                    <c:v>Mikhail Matyasov</c:v>
                  </c:pt>
                  <c:pt idx="80">
                    <c:v>Mikhail Pavlukhin</c:v>
                  </c:pt>
                  <c:pt idx="87">
                    <c:v>Mikhail Yurchenko</c:v>
                  </c:pt>
                  <c:pt idx="96">
                    <c:v>Nikita Avdonin</c:v>
                  </c:pt>
                  <c:pt idx="104">
                    <c:v>Nur-Magomed Tasuev</c:v>
                  </c:pt>
                  <c:pt idx="109">
                    <c:v>Oleg Rybikov</c:v>
                  </c:pt>
                  <c:pt idx="112">
                    <c:v>Sergey Lychagin</c:v>
                  </c:pt>
                  <c:pt idx="117">
                    <c:v>Timofey Kochetkov</c:v>
                  </c:pt>
                  <c:pt idx="121">
                    <c:v>Vadim Bondar</c:v>
                  </c:pt>
                </c:lvl>
              </c:multiLvlStrCache>
            </c:multiLvlStrRef>
          </c:cat>
          <c:val>
            <c:numRef>
              <c:f>PivotReport!$D$24:$D$171</c:f>
              <c:numCache>
                <c:formatCode>#\,##0.00\ "р."</c:formatCode>
                <c:ptCount val="127"/>
                <c:pt idx="0">
                  <c:v>22577.996714285713</c:v>
                </c:pt>
                <c:pt idx="1">
                  <c:v>37629.994523809524</c:v>
                </c:pt>
                <c:pt idx="2">
                  <c:v>25588.396276190477</c:v>
                </c:pt>
                <c:pt idx="6">
                  <c:v>15051.997809523809</c:v>
                </c:pt>
                <c:pt idx="8">
                  <c:v>39135.194304761906</c:v>
                </c:pt>
                <c:pt idx="10">
                  <c:v>57197.591676190474</c:v>
                </c:pt>
                <c:pt idx="12">
                  <c:v>55692.391895238092</c:v>
                </c:pt>
                <c:pt idx="15">
                  <c:v>3010.3995619047619</c:v>
                </c:pt>
                <c:pt idx="16">
                  <c:v>9031.1986857142856</c:v>
                </c:pt>
                <c:pt idx="19">
                  <c:v>12041.598247619047</c:v>
                </c:pt>
                <c:pt idx="21">
                  <c:v>39135.194304761906</c:v>
                </c:pt>
                <c:pt idx="28">
                  <c:v>81280.788171428576</c:v>
                </c:pt>
                <c:pt idx="31">
                  <c:v>4816.6392999999998</c:v>
                </c:pt>
                <c:pt idx="34">
                  <c:v>96332.785999999993</c:v>
                </c:pt>
                <c:pt idx="36">
                  <c:v>135467.98028571429</c:v>
                </c:pt>
                <c:pt idx="37">
                  <c:v>135467.98028571429</c:v>
                </c:pt>
                <c:pt idx="38">
                  <c:v>42898.193757142857</c:v>
                </c:pt>
                <c:pt idx="39">
                  <c:v>6773.3990142857147</c:v>
                </c:pt>
                <c:pt idx="43">
                  <c:v>9031.1986857142856</c:v>
                </c:pt>
                <c:pt idx="44">
                  <c:v>49671.592771428572</c:v>
                </c:pt>
                <c:pt idx="46">
                  <c:v>39285.714286309521</c:v>
                </c:pt>
                <c:pt idx="47">
                  <c:v>4064.039408928571</c:v>
                </c:pt>
                <c:pt idx="49">
                  <c:v>18062.397371428571</c:v>
                </c:pt>
                <c:pt idx="51">
                  <c:v>108374.38422857143</c:v>
                </c:pt>
                <c:pt idx="57">
                  <c:v>36124.794742857142</c:v>
                </c:pt>
                <c:pt idx="59">
                  <c:v>90311.986857142852</c:v>
                </c:pt>
                <c:pt idx="61">
                  <c:v>63218.390799999994</c:v>
                </c:pt>
                <c:pt idx="66">
                  <c:v>52983.032300000006</c:v>
                </c:pt>
                <c:pt idx="67">
                  <c:v>48166.393000000004</c:v>
                </c:pt>
                <c:pt idx="71">
                  <c:v>130952.38094285718</c:v>
                </c:pt>
                <c:pt idx="72">
                  <c:v>55692.391895238092</c:v>
                </c:pt>
                <c:pt idx="73">
                  <c:v>54187.192114285717</c:v>
                </c:pt>
                <c:pt idx="78">
                  <c:v>12041.598247619047</c:v>
                </c:pt>
                <c:pt idx="80">
                  <c:v>28899.835800000001</c:v>
                </c:pt>
                <c:pt idx="82">
                  <c:v>79474.548450000002</c:v>
                </c:pt>
                <c:pt idx="84">
                  <c:v>195254.51562374999</c:v>
                </c:pt>
                <c:pt idx="95">
                  <c:v>56746.031748809524</c:v>
                </c:pt>
                <c:pt idx="101">
                  <c:v>39737.274238095248</c:v>
                </c:pt>
                <c:pt idx="103">
                  <c:v>36124.794761904763</c:v>
                </c:pt>
                <c:pt idx="107">
                  <c:v>213900</c:v>
                </c:pt>
                <c:pt idx="111">
                  <c:v>148890</c:v>
                </c:pt>
                <c:pt idx="112">
                  <c:v>54789.272029761902</c:v>
                </c:pt>
                <c:pt idx="115">
                  <c:v>299233.71647023805</c:v>
                </c:pt>
                <c:pt idx="118">
                  <c:v>162561.57634285712</c:v>
                </c:pt>
                <c:pt idx="123">
                  <c:v>84667.487678571444</c:v>
                </c:pt>
                <c:pt idx="125">
                  <c:v>132081.28077857144</c:v>
                </c:pt>
                <c:pt idx="126">
                  <c:v>67733.990142857147</c:v>
                </c:pt>
              </c:numCache>
            </c:numRef>
          </c:val>
          <c:extLst>
            <c:ext xmlns:c16="http://schemas.microsoft.com/office/drawing/2014/chart" uri="{C3380CC4-5D6E-409C-BE32-E72D297353CC}">
              <c16:uniqueId val="{00000002-6BB0-409A-BF30-63893DEEB1AC}"/>
            </c:ext>
          </c:extLst>
        </c:ser>
        <c:ser>
          <c:idx val="3"/>
          <c:order val="3"/>
          <c:tx>
            <c:strRef>
              <c:f>PivotReport!$E$22:$E$23</c:f>
              <c:strCache>
                <c:ptCount val="1"/>
                <c:pt idx="0">
                  <c:v>апр 2025</c:v>
                </c:pt>
              </c:strCache>
            </c:strRef>
          </c:tx>
          <c:spPr>
            <a:solidFill>
              <a:schemeClr val="accent4"/>
            </a:solidFill>
            <a:ln>
              <a:noFill/>
            </a:ln>
            <a:effectLst/>
          </c:spPr>
          <c:invertIfNegative val="0"/>
          <c:cat>
            <c:multiLvlStrRef>
              <c:f>PivotReport!$A$24:$A$171</c:f>
              <c:multiLvlStrCache>
                <c:ptCount val="127"/>
                <c:lvl>
                  <c:pt idx="0">
                    <c:v>CustomDev_Presales</c:v>
                  </c:pt>
                  <c:pt idx="1">
                    <c:v>CustomDev_R&amp;D</c:v>
                  </c:pt>
                  <c:pt idx="2">
                    <c:v>HouseMgmt-Estimate-Audit</c:v>
                  </c:pt>
                  <c:pt idx="3">
                    <c:v>IC Viktoriya-003-SUP</c:v>
                  </c:pt>
                  <c:pt idx="4">
                    <c:v>IC Viktoriya-008-DC5</c:v>
                  </c:pt>
                  <c:pt idx="5">
                    <c:v>IC Viktoriya-009-DC6</c:v>
                  </c:pt>
                  <c:pt idx="6">
                    <c:v>IC Viktoriya-010-DC7</c:v>
                  </c:pt>
                  <c:pt idx="7">
                    <c:v>Konnect-001-PRJ-WD</c:v>
                  </c:pt>
                  <c:pt idx="8">
                    <c:v>Predubezhdai-001-SUP</c:v>
                  </c:pt>
                  <c:pt idx="9">
                    <c:v>ROSKOSMOS-RU-002-PRJ-DEV</c:v>
                  </c:pt>
                  <c:pt idx="10">
                    <c:v>Terra-HouseMgmt-Dev</c:v>
                  </c:pt>
                  <c:pt idx="11">
                    <c:v>Terra-Module-Dev-Client-01</c:v>
                  </c:pt>
                  <c:pt idx="12">
                    <c:v>Tetra-2024-2025-SUP</c:v>
                  </c:pt>
                  <c:pt idx="13">
                    <c:v>Внутренняя деятельность/Internal</c:v>
                  </c:pt>
                  <c:pt idx="14">
                    <c:v>CustomDev_R&amp;D</c:v>
                  </c:pt>
                  <c:pt idx="15">
                    <c:v>IC Viktoriya-003-SUP</c:v>
                  </c:pt>
                  <c:pt idx="16">
                    <c:v>IC Viktoriya-010-DC7</c:v>
                  </c:pt>
                  <c:pt idx="17">
                    <c:v>Konnect-001-PRJ-WD</c:v>
                  </c:pt>
                  <c:pt idx="18">
                    <c:v>Predubezhdai-001-SUP</c:v>
                  </c:pt>
                  <c:pt idx="19">
                    <c:v>Terra-HouseMgmt-Dev</c:v>
                  </c:pt>
                  <c:pt idx="20">
                    <c:v>Terra-Module-Dev-Client-01</c:v>
                  </c:pt>
                  <c:pt idx="21">
                    <c:v>Внутренняя деятельность/Internal</c:v>
                  </c:pt>
                  <c:pt idx="22">
                    <c:v>Spimex-001-Inkomand-HLD</c:v>
                  </c:pt>
                  <c:pt idx="23">
                    <c:v>Внутренняя деятельность/Internal</c:v>
                  </c:pt>
                  <c:pt idx="24">
                    <c:v>CABA_Presales</c:v>
                  </c:pt>
                  <c:pt idx="25">
                    <c:v>Spimex-001-Inkomand-HLD</c:v>
                  </c:pt>
                  <c:pt idx="26">
                    <c:v>Terra-HouseMgmt-Dev</c:v>
                  </c:pt>
                  <c:pt idx="27">
                    <c:v>CustomDev_R&amp;D</c:v>
                  </c:pt>
                  <c:pt idx="28">
                    <c:v>Konnect-002-PRJ-PoC</c:v>
                  </c:pt>
                  <c:pt idx="29">
                    <c:v>Terra-HouseMgmt-2-Analytics</c:v>
                  </c:pt>
                  <c:pt idx="30">
                    <c:v>Внутренняя деятельность/Internal</c:v>
                  </c:pt>
                  <c:pt idx="31">
                    <c:v>Bork-001-PRJ-WMS</c:v>
                  </c:pt>
                  <c:pt idx="32">
                    <c:v>CustomDev_R&amp;D</c:v>
                  </c:pt>
                  <c:pt idx="33">
                    <c:v>Konnect-001-PRJ-WD</c:v>
                  </c:pt>
                  <c:pt idx="34">
                    <c:v>Terra-HouseMgmt-Dev</c:v>
                  </c:pt>
                  <c:pt idx="35">
                    <c:v>Внутренняя деятельность/Internal</c:v>
                  </c:pt>
                  <c:pt idx="36">
                    <c:v>CustomDev_Presales</c:v>
                  </c:pt>
                  <c:pt idx="37">
                    <c:v>CustomDev_R&amp;D</c:v>
                  </c:pt>
                  <c:pt idx="38">
                    <c:v>HouseMgmt-Estimate-Audit</c:v>
                  </c:pt>
                  <c:pt idx="39">
                    <c:v>Predubezhdai-001-SUP</c:v>
                  </c:pt>
                  <c:pt idx="40">
                    <c:v>ROSKOSMOS-RU-002-PRJ-DEV</c:v>
                  </c:pt>
                  <c:pt idx="41">
                    <c:v>Terra-HouseMgmt-2-Analytics</c:v>
                  </c:pt>
                  <c:pt idx="42">
                    <c:v>Terra-HouseMgmt-Dev</c:v>
                  </c:pt>
                  <c:pt idx="43">
                    <c:v>Tetra-2024-2025-SUP</c:v>
                  </c:pt>
                  <c:pt idx="44">
                    <c:v>TotalDict-2024-2025-SUP</c:v>
                  </c:pt>
                  <c:pt idx="45">
                    <c:v>Внутренняя деятельность/Internal</c:v>
                  </c:pt>
                  <c:pt idx="46">
                    <c:v>Terra-HouseMgmt-Dev</c:v>
                  </c:pt>
                  <c:pt idx="47">
                    <c:v>Tetra-2024-2025-SUP</c:v>
                  </c:pt>
                  <c:pt idx="48">
                    <c:v>Внутренняя деятельность/Internal</c:v>
                  </c:pt>
                  <c:pt idx="49">
                    <c:v>Bork-001-PRJ-WMS</c:v>
                  </c:pt>
                  <c:pt idx="50">
                    <c:v>CustomDev_R&amp;D</c:v>
                  </c:pt>
                  <c:pt idx="51">
                    <c:v>HouseMgmt-Estimate-Audit</c:v>
                  </c:pt>
                  <c:pt idx="52">
                    <c:v>Spimex-001-Inkomand-HLD</c:v>
                  </c:pt>
                  <c:pt idx="53">
                    <c:v>Terra-HouseMgmt-2-Analytics</c:v>
                  </c:pt>
                  <c:pt idx="54">
                    <c:v>Внутренняя деятельность/Internal</c:v>
                  </c:pt>
                  <c:pt idx="55">
                    <c:v>CustomDev_Presales</c:v>
                  </c:pt>
                  <c:pt idx="56">
                    <c:v>CustomDev_R&amp;D</c:v>
                  </c:pt>
                  <c:pt idx="57">
                    <c:v>HouseMgmt-Estimate-Audit</c:v>
                  </c:pt>
                  <c:pt idx="58">
                    <c:v>Konnect-001-PRJ-WD</c:v>
                  </c:pt>
                  <c:pt idx="59">
                    <c:v>Konnect-002-PRJ-PoC</c:v>
                  </c:pt>
                  <c:pt idx="60">
                    <c:v>Terra-HouseMgmt-2-Analytics</c:v>
                  </c:pt>
                  <c:pt idx="61">
                    <c:v>Terra-HouseMgmt-Dev</c:v>
                  </c:pt>
                  <c:pt idx="62">
                    <c:v>Внутренняя деятельность/Internal</c:v>
                  </c:pt>
                  <c:pt idx="63">
                    <c:v>CustomDev_R&amp;D</c:v>
                  </c:pt>
                  <c:pt idx="64">
                    <c:v>ErtaShoes-001-SUP</c:v>
                  </c:pt>
                  <c:pt idx="65">
                    <c:v>Konnect-001-PRJ-WD</c:v>
                  </c:pt>
                  <c:pt idx="66">
                    <c:v>Predubezhdai-001-SUP</c:v>
                  </c:pt>
                  <c:pt idx="67">
                    <c:v>Внутренняя деятельность/Internal</c:v>
                  </c:pt>
                  <c:pt idx="68">
                    <c:v> IC Viktoriya-004-DC1</c:v>
                  </c:pt>
                  <c:pt idx="69">
                    <c:v>BLT-011-PRJ-DS18</c:v>
                  </c:pt>
                  <c:pt idx="70">
                    <c:v>CustomDev_R&amp;D</c:v>
                  </c:pt>
                  <c:pt idx="71">
                    <c:v>Finist-001-PRJ-DEV</c:v>
                  </c:pt>
                  <c:pt idx="72">
                    <c:v>IC Viktoriya-003-SUP</c:v>
                  </c:pt>
                  <c:pt idx="73">
                    <c:v>IC Viktoriya-005-DC2</c:v>
                  </c:pt>
                  <c:pt idx="74">
                    <c:v>IC Viktoriya-006-DC3</c:v>
                  </c:pt>
                  <c:pt idx="75">
                    <c:v>IC Viktoriya-007-DC4</c:v>
                  </c:pt>
                  <c:pt idx="76">
                    <c:v>IC Viktoriya-008-DC5</c:v>
                  </c:pt>
                  <c:pt idx="77">
                    <c:v>IC Viktoriya-009-DC6</c:v>
                  </c:pt>
                  <c:pt idx="78">
                    <c:v>Tetra-2024-2025-SUP</c:v>
                  </c:pt>
                  <c:pt idx="79">
                    <c:v>Внутренняя деятельность/Internal</c:v>
                  </c:pt>
                  <c:pt idx="80">
                    <c:v>CustomDev_Presales</c:v>
                  </c:pt>
                  <c:pt idx="81">
                    <c:v>CustomDev_R&amp;D</c:v>
                  </c:pt>
                  <c:pt idx="82">
                    <c:v>HouseMgmt-Estimate-Audit</c:v>
                  </c:pt>
                  <c:pt idx="83">
                    <c:v>ROSKOSMOS-RU-002-PRJ-DEV</c:v>
                  </c:pt>
                  <c:pt idx="84">
                    <c:v>Terra-HouseMgmt-Dev</c:v>
                  </c:pt>
                  <c:pt idx="85">
                    <c:v>Terra-Module-Dev-Client-01</c:v>
                  </c:pt>
                  <c:pt idx="86">
                    <c:v>Внутренняя деятельность/Internal</c:v>
                  </c:pt>
                  <c:pt idx="87">
                    <c:v> IC Viktoriya-004-DC1</c:v>
                  </c:pt>
                  <c:pt idx="88">
                    <c:v>BLT-011-PRJ-DS18</c:v>
                  </c:pt>
                  <c:pt idx="89">
                    <c:v>CERRI-001-AUDIT-CD</c:v>
                  </c:pt>
                  <c:pt idx="90">
                    <c:v>CustomDev_R&amp;D</c:v>
                  </c:pt>
                  <c:pt idx="91">
                    <c:v>Finist-001-PRJ-DEV</c:v>
                  </c:pt>
                  <c:pt idx="92">
                    <c:v>IC Viktoriya-003-SUP</c:v>
                  </c:pt>
                  <c:pt idx="93">
                    <c:v>IC Viktoriya-009-DC6</c:v>
                  </c:pt>
                  <c:pt idx="94">
                    <c:v>Konnect-001-PRJ-WD</c:v>
                  </c:pt>
                  <c:pt idx="95">
                    <c:v>Внутренняя деятельность/Internal</c:v>
                  </c:pt>
                  <c:pt idx="96">
                    <c:v>BLT-011-PRJ-DS18</c:v>
                  </c:pt>
                  <c:pt idx="97">
                    <c:v>CustomDev_R&amp;D</c:v>
                  </c:pt>
                  <c:pt idx="98">
                    <c:v>IC Viktoriya-008-DC5</c:v>
                  </c:pt>
                  <c:pt idx="99">
                    <c:v>IC Viktoriya-009-DC6</c:v>
                  </c:pt>
                  <c:pt idx="100">
                    <c:v>Terra-HouseMgmt-2-Analytics</c:v>
                  </c:pt>
                  <c:pt idx="101">
                    <c:v>Terra-HouseMgmt-Dev</c:v>
                  </c:pt>
                  <c:pt idx="102">
                    <c:v>Terra-Module-Dev-Client-01</c:v>
                  </c:pt>
                  <c:pt idx="103">
                    <c:v>Внутренняя деятельность/Internal</c:v>
                  </c:pt>
                  <c:pt idx="104">
                    <c:v>CustomDev_R&amp;D</c:v>
                  </c:pt>
                  <c:pt idx="105">
                    <c:v>Konnect-001-PRJ-WD</c:v>
                  </c:pt>
                  <c:pt idx="106">
                    <c:v>Predubezhdai-001-SUP</c:v>
                  </c:pt>
                  <c:pt idx="107">
                    <c:v>Terra-HouseMgmt-Dev</c:v>
                  </c:pt>
                  <c:pt idx="108">
                    <c:v>Terra-Module-Dev-Client-01</c:v>
                  </c:pt>
                  <c:pt idx="109">
                    <c:v>CustomDev_R&amp;D</c:v>
                  </c:pt>
                  <c:pt idx="110">
                    <c:v>Konnect-001-PRJ-WD</c:v>
                  </c:pt>
                  <c:pt idx="111">
                    <c:v>Terra-HouseMgmt-Dev</c:v>
                  </c:pt>
                  <c:pt idx="112">
                    <c:v>Bork-001-PRJ-WMS</c:v>
                  </c:pt>
                  <c:pt idx="113">
                    <c:v>CustomDev_Presales</c:v>
                  </c:pt>
                  <c:pt idx="114">
                    <c:v>CustomDev_R&amp;D</c:v>
                  </c:pt>
                  <c:pt idx="115">
                    <c:v>Predubezhdai-001-SUP</c:v>
                  </c:pt>
                  <c:pt idx="116">
                    <c:v>Внутренняя деятельность/Internal</c:v>
                  </c:pt>
                  <c:pt idx="117">
                    <c:v>CustomDev_R&amp;D</c:v>
                  </c:pt>
                  <c:pt idx="118">
                    <c:v>Terra-HouseMgmt-Dev</c:v>
                  </c:pt>
                  <c:pt idx="119">
                    <c:v>Terra-Module-Dev-Client-01</c:v>
                  </c:pt>
                  <c:pt idx="120">
                    <c:v>Внутренняя деятельность/Internal</c:v>
                  </c:pt>
                  <c:pt idx="121">
                    <c:v>CustomDev_R&amp;D</c:v>
                  </c:pt>
                  <c:pt idx="122">
                    <c:v>Konnect-001-PRJ-WD</c:v>
                  </c:pt>
                  <c:pt idx="123">
                    <c:v>Terra-HouseMgmt-Dev</c:v>
                  </c:pt>
                  <c:pt idx="124">
                    <c:v>Terra-Module-Dev-Client-01</c:v>
                  </c:pt>
                  <c:pt idx="125">
                    <c:v>TotalDict-2024-2025-SUP</c:v>
                  </c:pt>
                  <c:pt idx="126">
                    <c:v>Внутренняя деятельность/Internal</c:v>
                  </c:pt>
                </c:lvl>
                <c:lvl>
                  <c:pt idx="0">
                    <c:v>Aleksandr Dmitriev</c:v>
                  </c:pt>
                  <c:pt idx="14">
                    <c:v>Alexandra Dementieva</c:v>
                  </c:pt>
                  <c:pt idx="22">
                    <c:v>Alexey Ponomarenko</c:v>
                  </c:pt>
                  <c:pt idx="24">
                    <c:v>Alice Boyarkina</c:v>
                  </c:pt>
                  <c:pt idx="27">
                    <c:v>Amir Khalikov</c:v>
                  </c:pt>
                  <c:pt idx="31">
                    <c:v>Amirjon Holikov</c:v>
                  </c:pt>
                  <c:pt idx="36">
                    <c:v>Andrey Erofeev</c:v>
                  </c:pt>
                  <c:pt idx="46">
                    <c:v>Boris Bartenev</c:v>
                  </c:pt>
                  <c:pt idx="49">
                    <c:v>Dmitry Barabin</c:v>
                  </c:pt>
                  <c:pt idx="55">
                    <c:v>Julia Shutova</c:v>
                  </c:pt>
                  <c:pt idx="63">
                    <c:v>Lev Totok</c:v>
                  </c:pt>
                  <c:pt idx="68">
                    <c:v>Mikhail Matyasov</c:v>
                  </c:pt>
                  <c:pt idx="80">
                    <c:v>Mikhail Pavlukhin</c:v>
                  </c:pt>
                  <c:pt idx="87">
                    <c:v>Mikhail Yurchenko</c:v>
                  </c:pt>
                  <c:pt idx="96">
                    <c:v>Nikita Avdonin</c:v>
                  </c:pt>
                  <c:pt idx="104">
                    <c:v>Nur-Magomed Tasuev</c:v>
                  </c:pt>
                  <c:pt idx="109">
                    <c:v>Oleg Rybikov</c:v>
                  </c:pt>
                  <c:pt idx="112">
                    <c:v>Sergey Lychagin</c:v>
                  </c:pt>
                  <c:pt idx="117">
                    <c:v>Timofey Kochetkov</c:v>
                  </c:pt>
                  <c:pt idx="121">
                    <c:v>Vadim Bondar</c:v>
                  </c:pt>
                </c:lvl>
              </c:multiLvlStrCache>
            </c:multiLvlStrRef>
          </c:cat>
          <c:val>
            <c:numRef>
              <c:f>PivotReport!$E$24:$E$171</c:f>
              <c:numCache>
                <c:formatCode>#\,##0.00\ "р."</c:formatCode>
                <c:ptCount val="127"/>
                <c:pt idx="0">
                  <c:v>28735.632181818182</c:v>
                </c:pt>
                <c:pt idx="1">
                  <c:v>57471.264363636365</c:v>
                </c:pt>
                <c:pt idx="6">
                  <c:v>17959.770113636368</c:v>
                </c:pt>
                <c:pt idx="8">
                  <c:v>10057.471263636364</c:v>
                </c:pt>
                <c:pt idx="9">
                  <c:v>100574.71263636363</c:v>
                </c:pt>
                <c:pt idx="10">
                  <c:v>38074.712640909092</c:v>
                </c:pt>
                <c:pt idx="15">
                  <c:v>10416.666665909092</c:v>
                </c:pt>
                <c:pt idx="16">
                  <c:v>1077.5862068181818</c:v>
                </c:pt>
                <c:pt idx="19">
                  <c:v>25862.068963636364</c:v>
                </c:pt>
                <c:pt idx="21">
                  <c:v>25862.068963636364</c:v>
                </c:pt>
                <c:pt idx="27">
                  <c:v>68965.517236363637</c:v>
                </c:pt>
                <c:pt idx="28">
                  <c:v>120689.65516363637</c:v>
                </c:pt>
                <c:pt idx="31">
                  <c:v>41379.31035</c:v>
                </c:pt>
                <c:pt idx="34">
                  <c:v>59770.114950000003</c:v>
                </c:pt>
                <c:pt idx="36">
                  <c:v>114224.13792272727</c:v>
                </c:pt>
                <c:pt idx="40">
                  <c:v>107758.62068181818</c:v>
                </c:pt>
                <c:pt idx="42">
                  <c:v>66810.344822727275</c:v>
                </c:pt>
                <c:pt idx="44">
                  <c:v>92672.413786363642</c:v>
                </c:pt>
                <c:pt idx="49">
                  <c:v>97701.149418181856</c:v>
                </c:pt>
                <c:pt idx="52">
                  <c:v>11494.252872727273</c:v>
                </c:pt>
                <c:pt idx="53">
                  <c:v>17241.379309090909</c:v>
                </c:pt>
                <c:pt idx="55">
                  <c:v>62499.999995454535</c:v>
                </c:pt>
                <c:pt idx="59">
                  <c:v>101293.10344090909</c:v>
                </c:pt>
                <c:pt idx="61">
                  <c:v>25862.068963636364</c:v>
                </c:pt>
                <c:pt idx="66">
                  <c:v>101149.4253</c:v>
                </c:pt>
                <c:pt idx="71">
                  <c:v>45977.011490909092</c:v>
                </c:pt>
                <c:pt idx="72">
                  <c:v>80459.77010909091</c:v>
                </c:pt>
                <c:pt idx="74">
                  <c:v>22988.505745454546</c:v>
                </c:pt>
                <c:pt idx="78">
                  <c:v>5747.1264363636365</c:v>
                </c:pt>
                <c:pt idx="79">
                  <c:v>99137.931027272731</c:v>
                </c:pt>
                <c:pt idx="80">
                  <c:v>131034.48277500001</c:v>
                </c:pt>
                <c:pt idx="83">
                  <c:v>103275.86208187499</c:v>
                </c:pt>
                <c:pt idx="84">
                  <c:v>27586.206899999997</c:v>
                </c:pt>
                <c:pt idx="91">
                  <c:v>143821.8390875</c:v>
                </c:pt>
                <c:pt idx="101">
                  <c:v>75862.069000000003</c:v>
                </c:pt>
                <c:pt idx="107">
                  <c:v>211140</c:v>
                </c:pt>
                <c:pt idx="111">
                  <c:v>126202</c:v>
                </c:pt>
                <c:pt idx="112">
                  <c:v>114655.17241193182</c:v>
                </c:pt>
                <c:pt idx="115">
                  <c:v>239367.81608806815</c:v>
                </c:pt>
                <c:pt idx="118">
                  <c:v>189655.17240000001</c:v>
                </c:pt>
                <c:pt idx="125">
                  <c:v>308728.44825340906</c:v>
                </c:pt>
              </c:numCache>
            </c:numRef>
          </c:val>
          <c:extLst>
            <c:ext xmlns:c16="http://schemas.microsoft.com/office/drawing/2014/chart" uri="{C3380CC4-5D6E-409C-BE32-E72D297353CC}">
              <c16:uniqueId val="{00000003-6BB0-409A-BF30-63893DEEB1AC}"/>
            </c:ext>
          </c:extLst>
        </c:ser>
        <c:ser>
          <c:idx val="4"/>
          <c:order val="4"/>
          <c:tx>
            <c:strRef>
              <c:f>PivotReport!$F$22:$F$23</c:f>
              <c:strCache>
                <c:ptCount val="1"/>
                <c:pt idx="0">
                  <c:v>май 2025</c:v>
                </c:pt>
              </c:strCache>
            </c:strRef>
          </c:tx>
          <c:spPr>
            <a:solidFill>
              <a:schemeClr val="accent5"/>
            </a:solidFill>
            <a:ln>
              <a:noFill/>
            </a:ln>
            <a:effectLst/>
          </c:spPr>
          <c:invertIfNegative val="0"/>
          <c:cat>
            <c:multiLvlStrRef>
              <c:f>PivotReport!$A$24:$A$171</c:f>
              <c:multiLvlStrCache>
                <c:ptCount val="127"/>
                <c:lvl>
                  <c:pt idx="0">
                    <c:v>CustomDev_Presales</c:v>
                  </c:pt>
                  <c:pt idx="1">
                    <c:v>CustomDev_R&amp;D</c:v>
                  </c:pt>
                  <c:pt idx="2">
                    <c:v>HouseMgmt-Estimate-Audit</c:v>
                  </c:pt>
                  <c:pt idx="3">
                    <c:v>IC Viktoriya-003-SUP</c:v>
                  </c:pt>
                  <c:pt idx="4">
                    <c:v>IC Viktoriya-008-DC5</c:v>
                  </c:pt>
                  <c:pt idx="5">
                    <c:v>IC Viktoriya-009-DC6</c:v>
                  </c:pt>
                  <c:pt idx="6">
                    <c:v>IC Viktoriya-010-DC7</c:v>
                  </c:pt>
                  <c:pt idx="7">
                    <c:v>Konnect-001-PRJ-WD</c:v>
                  </c:pt>
                  <c:pt idx="8">
                    <c:v>Predubezhdai-001-SUP</c:v>
                  </c:pt>
                  <c:pt idx="9">
                    <c:v>ROSKOSMOS-RU-002-PRJ-DEV</c:v>
                  </c:pt>
                  <c:pt idx="10">
                    <c:v>Terra-HouseMgmt-Dev</c:v>
                  </c:pt>
                  <c:pt idx="11">
                    <c:v>Terra-Module-Dev-Client-01</c:v>
                  </c:pt>
                  <c:pt idx="12">
                    <c:v>Tetra-2024-2025-SUP</c:v>
                  </c:pt>
                  <c:pt idx="13">
                    <c:v>Внутренняя деятельность/Internal</c:v>
                  </c:pt>
                  <c:pt idx="14">
                    <c:v>CustomDev_R&amp;D</c:v>
                  </c:pt>
                  <c:pt idx="15">
                    <c:v>IC Viktoriya-003-SUP</c:v>
                  </c:pt>
                  <c:pt idx="16">
                    <c:v>IC Viktoriya-010-DC7</c:v>
                  </c:pt>
                  <c:pt idx="17">
                    <c:v>Konnect-001-PRJ-WD</c:v>
                  </c:pt>
                  <c:pt idx="18">
                    <c:v>Predubezhdai-001-SUP</c:v>
                  </c:pt>
                  <c:pt idx="19">
                    <c:v>Terra-HouseMgmt-Dev</c:v>
                  </c:pt>
                  <c:pt idx="20">
                    <c:v>Terra-Module-Dev-Client-01</c:v>
                  </c:pt>
                  <c:pt idx="21">
                    <c:v>Внутренняя деятельность/Internal</c:v>
                  </c:pt>
                  <c:pt idx="22">
                    <c:v>Spimex-001-Inkomand-HLD</c:v>
                  </c:pt>
                  <c:pt idx="23">
                    <c:v>Внутренняя деятельность/Internal</c:v>
                  </c:pt>
                  <c:pt idx="24">
                    <c:v>CABA_Presales</c:v>
                  </c:pt>
                  <c:pt idx="25">
                    <c:v>Spimex-001-Inkomand-HLD</c:v>
                  </c:pt>
                  <c:pt idx="26">
                    <c:v>Terra-HouseMgmt-Dev</c:v>
                  </c:pt>
                  <c:pt idx="27">
                    <c:v>CustomDev_R&amp;D</c:v>
                  </c:pt>
                  <c:pt idx="28">
                    <c:v>Konnect-002-PRJ-PoC</c:v>
                  </c:pt>
                  <c:pt idx="29">
                    <c:v>Terra-HouseMgmt-2-Analytics</c:v>
                  </c:pt>
                  <c:pt idx="30">
                    <c:v>Внутренняя деятельность/Internal</c:v>
                  </c:pt>
                  <c:pt idx="31">
                    <c:v>Bork-001-PRJ-WMS</c:v>
                  </c:pt>
                  <c:pt idx="32">
                    <c:v>CustomDev_R&amp;D</c:v>
                  </c:pt>
                  <c:pt idx="33">
                    <c:v>Konnect-001-PRJ-WD</c:v>
                  </c:pt>
                  <c:pt idx="34">
                    <c:v>Terra-HouseMgmt-Dev</c:v>
                  </c:pt>
                  <c:pt idx="35">
                    <c:v>Внутренняя деятельность/Internal</c:v>
                  </c:pt>
                  <c:pt idx="36">
                    <c:v>CustomDev_Presales</c:v>
                  </c:pt>
                  <c:pt idx="37">
                    <c:v>CustomDev_R&amp;D</c:v>
                  </c:pt>
                  <c:pt idx="38">
                    <c:v>HouseMgmt-Estimate-Audit</c:v>
                  </c:pt>
                  <c:pt idx="39">
                    <c:v>Predubezhdai-001-SUP</c:v>
                  </c:pt>
                  <c:pt idx="40">
                    <c:v>ROSKOSMOS-RU-002-PRJ-DEV</c:v>
                  </c:pt>
                  <c:pt idx="41">
                    <c:v>Terra-HouseMgmt-2-Analytics</c:v>
                  </c:pt>
                  <c:pt idx="42">
                    <c:v>Terra-HouseMgmt-Dev</c:v>
                  </c:pt>
                  <c:pt idx="43">
                    <c:v>Tetra-2024-2025-SUP</c:v>
                  </c:pt>
                  <c:pt idx="44">
                    <c:v>TotalDict-2024-2025-SUP</c:v>
                  </c:pt>
                  <c:pt idx="45">
                    <c:v>Внутренняя деятельность/Internal</c:v>
                  </c:pt>
                  <c:pt idx="46">
                    <c:v>Terra-HouseMgmt-Dev</c:v>
                  </c:pt>
                  <c:pt idx="47">
                    <c:v>Tetra-2024-2025-SUP</c:v>
                  </c:pt>
                  <c:pt idx="48">
                    <c:v>Внутренняя деятельность/Internal</c:v>
                  </c:pt>
                  <c:pt idx="49">
                    <c:v>Bork-001-PRJ-WMS</c:v>
                  </c:pt>
                  <c:pt idx="50">
                    <c:v>CustomDev_R&amp;D</c:v>
                  </c:pt>
                  <c:pt idx="51">
                    <c:v>HouseMgmt-Estimate-Audit</c:v>
                  </c:pt>
                  <c:pt idx="52">
                    <c:v>Spimex-001-Inkomand-HLD</c:v>
                  </c:pt>
                  <c:pt idx="53">
                    <c:v>Terra-HouseMgmt-2-Analytics</c:v>
                  </c:pt>
                  <c:pt idx="54">
                    <c:v>Внутренняя деятельность/Internal</c:v>
                  </c:pt>
                  <c:pt idx="55">
                    <c:v>CustomDev_Presales</c:v>
                  </c:pt>
                  <c:pt idx="56">
                    <c:v>CustomDev_R&amp;D</c:v>
                  </c:pt>
                  <c:pt idx="57">
                    <c:v>HouseMgmt-Estimate-Audit</c:v>
                  </c:pt>
                  <c:pt idx="58">
                    <c:v>Konnect-001-PRJ-WD</c:v>
                  </c:pt>
                  <c:pt idx="59">
                    <c:v>Konnect-002-PRJ-PoC</c:v>
                  </c:pt>
                  <c:pt idx="60">
                    <c:v>Terra-HouseMgmt-2-Analytics</c:v>
                  </c:pt>
                  <c:pt idx="61">
                    <c:v>Terra-HouseMgmt-Dev</c:v>
                  </c:pt>
                  <c:pt idx="62">
                    <c:v>Внутренняя деятельность/Internal</c:v>
                  </c:pt>
                  <c:pt idx="63">
                    <c:v>CustomDev_R&amp;D</c:v>
                  </c:pt>
                  <c:pt idx="64">
                    <c:v>ErtaShoes-001-SUP</c:v>
                  </c:pt>
                  <c:pt idx="65">
                    <c:v>Konnect-001-PRJ-WD</c:v>
                  </c:pt>
                  <c:pt idx="66">
                    <c:v>Predubezhdai-001-SUP</c:v>
                  </c:pt>
                  <c:pt idx="67">
                    <c:v>Внутренняя деятельность/Internal</c:v>
                  </c:pt>
                  <c:pt idx="68">
                    <c:v> IC Viktoriya-004-DC1</c:v>
                  </c:pt>
                  <c:pt idx="69">
                    <c:v>BLT-011-PRJ-DS18</c:v>
                  </c:pt>
                  <c:pt idx="70">
                    <c:v>CustomDev_R&amp;D</c:v>
                  </c:pt>
                  <c:pt idx="71">
                    <c:v>Finist-001-PRJ-DEV</c:v>
                  </c:pt>
                  <c:pt idx="72">
                    <c:v>IC Viktoriya-003-SUP</c:v>
                  </c:pt>
                  <c:pt idx="73">
                    <c:v>IC Viktoriya-005-DC2</c:v>
                  </c:pt>
                  <c:pt idx="74">
                    <c:v>IC Viktoriya-006-DC3</c:v>
                  </c:pt>
                  <c:pt idx="75">
                    <c:v>IC Viktoriya-007-DC4</c:v>
                  </c:pt>
                  <c:pt idx="76">
                    <c:v>IC Viktoriya-008-DC5</c:v>
                  </c:pt>
                  <c:pt idx="77">
                    <c:v>IC Viktoriya-009-DC6</c:v>
                  </c:pt>
                  <c:pt idx="78">
                    <c:v>Tetra-2024-2025-SUP</c:v>
                  </c:pt>
                  <c:pt idx="79">
                    <c:v>Внутренняя деятельность/Internal</c:v>
                  </c:pt>
                  <c:pt idx="80">
                    <c:v>CustomDev_Presales</c:v>
                  </c:pt>
                  <c:pt idx="81">
                    <c:v>CustomDev_R&amp;D</c:v>
                  </c:pt>
                  <c:pt idx="82">
                    <c:v>HouseMgmt-Estimate-Audit</c:v>
                  </c:pt>
                  <c:pt idx="83">
                    <c:v>ROSKOSMOS-RU-002-PRJ-DEV</c:v>
                  </c:pt>
                  <c:pt idx="84">
                    <c:v>Terra-HouseMgmt-Dev</c:v>
                  </c:pt>
                  <c:pt idx="85">
                    <c:v>Terra-Module-Dev-Client-01</c:v>
                  </c:pt>
                  <c:pt idx="86">
                    <c:v>Внутренняя деятельность/Internal</c:v>
                  </c:pt>
                  <c:pt idx="87">
                    <c:v> IC Viktoriya-004-DC1</c:v>
                  </c:pt>
                  <c:pt idx="88">
                    <c:v>BLT-011-PRJ-DS18</c:v>
                  </c:pt>
                  <c:pt idx="89">
                    <c:v>CERRI-001-AUDIT-CD</c:v>
                  </c:pt>
                  <c:pt idx="90">
                    <c:v>CustomDev_R&amp;D</c:v>
                  </c:pt>
                  <c:pt idx="91">
                    <c:v>Finist-001-PRJ-DEV</c:v>
                  </c:pt>
                  <c:pt idx="92">
                    <c:v>IC Viktoriya-003-SUP</c:v>
                  </c:pt>
                  <c:pt idx="93">
                    <c:v>IC Viktoriya-009-DC6</c:v>
                  </c:pt>
                  <c:pt idx="94">
                    <c:v>Konnect-001-PRJ-WD</c:v>
                  </c:pt>
                  <c:pt idx="95">
                    <c:v>Внутренняя деятельность/Internal</c:v>
                  </c:pt>
                  <c:pt idx="96">
                    <c:v>BLT-011-PRJ-DS18</c:v>
                  </c:pt>
                  <c:pt idx="97">
                    <c:v>CustomDev_R&amp;D</c:v>
                  </c:pt>
                  <c:pt idx="98">
                    <c:v>IC Viktoriya-008-DC5</c:v>
                  </c:pt>
                  <c:pt idx="99">
                    <c:v>IC Viktoriya-009-DC6</c:v>
                  </c:pt>
                  <c:pt idx="100">
                    <c:v>Terra-HouseMgmt-2-Analytics</c:v>
                  </c:pt>
                  <c:pt idx="101">
                    <c:v>Terra-HouseMgmt-Dev</c:v>
                  </c:pt>
                  <c:pt idx="102">
                    <c:v>Terra-Module-Dev-Client-01</c:v>
                  </c:pt>
                  <c:pt idx="103">
                    <c:v>Внутренняя деятельность/Internal</c:v>
                  </c:pt>
                  <c:pt idx="104">
                    <c:v>CustomDev_R&amp;D</c:v>
                  </c:pt>
                  <c:pt idx="105">
                    <c:v>Konnect-001-PRJ-WD</c:v>
                  </c:pt>
                  <c:pt idx="106">
                    <c:v>Predubezhdai-001-SUP</c:v>
                  </c:pt>
                  <c:pt idx="107">
                    <c:v>Terra-HouseMgmt-Dev</c:v>
                  </c:pt>
                  <c:pt idx="108">
                    <c:v>Terra-Module-Dev-Client-01</c:v>
                  </c:pt>
                  <c:pt idx="109">
                    <c:v>CustomDev_R&amp;D</c:v>
                  </c:pt>
                  <c:pt idx="110">
                    <c:v>Konnect-001-PRJ-WD</c:v>
                  </c:pt>
                  <c:pt idx="111">
                    <c:v>Terra-HouseMgmt-Dev</c:v>
                  </c:pt>
                  <c:pt idx="112">
                    <c:v>Bork-001-PRJ-WMS</c:v>
                  </c:pt>
                  <c:pt idx="113">
                    <c:v>CustomDev_Presales</c:v>
                  </c:pt>
                  <c:pt idx="114">
                    <c:v>CustomDev_R&amp;D</c:v>
                  </c:pt>
                  <c:pt idx="115">
                    <c:v>Predubezhdai-001-SUP</c:v>
                  </c:pt>
                  <c:pt idx="116">
                    <c:v>Внутренняя деятельность/Internal</c:v>
                  </c:pt>
                  <c:pt idx="117">
                    <c:v>CustomDev_R&amp;D</c:v>
                  </c:pt>
                  <c:pt idx="118">
                    <c:v>Terra-HouseMgmt-Dev</c:v>
                  </c:pt>
                  <c:pt idx="119">
                    <c:v>Terra-Module-Dev-Client-01</c:v>
                  </c:pt>
                  <c:pt idx="120">
                    <c:v>Внутренняя деятельность/Internal</c:v>
                  </c:pt>
                  <c:pt idx="121">
                    <c:v>CustomDev_R&amp;D</c:v>
                  </c:pt>
                  <c:pt idx="122">
                    <c:v>Konnect-001-PRJ-WD</c:v>
                  </c:pt>
                  <c:pt idx="123">
                    <c:v>Terra-HouseMgmt-Dev</c:v>
                  </c:pt>
                  <c:pt idx="124">
                    <c:v>Terra-Module-Dev-Client-01</c:v>
                  </c:pt>
                  <c:pt idx="125">
                    <c:v>TotalDict-2024-2025-SUP</c:v>
                  </c:pt>
                  <c:pt idx="126">
                    <c:v>Внутренняя деятельность/Internal</c:v>
                  </c:pt>
                </c:lvl>
                <c:lvl>
                  <c:pt idx="0">
                    <c:v>Aleksandr Dmitriev</c:v>
                  </c:pt>
                  <c:pt idx="14">
                    <c:v>Alexandra Dementieva</c:v>
                  </c:pt>
                  <c:pt idx="22">
                    <c:v>Alexey Ponomarenko</c:v>
                  </c:pt>
                  <c:pt idx="24">
                    <c:v>Alice Boyarkina</c:v>
                  </c:pt>
                  <c:pt idx="27">
                    <c:v>Amir Khalikov</c:v>
                  </c:pt>
                  <c:pt idx="31">
                    <c:v>Amirjon Holikov</c:v>
                  </c:pt>
                  <c:pt idx="36">
                    <c:v>Andrey Erofeev</c:v>
                  </c:pt>
                  <c:pt idx="46">
                    <c:v>Boris Bartenev</c:v>
                  </c:pt>
                  <c:pt idx="49">
                    <c:v>Dmitry Barabin</c:v>
                  </c:pt>
                  <c:pt idx="55">
                    <c:v>Julia Shutova</c:v>
                  </c:pt>
                  <c:pt idx="63">
                    <c:v>Lev Totok</c:v>
                  </c:pt>
                  <c:pt idx="68">
                    <c:v>Mikhail Matyasov</c:v>
                  </c:pt>
                  <c:pt idx="80">
                    <c:v>Mikhail Pavlukhin</c:v>
                  </c:pt>
                  <c:pt idx="87">
                    <c:v>Mikhail Yurchenko</c:v>
                  </c:pt>
                  <c:pt idx="96">
                    <c:v>Nikita Avdonin</c:v>
                  </c:pt>
                  <c:pt idx="104">
                    <c:v>Nur-Magomed Tasuev</c:v>
                  </c:pt>
                  <c:pt idx="109">
                    <c:v>Oleg Rybikov</c:v>
                  </c:pt>
                  <c:pt idx="112">
                    <c:v>Sergey Lychagin</c:v>
                  </c:pt>
                  <c:pt idx="117">
                    <c:v>Timofey Kochetkov</c:v>
                  </c:pt>
                  <c:pt idx="121">
                    <c:v>Vadim Bondar</c:v>
                  </c:pt>
                </c:lvl>
              </c:multiLvlStrCache>
            </c:multiLvlStrRef>
          </c:cat>
          <c:val>
            <c:numRef>
              <c:f>PivotReport!$F$24:$F$171</c:f>
              <c:numCache>
                <c:formatCode>#\,##0.00\ "р."</c:formatCode>
                <c:ptCount val="127"/>
                <c:pt idx="0">
                  <c:v>37316.411236111118</c:v>
                </c:pt>
                <c:pt idx="1">
                  <c:v>96583.652611111116</c:v>
                </c:pt>
                <c:pt idx="3">
                  <c:v>88900.862062500004</c:v>
                </c:pt>
                <c:pt idx="6">
                  <c:v>6585.2490416666678</c:v>
                </c:pt>
                <c:pt idx="7">
                  <c:v>49389.367812500008</c:v>
                </c:pt>
                <c:pt idx="8">
                  <c:v>2195.0830138888891</c:v>
                </c:pt>
                <c:pt idx="13">
                  <c:v>35121.328222222226</c:v>
                </c:pt>
                <c:pt idx="17">
                  <c:v>45657.726688888892</c:v>
                </c:pt>
                <c:pt idx="18">
                  <c:v>10536.398466666667</c:v>
                </c:pt>
                <c:pt idx="21">
                  <c:v>7024.2656444444447</c:v>
                </c:pt>
                <c:pt idx="27">
                  <c:v>21072.796933333335</c:v>
                </c:pt>
                <c:pt idx="29">
                  <c:v>168582.37546666668</c:v>
                </c:pt>
                <c:pt idx="31">
                  <c:v>134865.90035555555</c:v>
                </c:pt>
                <c:pt idx="32">
                  <c:v>16858.237544444444</c:v>
                </c:pt>
                <c:pt idx="37">
                  <c:v>276580.45975000004</c:v>
                </c:pt>
                <c:pt idx="41">
                  <c:v>84291.18773333334</c:v>
                </c:pt>
                <c:pt idx="44">
                  <c:v>18438.697316666668</c:v>
                </c:pt>
                <c:pt idx="49">
                  <c:v>49169.859511111114</c:v>
                </c:pt>
                <c:pt idx="53">
                  <c:v>63218.390800000001</c:v>
                </c:pt>
                <c:pt idx="54">
                  <c:v>14048.531288888889</c:v>
                </c:pt>
                <c:pt idx="58">
                  <c:v>32926.245208333334</c:v>
                </c:pt>
                <c:pt idx="60">
                  <c:v>136973.18006666668</c:v>
                </c:pt>
                <c:pt idx="66">
                  <c:v>89910.600266666675</c:v>
                </c:pt>
                <c:pt idx="67">
                  <c:v>11238.825033333334</c:v>
                </c:pt>
                <c:pt idx="72">
                  <c:v>28097.062577777779</c:v>
                </c:pt>
                <c:pt idx="74">
                  <c:v>140485.3128888889</c:v>
                </c:pt>
                <c:pt idx="75">
                  <c:v>79022.988500000007</c:v>
                </c:pt>
                <c:pt idx="79">
                  <c:v>5268.1992333333337</c:v>
                </c:pt>
                <c:pt idx="81">
                  <c:v>168582.37549999999</c:v>
                </c:pt>
                <c:pt idx="89">
                  <c:v>6848.6590041666668</c:v>
                </c:pt>
                <c:pt idx="94">
                  <c:v>27394.636016666667</c:v>
                </c:pt>
                <c:pt idx="95">
                  <c:v>36526.181355555556</c:v>
                </c:pt>
                <c:pt idx="100">
                  <c:v>29501.91572222222</c:v>
                </c:pt>
                <c:pt idx="103">
                  <c:v>46360.153277777776</c:v>
                </c:pt>
                <c:pt idx="105">
                  <c:v>24840</c:v>
                </c:pt>
                <c:pt idx="106">
                  <c:v>57960</c:v>
                </c:pt>
                <c:pt idx="109">
                  <c:v>5672</c:v>
                </c:pt>
                <c:pt idx="110">
                  <c:v>76572</c:v>
                </c:pt>
                <c:pt idx="112">
                  <c:v>157343.55044444441</c:v>
                </c:pt>
                <c:pt idx="115">
                  <c:v>44252.873562499997</c:v>
                </c:pt>
                <c:pt idx="116">
                  <c:v>93422.733076388889</c:v>
                </c:pt>
                <c:pt idx="117">
                  <c:v>168582.37546666671</c:v>
                </c:pt>
                <c:pt idx="120">
                  <c:v>21072.796933333335</c:v>
                </c:pt>
                <c:pt idx="122">
                  <c:v>71120.68965</c:v>
                </c:pt>
                <c:pt idx="125">
                  <c:v>57291.666662500007</c:v>
                </c:pt>
                <c:pt idx="126">
                  <c:v>79022.988500000007</c:v>
                </c:pt>
              </c:numCache>
            </c:numRef>
          </c:val>
          <c:extLst>
            <c:ext xmlns:c16="http://schemas.microsoft.com/office/drawing/2014/chart" uri="{C3380CC4-5D6E-409C-BE32-E72D297353CC}">
              <c16:uniqueId val="{00000004-6BB0-409A-BF30-63893DEEB1AC}"/>
            </c:ext>
          </c:extLst>
        </c:ser>
        <c:ser>
          <c:idx val="5"/>
          <c:order val="5"/>
          <c:tx>
            <c:strRef>
              <c:f>PivotReport!$G$22:$G$23</c:f>
              <c:strCache>
                <c:ptCount val="1"/>
                <c:pt idx="0">
                  <c:v>июн 2025</c:v>
                </c:pt>
              </c:strCache>
            </c:strRef>
          </c:tx>
          <c:spPr>
            <a:solidFill>
              <a:schemeClr val="accent6"/>
            </a:solidFill>
            <a:ln>
              <a:noFill/>
            </a:ln>
            <a:effectLst/>
          </c:spPr>
          <c:invertIfNegative val="0"/>
          <c:cat>
            <c:multiLvlStrRef>
              <c:f>PivotReport!$A$24:$A$171</c:f>
              <c:multiLvlStrCache>
                <c:ptCount val="127"/>
                <c:lvl>
                  <c:pt idx="0">
                    <c:v>CustomDev_Presales</c:v>
                  </c:pt>
                  <c:pt idx="1">
                    <c:v>CustomDev_R&amp;D</c:v>
                  </c:pt>
                  <c:pt idx="2">
                    <c:v>HouseMgmt-Estimate-Audit</c:v>
                  </c:pt>
                  <c:pt idx="3">
                    <c:v>IC Viktoriya-003-SUP</c:v>
                  </c:pt>
                  <c:pt idx="4">
                    <c:v>IC Viktoriya-008-DC5</c:v>
                  </c:pt>
                  <c:pt idx="5">
                    <c:v>IC Viktoriya-009-DC6</c:v>
                  </c:pt>
                  <c:pt idx="6">
                    <c:v>IC Viktoriya-010-DC7</c:v>
                  </c:pt>
                  <c:pt idx="7">
                    <c:v>Konnect-001-PRJ-WD</c:v>
                  </c:pt>
                  <c:pt idx="8">
                    <c:v>Predubezhdai-001-SUP</c:v>
                  </c:pt>
                  <c:pt idx="9">
                    <c:v>ROSKOSMOS-RU-002-PRJ-DEV</c:v>
                  </c:pt>
                  <c:pt idx="10">
                    <c:v>Terra-HouseMgmt-Dev</c:v>
                  </c:pt>
                  <c:pt idx="11">
                    <c:v>Terra-Module-Dev-Client-01</c:v>
                  </c:pt>
                  <c:pt idx="12">
                    <c:v>Tetra-2024-2025-SUP</c:v>
                  </c:pt>
                  <c:pt idx="13">
                    <c:v>Внутренняя деятельность/Internal</c:v>
                  </c:pt>
                  <c:pt idx="14">
                    <c:v>CustomDev_R&amp;D</c:v>
                  </c:pt>
                  <c:pt idx="15">
                    <c:v>IC Viktoriya-003-SUP</c:v>
                  </c:pt>
                  <c:pt idx="16">
                    <c:v>IC Viktoriya-010-DC7</c:v>
                  </c:pt>
                  <c:pt idx="17">
                    <c:v>Konnect-001-PRJ-WD</c:v>
                  </c:pt>
                  <c:pt idx="18">
                    <c:v>Predubezhdai-001-SUP</c:v>
                  </c:pt>
                  <c:pt idx="19">
                    <c:v>Terra-HouseMgmt-Dev</c:v>
                  </c:pt>
                  <c:pt idx="20">
                    <c:v>Terra-Module-Dev-Client-01</c:v>
                  </c:pt>
                  <c:pt idx="21">
                    <c:v>Внутренняя деятельность/Internal</c:v>
                  </c:pt>
                  <c:pt idx="22">
                    <c:v>Spimex-001-Inkomand-HLD</c:v>
                  </c:pt>
                  <c:pt idx="23">
                    <c:v>Внутренняя деятельность/Internal</c:v>
                  </c:pt>
                  <c:pt idx="24">
                    <c:v>CABA_Presales</c:v>
                  </c:pt>
                  <c:pt idx="25">
                    <c:v>Spimex-001-Inkomand-HLD</c:v>
                  </c:pt>
                  <c:pt idx="26">
                    <c:v>Terra-HouseMgmt-Dev</c:v>
                  </c:pt>
                  <c:pt idx="27">
                    <c:v>CustomDev_R&amp;D</c:v>
                  </c:pt>
                  <c:pt idx="28">
                    <c:v>Konnect-002-PRJ-PoC</c:v>
                  </c:pt>
                  <c:pt idx="29">
                    <c:v>Terra-HouseMgmt-2-Analytics</c:v>
                  </c:pt>
                  <c:pt idx="30">
                    <c:v>Внутренняя деятельность/Internal</c:v>
                  </c:pt>
                  <c:pt idx="31">
                    <c:v>Bork-001-PRJ-WMS</c:v>
                  </c:pt>
                  <c:pt idx="32">
                    <c:v>CustomDev_R&amp;D</c:v>
                  </c:pt>
                  <c:pt idx="33">
                    <c:v>Konnect-001-PRJ-WD</c:v>
                  </c:pt>
                  <c:pt idx="34">
                    <c:v>Terra-HouseMgmt-Dev</c:v>
                  </c:pt>
                  <c:pt idx="35">
                    <c:v>Внутренняя деятельность/Internal</c:v>
                  </c:pt>
                  <c:pt idx="36">
                    <c:v>CustomDev_Presales</c:v>
                  </c:pt>
                  <c:pt idx="37">
                    <c:v>CustomDev_R&amp;D</c:v>
                  </c:pt>
                  <c:pt idx="38">
                    <c:v>HouseMgmt-Estimate-Audit</c:v>
                  </c:pt>
                  <c:pt idx="39">
                    <c:v>Predubezhdai-001-SUP</c:v>
                  </c:pt>
                  <c:pt idx="40">
                    <c:v>ROSKOSMOS-RU-002-PRJ-DEV</c:v>
                  </c:pt>
                  <c:pt idx="41">
                    <c:v>Terra-HouseMgmt-2-Analytics</c:v>
                  </c:pt>
                  <c:pt idx="42">
                    <c:v>Terra-HouseMgmt-Dev</c:v>
                  </c:pt>
                  <c:pt idx="43">
                    <c:v>Tetra-2024-2025-SUP</c:v>
                  </c:pt>
                  <c:pt idx="44">
                    <c:v>TotalDict-2024-2025-SUP</c:v>
                  </c:pt>
                  <c:pt idx="45">
                    <c:v>Внутренняя деятельность/Internal</c:v>
                  </c:pt>
                  <c:pt idx="46">
                    <c:v>Terra-HouseMgmt-Dev</c:v>
                  </c:pt>
                  <c:pt idx="47">
                    <c:v>Tetra-2024-2025-SUP</c:v>
                  </c:pt>
                  <c:pt idx="48">
                    <c:v>Внутренняя деятельность/Internal</c:v>
                  </c:pt>
                  <c:pt idx="49">
                    <c:v>Bork-001-PRJ-WMS</c:v>
                  </c:pt>
                  <c:pt idx="50">
                    <c:v>CustomDev_R&amp;D</c:v>
                  </c:pt>
                  <c:pt idx="51">
                    <c:v>HouseMgmt-Estimate-Audit</c:v>
                  </c:pt>
                  <c:pt idx="52">
                    <c:v>Spimex-001-Inkomand-HLD</c:v>
                  </c:pt>
                  <c:pt idx="53">
                    <c:v>Terra-HouseMgmt-2-Analytics</c:v>
                  </c:pt>
                  <c:pt idx="54">
                    <c:v>Внутренняя деятельность/Internal</c:v>
                  </c:pt>
                  <c:pt idx="55">
                    <c:v>CustomDev_Presales</c:v>
                  </c:pt>
                  <c:pt idx="56">
                    <c:v>CustomDev_R&amp;D</c:v>
                  </c:pt>
                  <c:pt idx="57">
                    <c:v>HouseMgmt-Estimate-Audit</c:v>
                  </c:pt>
                  <c:pt idx="58">
                    <c:v>Konnect-001-PRJ-WD</c:v>
                  </c:pt>
                  <c:pt idx="59">
                    <c:v>Konnect-002-PRJ-PoC</c:v>
                  </c:pt>
                  <c:pt idx="60">
                    <c:v>Terra-HouseMgmt-2-Analytics</c:v>
                  </c:pt>
                  <c:pt idx="61">
                    <c:v>Terra-HouseMgmt-Dev</c:v>
                  </c:pt>
                  <c:pt idx="62">
                    <c:v>Внутренняя деятельность/Internal</c:v>
                  </c:pt>
                  <c:pt idx="63">
                    <c:v>CustomDev_R&amp;D</c:v>
                  </c:pt>
                  <c:pt idx="64">
                    <c:v>ErtaShoes-001-SUP</c:v>
                  </c:pt>
                  <c:pt idx="65">
                    <c:v>Konnect-001-PRJ-WD</c:v>
                  </c:pt>
                  <c:pt idx="66">
                    <c:v>Predubezhdai-001-SUP</c:v>
                  </c:pt>
                  <c:pt idx="67">
                    <c:v>Внутренняя деятельность/Internal</c:v>
                  </c:pt>
                  <c:pt idx="68">
                    <c:v> IC Viktoriya-004-DC1</c:v>
                  </c:pt>
                  <c:pt idx="69">
                    <c:v>BLT-011-PRJ-DS18</c:v>
                  </c:pt>
                  <c:pt idx="70">
                    <c:v>CustomDev_R&amp;D</c:v>
                  </c:pt>
                  <c:pt idx="71">
                    <c:v>Finist-001-PRJ-DEV</c:v>
                  </c:pt>
                  <c:pt idx="72">
                    <c:v>IC Viktoriya-003-SUP</c:v>
                  </c:pt>
                  <c:pt idx="73">
                    <c:v>IC Viktoriya-005-DC2</c:v>
                  </c:pt>
                  <c:pt idx="74">
                    <c:v>IC Viktoriya-006-DC3</c:v>
                  </c:pt>
                  <c:pt idx="75">
                    <c:v>IC Viktoriya-007-DC4</c:v>
                  </c:pt>
                  <c:pt idx="76">
                    <c:v>IC Viktoriya-008-DC5</c:v>
                  </c:pt>
                  <c:pt idx="77">
                    <c:v>IC Viktoriya-009-DC6</c:v>
                  </c:pt>
                  <c:pt idx="78">
                    <c:v>Tetra-2024-2025-SUP</c:v>
                  </c:pt>
                  <c:pt idx="79">
                    <c:v>Внутренняя деятельность/Internal</c:v>
                  </c:pt>
                  <c:pt idx="80">
                    <c:v>CustomDev_Presales</c:v>
                  </c:pt>
                  <c:pt idx="81">
                    <c:v>CustomDev_R&amp;D</c:v>
                  </c:pt>
                  <c:pt idx="82">
                    <c:v>HouseMgmt-Estimate-Audit</c:v>
                  </c:pt>
                  <c:pt idx="83">
                    <c:v>ROSKOSMOS-RU-002-PRJ-DEV</c:v>
                  </c:pt>
                  <c:pt idx="84">
                    <c:v>Terra-HouseMgmt-Dev</c:v>
                  </c:pt>
                  <c:pt idx="85">
                    <c:v>Terra-Module-Dev-Client-01</c:v>
                  </c:pt>
                  <c:pt idx="86">
                    <c:v>Внутренняя деятельность/Internal</c:v>
                  </c:pt>
                  <c:pt idx="87">
                    <c:v> IC Viktoriya-004-DC1</c:v>
                  </c:pt>
                  <c:pt idx="88">
                    <c:v>BLT-011-PRJ-DS18</c:v>
                  </c:pt>
                  <c:pt idx="89">
                    <c:v>CERRI-001-AUDIT-CD</c:v>
                  </c:pt>
                  <c:pt idx="90">
                    <c:v>CustomDev_R&amp;D</c:v>
                  </c:pt>
                  <c:pt idx="91">
                    <c:v>Finist-001-PRJ-DEV</c:v>
                  </c:pt>
                  <c:pt idx="92">
                    <c:v>IC Viktoriya-003-SUP</c:v>
                  </c:pt>
                  <c:pt idx="93">
                    <c:v>IC Viktoriya-009-DC6</c:v>
                  </c:pt>
                  <c:pt idx="94">
                    <c:v>Konnect-001-PRJ-WD</c:v>
                  </c:pt>
                  <c:pt idx="95">
                    <c:v>Внутренняя деятельность/Internal</c:v>
                  </c:pt>
                  <c:pt idx="96">
                    <c:v>BLT-011-PRJ-DS18</c:v>
                  </c:pt>
                  <c:pt idx="97">
                    <c:v>CustomDev_R&amp;D</c:v>
                  </c:pt>
                  <c:pt idx="98">
                    <c:v>IC Viktoriya-008-DC5</c:v>
                  </c:pt>
                  <c:pt idx="99">
                    <c:v>IC Viktoriya-009-DC6</c:v>
                  </c:pt>
                  <c:pt idx="100">
                    <c:v>Terra-HouseMgmt-2-Analytics</c:v>
                  </c:pt>
                  <c:pt idx="101">
                    <c:v>Terra-HouseMgmt-Dev</c:v>
                  </c:pt>
                  <c:pt idx="102">
                    <c:v>Terra-Module-Dev-Client-01</c:v>
                  </c:pt>
                  <c:pt idx="103">
                    <c:v>Внутренняя деятельность/Internal</c:v>
                  </c:pt>
                  <c:pt idx="104">
                    <c:v>CustomDev_R&amp;D</c:v>
                  </c:pt>
                  <c:pt idx="105">
                    <c:v>Konnect-001-PRJ-WD</c:v>
                  </c:pt>
                  <c:pt idx="106">
                    <c:v>Predubezhdai-001-SUP</c:v>
                  </c:pt>
                  <c:pt idx="107">
                    <c:v>Terra-HouseMgmt-Dev</c:v>
                  </c:pt>
                  <c:pt idx="108">
                    <c:v>Terra-Module-Dev-Client-01</c:v>
                  </c:pt>
                  <c:pt idx="109">
                    <c:v>CustomDev_R&amp;D</c:v>
                  </c:pt>
                  <c:pt idx="110">
                    <c:v>Konnect-001-PRJ-WD</c:v>
                  </c:pt>
                  <c:pt idx="111">
                    <c:v>Terra-HouseMgmt-Dev</c:v>
                  </c:pt>
                  <c:pt idx="112">
                    <c:v>Bork-001-PRJ-WMS</c:v>
                  </c:pt>
                  <c:pt idx="113">
                    <c:v>CustomDev_Presales</c:v>
                  </c:pt>
                  <c:pt idx="114">
                    <c:v>CustomDev_R&amp;D</c:v>
                  </c:pt>
                  <c:pt idx="115">
                    <c:v>Predubezhdai-001-SUP</c:v>
                  </c:pt>
                  <c:pt idx="116">
                    <c:v>Внутренняя деятельность/Internal</c:v>
                  </c:pt>
                  <c:pt idx="117">
                    <c:v>CustomDev_R&amp;D</c:v>
                  </c:pt>
                  <c:pt idx="118">
                    <c:v>Terra-HouseMgmt-Dev</c:v>
                  </c:pt>
                  <c:pt idx="119">
                    <c:v>Terra-Module-Dev-Client-01</c:v>
                  </c:pt>
                  <c:pt idx="120">
                    <c:v>Внутренняя деятельность/Internal</c:v>
                  </c:pt>
                  <c:pt idx="121">
                    <c:v>CustomDev_R&amp;D</c:v>
                  </c:pt>
                  <c:pt idx="122">
                    <c:v>Konnect-001-PRJ-WD</c:v>
                  </c:pt>
                  <c:pt idx="123">
                    <c:v>Terra-HouseMgmt-Dev</c:v>
                  </c:pt>
                  <c:pt idx="124">
                    <c:v>Terra-Module-Dev-Client-01</c:v>
                  </c:pt>
                  <c:pt idx="125">
                    <c:v>TotalDict-2024-2025-SUP</c:v>
                  </c:pt>
                  <c:pt idx="126">
                    <c:v>Внутренняя деятельность/Internal</c:v>
                  </c:pt>
                </c:lvl>
                <c:lvl>
                  <c:pt idx="0">
                    <c:v>Aleksandr Dmitriev</c:v>
                  </c:pt>
                  <c:pt idx="14">
                    <c:v>Alexandra Dementieva</c:v>
                  </c:pt>
                  <c:pt idx="22">
                    <c:v>Alexey Ponomarenko</c:v>
                  </c:pt>
                  <c:pt idx="24">
                    <c:v>Alice Boyarkina</c:v>
                  </c:pt>
                  <c:pt idx="27">
                    <c:v>Amir Khalikov</c:v>
                  </c:pt>
                  <c:pt idx="31">
                    <c:v>Amirjon Holikov</c:v>
                  </c:pt>
                  <c:pt idx="36">
                    <c:v>Andrey Erofeev</c:v>
                  </c:pt>
                  <c:pt idx="46">
                    <c:v>Boris Bartenev</c:v>
                  </c:pt>
                  <c:pt idx="49">
                    <c:v>Dmitry Barabin</c:v>
                  </c:pt>
                  <c:pt idx="55">
                    <c:v>Julia Shutova</c:v>
                  </c:pt>
                  <c:pt idx="63">
                    <c:v>Lev Totok</c:v>
                  </c:pt>
                  <c:pt idx="68">
                    <c:v>Mikhail Matyasov</c:v>
                  </c:pt>
                  <c:pt idx="80">
                    <c:v>Mikhail Pavlukhin</c:v>
                  </c:pt>
                  <c:pt idx="87">
                    <c:v>Mikhail Yurchenko</c:v>
                  </c:pt>
                  <c:pt idx="96">
                    <c:v>Nikita Avdonin</c:v>
                  </c:pt>
                  <c:pt idx="104">
                    <c:v>Nur-Magomed Tasuev</c:v>
                  </c:pt>
                  <c:pt idx="109">
                    <c:v>Oleg Rybikov</c:v>
                  </c:pt>
                  <c:pt idx="112">
                    <c:v>Sergey Lychagin</c:v>
                  </c:pt>
                  <c:pt idx="117">
                    <c:v>Timofey Kochetkov</c:v>
                  </c:pt>
                  <c:pt idx="121">
                    <c:v>Vadim Bondar</c:v>
                  </c:pt>
                </c:lvl>
              </c:multiLvlStrCache>
            </c:multiLvlStrRef>
          </c:cat>
          <c:val>
            <c:numRef>
              <c:f>PivotReport!$G$24:$G$171</c:f>
              <c:numCache>
                <c:formatCode>#\,##0.00\ "р."</c:formatCode>
                <c:ptCount val="127"/>
                <c:pt idx="0">
                  <c:v>29113.732605263158</c:v>
                </c:pt>
                <c:pt idx="4">
                  <c:v>76943.436171052628</c:v>
                </c:pt>
                <c:pt idx="5">
                  <c:v>158045.97700000001</c:v>
                </c:pt>
                <c:pt idx="7">
                  <c:v>54068.360552631581</c:v>
                </c:pt>
                <c:pt idx="8">
                  <c:v>6238.6569868421057</c:v>
                </c:pt>
                <c:pt idx="17">
                  <c:v>16636.418631578948</c:v>
                </c:pt>
                <c:pt idx="21">
                  <c:v>13309.134905263158</c:v>
                </c:pt>
                <c:pt idx="27">
                  <c:v>19963.702357894737</c:v>
                </c:pt>
                <c:pt idx="29">
                  <c:v>169691.47004210527</c:v>
                </c:pt>
                <c:pt idx="32">
                  <c:v>151724.1379</c:v>
                </c:pt>
                <c:pt idx="36">
                  <c:v>219600.72593684212</c:v>
                </c:pt>
                <c:pt idx="37">
                  <c:v>39927.404715789475</c:v>
                </c:pt>
                <c:pt idx="39">
                  <c:v>19963.702357894737</c:v>
                </c:pt>
                <c:pt idx="45">
                  <c:v>21211.433755263159</c:v>
                </c:pt>
                <c:pt idx="53">
                  <c:v>73200.241978947364</c:v>
                </c:pt>
                <c:pt idx="54">
                  <c:v>53236.539621052631</c:v>
                </c:pt>
                <c:pt idx="58">
                  <c:v>76111.615239473686</c:v>
                </c:pt>
                <c:pt idx="60">
                  <c:v>113543.55716052632</c:v>
                </c:pt>
                <c:pt idx="65">
                  <c:v>26618.269815789477</c:v>
                </c:pt>
                <c:pt idx="66">
                  <c:v>36932.849369407908</c:v>
                </c:pt>
                <c:pt idx="67">
                  <c:v>33272.837269736847</c:v>
                </c:pt>
                <c:pt idx="72">
                  <c:v>9981.8511789473687</c:v>
                </c:pt>
                <c:pt idx="75">
                  <c:v>13309.134905263158</c:v>
                </c:pt>
                <c:pt idx="76">
                  <c:v>149727.76768421053</c:v>
                </c:pt>
                <c:pt idx="77">
                  <c:v>13309.134905263158</c:v>
                </c:pt>
                <c:pt idx="79">
                  <c:v>9981.8511789473687</c:v>
                </c:pt>
                <c:pt idx="81">
                  <c:v>303448.27590000001</c:v>
                </c:pt>
                <c:pt idx="89">
                  <c:v>540.68360559210521</c:v>
                </c:pt>
                <c:pt idx="93">
                  <c:v>129764.06534210526</c:v>
                </c:pt>
                <c:pt idx="94">
                  <c:v>10813.672111842105</c:v>
                </c:pt>
                <c:pt idx="95">
                  <c:v>1081.3672111842104</c:v>
                </c:pt>
                <c:pt idx="98">
                  <c:v>4990.9255921052636</c:v>
                </c:pt>
                <c:pt idx="103">
                  <c:v>70871.14340789475</c:v>
                </c:pt>
                <c:pt idx="105">
                  <c:v>111780</c:v>
                </c:pt>
                <c:pt idx="106">
                  <c:v>59340</c:v>
                </c:pt>
                <c:pt idx="109">
                  <c:v>14180</c:v>
                </c:pt>
                <c:pt idx="110">
                  <c:v>85080</c:v>
                </c:pt>
                <c:pt idx="112">
                  <c:v>25620.084694078949</c:v>
                </c:pt>
                <c:pt idx="113">
                  <c:v>286479.12885197368</c:v>
                </c:pt>
                <c:pt idx="115">
                  <c:v>41923.774953947366</c:v>
                </c:pt>
                <c:pt idx="117">
                  <c:v>199637.02357894738</c:v>
                </c:pt>
                <c:pt idx="122">
                  <c:v>164700.54445263158</c:v>
                </c:pt>
                <c:pt idx="125">
                  <c:v>119782.21414736842</c:v>
                </c:pt>
              </c:numCache>
            </c:numRef>
          </c:val>
          <c:extLst>
            <c:ext xmlns:c16="http://schemas.microsoft.com/office/drawing/2014/chart" uri="{C3380CC4-5D6E-409C-BE32-E72D297353CC}">
              <c16:uniqueId val="{00000005-6BB0-409A-BF30-63893DEEB1AC}"/>
            </c:ext>
          </c:extLst>
        </c:ser>
        <c:ser>
          <c:idx val="6"/>
          <c:order val="6"/>
          <c:tx>
            <c:strRef>
              <c:f>PivotReport!$H$22:$H$23</c:f>
              <c:strCache>
                <c:ptCount val="1"/>
                <c:pt idx="0">
                  <c:v>июл 2025</c:v>
                </c:pt>
              </c:strCache>
            </c:strRef>
          </c:tx>
          <c:spPr>
            <a:solidFill>
              <a:schemeClr val="accent1">
                <a:lumMod val="60000"/>
              </a:schemeClr>
            </a:solidFill>
            <a:ln>
              <a:noFill/>
            </a:ln>
            <a:effectLst/>
          </c:spPr>
          <c:invertIfNegative val="0"/>
          <c:cat>
            <c:multiLvlStrRef>
              <c:f>PivotReport!$A$24:$A$171</c:f>
              <c:multiLvlStrCache>
                <c:ptCount val="127"/>
                <c:lvl>
                  <c:pt idx="0">
                    <c:v>CustomDev_Presales</c:v>
                  </c:pt>
                  <c:pt idx="1">
                    <c:v>CustomDev_R&amp;D</c:v>
                  </c:pt>
                  <c:pt idx="2">
                    <c:v>HouseMgmt-Estimate-Audit</c:v>
                  </c:pt>
                  <c:pt idx="3">
                    <c:v>IC Viktoriya-003-SUP</c:v>
                  </c:pt>
                  <c:pt idx="4">
                    <c:v>IC Viktoriya-008-DC5</c:v>
                  </c:pt>
                  <c:pt idx="5">
                    <c:v>IC Viktoriya-009-DC6</c:v>
                  </c:pt>
                  <c:pt idx="6">
                    <c:v>IC Viktoriya-010-DC7</c:v>
                  </c:pt>
                  <c:pt idx="7">
                    <c:v>Konnect-001-PRJ-WD</c:v>
                  </c:pt>
                  <c:pt idx="8">
                    <c:v>Predubezhdai-001-SUP</c:v>
                  </c:pt>
                  <c:pt idx="9">
                    <c:v>ROSKOSMOS-RU-002-PRJ-DEV</c:v>
                  </c:pt>
                  <c:pt idx="10">
                    <c:v>Terra-HouseMgmt-Dev</c:v>
                  </c:pt>
                  <c:pt idx="11">
                    <c:v>Terra-Module-Dev-Client-01</c:v>
                  </c:pt>
                  <c:pt idx="12">
                    <c:v>Tetra-2024-2025-SUP</c:v>
                  </c:pt>
                  <c:pt idx="13">
                    <c:v>Внутренняя деятельность/Internal</c:v>
                  </c:pt>
                  <c:pt idx="14">
                    <c:v>CustomDev_R&amp;D</c:v>
                  </c:pt>
                  <c:pt idx="15">
                    <c:v>IC Viktoriya-003-SUP</c:v>
                  </c:pt>
                  <c:pt idx="16">
                    <c:v>IC Viktoriya-010-DC7</c:v>
                  </c:pt>
                  <c:pt idx="17">
                    <c:v>Konnect-001-PRJ-WD</c:v>
                  </c:pt>
                  <c:pt idx="18">
                    <c:v>Predubezhdai-001-SUP</c:v>
                  </c:pt>
                  <c:pt idx="19">
                    <c:v>Terra-HouseMgmt-Dev</c:v>
                  </c:pt>
                  <c:pt idx="20">
                    <c:v>Terra-Module-Dev-Client-01</c:v>
                  </c:pt>
                  <c:pt idx="21">
                    <c:v>Внутренняя деятельность/Internal</c:v>
                  </c:pt>
                  <c:pt idx="22">
                    <c:v>Spimex-001-Inkomand-HLD</c:v>
                  </c:pt>
                  <c:pt idx="23">
                    <c:v>Внутренняя деятельность/Internal</c:v>
                  </c:pt>
                  <c:pt idx="24">
                    <c:v>CABA_Presales</c:v>
                  </c:pt>
                  <c:pt idx="25">
                    <c:v>Spimex-001-Inkomand-HLD</c:v>
                  </c:pt>
                  <c:pt idx="26">
                    <c:v>Terra-HouseMgmt-Dev</c:v>
                  </c:pt>
                  <c:pt idx="27">
                    <c:v>CustomDev_R&amp;D</c:v>
                  </c:pt>
                  <c:pt idx="28">
                    <c:v>Konnect-002-PRJ-PoC</c:v>
                  </c:pt>
                  <c:pt idx="29">
                    <c:v>Terra-HouseMgmt-2-Analytics</c:v>
                  </c:pt>
                  <c:pt idx="30">
                    <c:v>Внутренняя деятельность/Internal</c:v>
                  </c:pt>
                  <c:pt idx="31">
                    <c:v>Bork-001-PRJ-WMS</c:v>
                  </c:pt>
                  <c:pt idx="32">
                    <c:v>CustomDev_R&amp;D</c:v>
                  </c:pt>
                  <c:pt idx="33">
                    <c:v>Konnect-001-PRJ-WD</c:v>
                  </c:pt>
                  <c:pt idx="34">
                    <c:v>Terra-HouseMgmt-Dev</c:v>
                  </c:pt>
                  <c:pt idx="35">
                    <c:v>Внутренняя деятельность/Internal</c:v>
                  </c:pt>
                  <c:pt idx="36">
                    <c:v>CustomDev_Presales</c:v>
                  </c:pt>
                  <c:pt idx="37">
                    <c:v>CustomDev_R&amp;D</c:v>
                  </c:pt>
                  <c:pt idx="38">
                    <c:v>HouseMgmt-Estimate-Audit</c:v>
                  </c:pt>
                  <c:pt idx="39">
                    <c:v>Predubezhdai-001-SUP</c:v>
                  </c:pt>
                  <c:pt idx="40">
                    <c:v>ROSKOSMOS-RU-002-PRJ-DEV</c:v>
                  </c:pt>
                  <c:pt idx="41">
                    <c:v>Terra-HouseMgmt-2-Analytics</c:v>
                  </c:pt>
                  <c:pt idx="42">
                    <c:v>Terra-HouseMgmt-Dev</c:v>
                  </c:pt>
                  <c:pt idx="43">
                    <c:v>Tetra-2024-2025-SUP</c:v>
                  </c:pt>
                  <c:pt idx="44">
                    <c:v>TotalDict-2024-2025-SUP</c:v>
                  </c:pt>
                  <c:pt idx="45">
                    <c:v>Внутренняя деятельность/Internal</c:v>
                  </c:pt>
                  <c:pt idx="46">
                    <c:v>Terra-HouseMgmt-Dev</c:v>
                  </c:pt>
                  <c:pt idx="47">
                    <c:v>Tetra-2024-2025-SUP</c:v>
                  </c:pt>
                  <c:pt idx="48">
                    <c:v>Внутренняя деятельность/Internal</c:v>
                  </c:pt>
                  <c:pt idx="49">
                    <c:v>Bork-001-PRJ-WMS</c:v>
                  </c:pt>
                  <c:pt idx="50">
                    <c:v>CustomDev_R&amp;D</c:v>
                  </c:pt>
                  <c:pt idx="51">
                    <c:v>HouseMgmt-Estimate-Audit</c:v>
                  </c:pt>
                  <c:pt idx="52">
                    <c:v>Spimex-001-Inkomand-HLD</c:v>
                  </c:pt>
                  <c:pt idx="53">
                    <c:v>Terra-HouseMgmt-2-Analytics</c:v>
                  </c:pt>
                  <c:pt idx="54">
                    <c:v>Внутренняя деятельность/Internal</c:v>
                  </c:pt>
                  <c:pt idx="55">
                    <c:v>CustomDev_Presales</c:v>
                  </c:pt>
                  <c:pt idx="56">
                    <c:v>CustomDev_R&amp;D</c:v>
                  </c:pt>
                  <c:pt idx="57">
                    <c:v>HouseMgmt-Estimate-Audit</c:v>
                  </c:pt>
                  <c:pt idx="58">
                    <c:v>Konnect-001-PRJ-WD</c:v>
                  </c:pt>
                  <c:pt idx="59">
                    <c:v>Konnect-002-PRJ-PoC</c:v>
                  </c:pt>
                  <c:pt idx="60">
                    <c:v>Terra-HouseMgmt-2-Analytics</c:v>
                  </c:pt>
                  <c:pt idx="61">
                    <c:v>Terra-HouseMgmt-Dev</c:v>
                  </c:pt>
                  <c:pt idx="62">
                    <c:v>Внутренняя деятельность/Internal</c:v>
                  </c:pt>
                  <c:pt idx="63">
                    <c:v>CustomDev_R&amp;D</c:v>
                  </c:pt>
                  <c:pt idx="64">
                    <c:v>ErtaShoes-001-SUP</c:v>
                  </c:pt>
                  <c:pt idx="65">
                    <c:v>Konnect-001-PRJ-WD</c:v>
                  </c:pt>
                  <c:pt idx="66">
                    <c:v>Predubezhdai-001-SUP</c:v>
                  </c:pt>
                  <c:pt idx="67">
                    <c:v>Внутренняя деятельность/Internal</c:v>
                  </c:pt>
                  <c:pt idx="68">
                    <c:v> IC Viktoriya-004-DC1</c:v>
                  </c:pt>
                  <c:pt idx="69">
                    <c:v>BLT-011-PRJ-DS18</c:v>
                  </c:pt>
                  <c:pt idx="70">
                    <c:v>CustomDev_R&amp;D</c:v>
                  </c:pt>
                  <c:pt idx="71">
                    <c:v>Finist-001-PRJ-DEV</c:v>
                  </c:pt>
                  <c:pt idx="72">
                    <c:v>IC Viktoriya-003-SUP</c:v>
                  </c:pt>
                  <c:pt idx="73">
                    <c:v>IC Viktoriya-005-DC2</c:v>
                  </c:pt>
                  <c:pt idx="74">
                    <c:v>IC Viktoriya-006-DC3</c:v>
                  </c:pt>
                  <c:pt idx="75">
                    <c:v>IC Viktoriya-007-DC4</c:v>
                  </c:pt>
                  <c:pt idx="76">
                    <c:v>IC Viktoriya-008-DC5</c:v>
                  </c:pt>
                  <c:pt idx="77">
                    <c:v>IC Viktoriya-009-DC6</c:v>
                  </c:pt>
                  <c:pt idx="78">
                    <c:v>Tetra-2024-2025-SUP</c:v>
                  </c:pt>
                  <c:pt idx="79">
                    <c:v>Внутренняя деятельность/Internal</c:v>
                  </c:pt>
                  <c:pt idx="80">
                    <c:v>CustomDev_Presales</c:v>
                  </c:pt>
                  <c:pt idx="81">
                    <c:v>CustomDev_R&amp;D</c:v>
                  </c:pt>
                  <c:pt idx="82">
                    <c:v>HouseMgmt-Estimate-Audit</c:v>
                  </c:pt>
                  <c:pt idx="83">
                    <c:v>ROSKOSMOS-RU-002-PRJ-DEV</c:v>
                  </c:pt>
                  <c:pt idx="84">
                    <c:v>Terra-HouseMgmt-Dev</c:v>
                  </c:pt>
                  <c:pt idx="85">
                    <c:v>Terra-Module-Dev-Client-01</c:v>
                  </c:pt>
                  <c:pt idx="86">
                    <c:v>Внутренняя деятельность/Internal</c:v>
                  </c:pt>
                  <c:pt idx="87">
                    <c:v> IC Viktoriya-004-DC1</c:v>
                  </c:pt>
                  <c:pt idx="88">
                    <c:v>BLT-011-PRJ-DS18</c:v>
                  </c:pt>
                  <c:pt idx="89">
                    <c:v>CERRI-001-AUDIT-CD</c:v>
                  </c:pt>
                  <c:pt idx="90">
                    <c:v>CustomDev_R&amp;D</c:v>
                  </c:pt>
                  <c:pt idx="91">
                    <c:v>Finist-001-PRJ-DEV</c:v>
                  </c:pt>
                  <c:pt idx="92">
                    <c:v>IC Viktoriya-003-SUP</c:v>
                  </c:pt>
                  <c:pt idx="93">
                    <c:v>IC Viktoriya-009-DC6</c:v>
                  </c:pt>
                  <c:pt idx="94">
                    <c:v>Konnect-001-PRJ-WD</c:v>
                  </c:pt>
                  <c:pt idx="95">
                    <c:v>Внутренняя деятельность/Internal</c:v>
                  </c:pt>
                  <c:pt idx="96">
                    <c:v>BLT-011-PRJ-DS18</c:v>
                  </c:pt>
                  <c:pt idx="97">
                    <c:v>CustomDev_R&amp;D</c:v>
                  </c:pt>
                  <c:pt idx="98">
                    <c:v>IC Viktoriya-008-DC5</c:v>
                  </c:pt>
                  <c:pt idx="99">
                    <c:v>IC Viktoriya-009-DC6</c:v>
                  </c:pt>
                  <c:pt idx="100">
                    <c:v>Terra-HouseMgmt-2-Analytics</c:v>
                  </c:pt>
                  <c:pt idx="101">
                    <c:v>Terra-HouseMgmt-Dev</c:v>
                  </c:pt>
                  <c:pt idx="102">
                    <c:v>Terra-Module-Dev-Client-01</c:v>
                  </c:pt>
                  <c:pt idx="103">
                    <c:v>Внутренняя деятельность/Internal</c:v>
                  </c:pt>
                  <c:pt idx="104">
                    <c:v>CustomDev_R&amp;D</c:v>
                  </c:pt>
                  <c:pt idx="105">
                    <c:v>Konnect-001-PRJ-WD</c:v>
                  </c:pt>
                  <c:pt idx="106">
                    <c:v>Predubezhdai-001-SUP</c:v>
                  </c:pt>
                  <c:pt idx="107">
                    <c:v>Terra-HouseMgmt-Dev</c:v>
                  </c:pt>
                  <c:pt idx="108">
                    <c:v>Terra-Module-Dev-Client-01</c:v>
                  </c:pt>
                  <c:pt idx="109">
                    <c:v>CustomDev_R&amp;D</c:v>
                  </c:pt>
                  <c:pt idx="110">
                    <c:v>Konnect-001-PRJ-WD</c:v>
                  </c:pt>
                  <c:pt idx="111">
                    <c:v>Terra-HouseMgmt-Dev</c:v>
                  </c:pt>
                  <c:pt idx="112">
                    <c:v>Bork-001-PRJ-WMS</c:v>
                  </c:pt>
                  <c:pt idx="113">
                    <c:v>CustomDev_Presales</c:v>
                  </c:pt>
                  <c:pt idx="114">
                    <c:v>CustomDev_R&amp;D</c:v>
                  </c:pt>
                  <c:pt idx="115">
                    <c:v>Predubezhdai-001-SUP</c:v>
                  </c:pt>
                  <c:pt idx="116">
                    <c:v>Внутренняя деятельность/Internal</c:v>
                  </c:pt>
                  <c:pt idx="117">
                    <c:v>CustomDev_R&amp;D</c:v>
                  </c:pt>
                  <c:pt idx="118">
                    <c:v>Terra-HouseMgmt-Dev</c:v>
                  </c:pt>
                  <c:pt idx="119">
                    <c:v>Terra-Module-Dev-Client-01</c:v>
                  </c:pt>
                  <c:pt idx="120">
                    <c:v>Внутренняя деятельность/Internal</c:v>
                  </c:pt>
                  <c:pt idx="121">
                    <c:v>CustomDev_R&amp;D</c:v>
                  </c:pt>
                  <c:pt idx="122">
                    <c:v>Konnect-001-PRJ-WD</c:v>
                  </c:pt>
                  <c:pt idx="123">
                    <c:v>Terra-HouseMgmt-Dev</c:v>
                  </c:pt>
                  <c:pt idx="124">
                    <c:v>Terra-Module-Dev-Client-01</c:v>
                  </c:pt>
                  <c:pt idx="125">
                    <c:v>TotalDict-2024-2025-SUP</c:v>
                  </c:pt>
                  <c:pt idx="126">
                    <c:v>Внутренняя деятельность/Internal</c:v>
                  </c:pt>
                </c:lvl>
                <c:lvl>
                  <c:pt idx="0">
                    <c:v>Aleksandr Dmitriev</c:v>
                  </c:pt>
                  <c:pt idx="14">
                    <c:v>Alexandra Dementieva</c:v>
                  </c:pt>
                  <c:pt idx="22">
                    <c:v>Alexey Ponomarenko</c:v>
                  </c:pt>
                  <c:pt idx="24">
                    <c:v>Alice Boyarkina</c:v>
                  </c:pt>
                  <c:pt idx="27">
                    <c:v>Amir Khalikov</c:v>
                  </c:pt>
                  <c:pt idx="31">
                    <c:v>Amirjon Holikov</c:v>
                  </c:pt>
                  <c:pt idx="36">
                    <c:v>Andrey Erofeev</c:v>
                  </c:pt>
                  <c:pt idx="46">
                    <c:v>Boris Bartenev</c:v>
                  </c:pt>
                  <c:pt idx="49">
                    <c:v>Dmitry Barabin</c:v>
                  </c:pt>
                  <c:pt idx="55">
                    <c:v>Julia Shutova</c:v>
                  </c:pt>
                  <c:pt idx="63">
                    <c:v>Lev Totok</c:v>
                  </c:pt>
                  <c:pt idx="68">
                    <c:v>Mikhail Matyasov</c:v>
                  </c:pt>
                  <c:pt idx="80">
                    <c:v>Mikhail Pavlukhin</c:v>
                  </c:pt>
                  <c:pt idx="87">
                    <c:v>Mikhail Yurchenko</c:v>
                  </c:pt>
                  <c:pt idx="96">
                    <c:v>Nikita Avdonin</c:v>
                  </c:pt>
                  <c:pt idx="104">
                    <c:v>Nur-Magomed Tasuev</c:v>
                  </c:pt>
                  <c:pt idx="109">
                    <c:v>Oleg Rybikov</c:v>
                  </c:pt>
                  <c:pt idx="112">
                    <c:v>Sergey Lychagin</c:v>
                  </c:pt>
                  <c:pt idx="117">
                    <c:v>Timofey Kochetkov</c:v>
                  </c:pt>
                  <c:pt idx="121">
                    <c:v>Vadim Bondar</c:v>
                  </c:pt>
                </c:lvl>
              </c:multiLvlStrCache>
            </c:multiLvlStrRef>
          </c:cat>
          <c:val>
            <c:numRef>
              <c:f>PivotReport!$H$24:$H$171</c:f>
              <c:numCache>
                <c:formatCode>#\,##0.00\ "р."</c:formatCode>
                <c:ptCount val="127"/>
                <c:pt idx="0">
                  <c:v>10307.346326086958</c:v>
                </c:pt>
                <c:pt idx="1">
                  <c:v>48100.949521739138</c:v>
                </c:pt>
                <c:pt idx="5">
                  <c:v>130559.72013043483</c:v>
                </c:pt>
                <c:pt idx="7">
                  <c:v>13743.128434782609</c:v>
                </c:pt>
                <c:pt idx="8">
                  <c:v>5153.6731630434788</c:v>
                </c:pt>
                <c:pt idx="11">
                  <c:v>39511.494250000003</c:v>
                </c:pt>
                <c:pt idx="13">
                  <c:v>68715.642173913046</c:v>
                </c:pt>
                <c:pt idx="14">
                  <c:v>2748.6256869565218</c:v>
                </c:pt>
                <c:pt idx="20">
                  <c:v>52223.888052173912</c:v>
                </c:pt>
                <c:pt idx="21">
                  <c:v>8245.877060869565</c:v>
                </c:pt>
                <c:pt idx="27">
                  <c:v>16491.75412173913</c:v>
                </c:pt>
                <c:pt idx="29">
                  <c:v>107196.40179130435</c:v>
                </c:pt>
                <c:pt idx="30">
                  <c:v>65967.01648695652</c:v>
                </c:pt>
                <c:pt idx="32">
                  <c:v>46176.911534782601</c:v>
                </c:pt>
                <c:pt idx="33">
                  <c:v>32983.508239130431</c:v>
                </c:pt>
                <c:pt idx="35">
                  <c:v>72563.718126086955</c:v>
                </c:pt>
                <c:pt idx="36">
                  <c:v>214392.8035826087</c:v>
                </c:pt>
                <c:pt idx="37">
                  <c:v>164917.54121739132</c:v>
                </c:pt>
                <c:pt idx="50">
                  <c:v>10994.502747826087</c:v>
                </c:pt>
                <c:pt idx="53">
                  <c:v>60469.765113043482</c:v>
                </c:pt>
                <c:pt idx="54">
                  <c:v>54972.513739130438</c:v>
                </c:pt>
                <c:pt idx="56">
                  <c:v>16491.75412173913</c:v>
                </c:pt>
                <c:pt idx="60">
                  <c:v>131934.03297391304</c:v>
                </c:pt>
                <c:pt idx="62">
                  <c:v>41229.385304347823</c:v>
                </c:pt>
                <c:pt idx="63">
                  <c:v>8795.6021999999994</c:v>
                </c:pt>
                <c:pt idx="65">
                  <c:v>47826.086962499998</c:v>
                </c:pt>
                <c:pt idx="66">
                  <c:v>4947.5262374999993</c:v>
                </c:pt>
                <c:pt idx="70">
                  <c:v>21989.005495652174</c:v>
                </c:pt>
                <c:pt idx="77">
                  <c:v>241879.06045217378</c:v>
                </c:pt>
                <c:pt idx="81">
                  <c:v>52773.6132</c:v>
                </c:pt>
                <c:pt idx="85">
                  <c:v>197901.04949999999</c:v>
                </c:pt>
                <c:pt idx="86">
                  <c:v>52773.6132</c:v>
                </c:pt>
                <c:pt idx="89">
                  <c:v>12506.246877173913</c:v>
                </c:pt>
                <c:pt idx="90">
                  <c:v>14292.853573913044</c:v>
                </c:pt>
                <c:pt idx="92">
                  <c:v>73250.874566304352</c:v>
                </c:pt>
                <c:pt idx="93">
                  <c:v>7146.4267869565219</c:v>
                </c:pt>
                <c:pt idx="95">
                  <c:v>32158.920541304349</c:v>
                </c:pt>
                <c:pt idx="97">
                  <c:v>6596.7016521739133</c:v>
                </c:pt>
                <c:pt idx="99">
                  <c:v>9895.05247826087</c:v>
                </c:pt>
                <c:pt idx="102">
                  <c:v>42878.560739130437</c:v>
                </c:pt>
                <c:pt idx="103">
                  <c:v>16491.754130434783</c:v>
                </c:pt>
                <c:pt idx="104">
                  <c:v>5520</c:v>
                </c:pt>
                <c:pt idx="105">
                  <c:v>110400</c:v>
                </c:pt>
                <c:pt idx="106">
                  <c:v>4140</c:v>
                </c:pt>
                <c:pt idx="108">
                  <c:v>13800</c:v>
                </c:pt>
                <c:pt idx="109">
                  <c:v>8508</c:v>
                </c:pt>
                <c:pt idx="110">
                  <c:v>157398</c:v>
                </c:pt>
                <c:pt idx="112">
                  <c:v>184226.63667866847</c:v>
                </c:pt>
                <c:pt idx="114">
                  <c:v>30784.607695652172</c:v>
                </c:pt>
                <c:pt idx="115">
                  <c:v>15392.303847826086</c:v>
                </c:pt>
                <c:pt idx="117">
                  <c:v>156671.66415652173</c:v>
                </c:pt>
                <c:pt idx="119">
                  <c:v>32983.50824347826</c:v>
                </c:pt>
                <c:pt idx="121">
                  <c:v>15461.019489130435</c:v>
                </c:pt>
                <c:pt idx="122">
                  <c:v>92766.116934782607</c:v>
                </c:pt>
                <c:pt idx="124">
                  <c:v>80397.301343478262</c:v>
                </c:pt>
                <c:pt idx="125">
                  <c:v>95858.320832608704</c:v>
                </c:pt>
              </c:numCache>
            </c:numRef>
          </c:val>
          <c:extLst>
            <c:ext xmlns:c16="http://schemas.microsoft.com/office/drawing/2014/chart" uri="{C3380CC4-5D6E-409C-BE32-E72D297353CC}">
              <c16:uniqueId val="{00000006-6BB0-409A-BF30-63893DEEB1AC}"/>
            </c:ext>
          </c:extLst>
        </c:ser>
        <c:dLbls>
          <c:showLegendKey val="0"/>
          <c:showVal val="0"/>
          <c:showCatName val="0"/>
          <c:showSerName val="0"/>
          <c:showPercent val="0"/>
          <c:showBubbleSize val="0"/>
        </c:dLbls>
        <c:gapWidth val="95"/>
        <c:overlap val="100"/>
        <c:axId val="47445759"/>
        <c:axId val="47442399"/>
      </c:barChart>
      <c:catAx>
        <c:axId val="474457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42399"/>
        <c:crosses val="autoZero"/>
        <c:auto val="1"/>
        <c:lblAlgn val="ctr"/>
        <c:lblOffset val="100"/>
        <c:noMultiLvlLbl val="0"/>
      </c:catAx>
      <c:valAx>
        <c:axId val="47442399"/>
        <c:scaling>
          <c:orientation val="minMax"/>
        </c:scaling>
        <c:delete val="0"/>
        <c:axPos val="l"/>
        <c:majorGridlines>
          <c:spPr>
            <a:ln w="9525" cap="flat" cmpd="sng" algn="ctr">
              <a:solidFill>
                <a:schemeClr val="tx1">
                  <a:lumMod val="15000"/>
                  <a:lumOff val="85000"/>
                </a:schemeClr>
              </a:solidFill>
              <a:round/>
            </a:ln>
            <a:effectLst/>
          </c:spPr>
        </c:majorGridlines>
        <c:title>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quot;р.&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45759"/>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a:t>Маржинальность проектов (Себестоимость + Маржа)</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Себестоимость</c:v>
          </c:tx>
          <c:spPr>
            <a:solidFill>
              <a:srgbClr val="FF5757"/>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ProjectMarginReport!$A$2:$A$29</c:f>
              <c:strCache>
                <c:ptCount val="28"/>
                <c:pt idx="0">
                  <c:v> IC Viktoriya-004-DC1</c:v>
                </c:pt>
                <c:pt idx="1">
                  <c:v>BLT-011-PRJ-DS18</c:v>
                </c:pt>
                <c:pt idx="2">
                  <c:v>Bork-001-PRJ-WMS</c:v>
                </c:pt>
                <c:pt idx="3">
                  <c:v>CABA_Presales</c:v>
                </c:pt>
                <c:pt idx="4">
                  <c:v>CERRI-001-AUDIT-CD</c:v>
                </c:pt>
                <c:pt idx="5">
                  <c:v>CustomDev_Presales</c:v>
                </c:pt>
                <c:pt idx="6">
                  <c:v>CustomDev_R&amp;D</c:v>
                </c:pt>
                <c:pt idx="7">
                  <c:v>ErtaShoes-001-SUP</c:v>
                </c:pt>
                <c:pt idx="8">
                  <c:v>Finist-001-PRJ-DEV</c:v>
                </c:pt>
                <c:pt idx="9">
                  <c:v>HouseMgmt-Estimate-Audit</c:v>
                </c:pt>
                <c:pt idx="10">
                  <c:v>IC Viktoriya-003-SUP</c:v>
                </c:pt>
                <c:pt idx="11">
                  <c:v>IC Viktoriya-005-DC2</c:v>
                </c:pt>
                <c:pt idx="12">
                  <c:v>IC Viktoriya-006-DC3</c:v>
                </c:pt>
                <c:pt idx="13">
                  <c:v>IC Viktoriya-007-DC4</c:v>
                </c:pt>
                <c:pt idx="14">
                  <c:v>IC Viktoriya-008-DC5</c:v>
                </c:pt>
                <c:pt idx="15">
                  <c:v>IC Viktoriya-009-DC6</c:v>
                </c:pt>
                <c:pt idx="16">
                  <c:v>IC Viktoriya-010-DC7</c:v>
                </c:pt>
                <c:pt idx="17">
                  <c:v>Konnect-001-PRJ-WD</c:v>
                </c:pt>
                <c:pt idx="18">
                  <c:v>Konnect-002-PRJ-PoC</c:v>
                </c:pt>
                <c:pt idx="19">
                  <c:v>Predubezhdai-001-SUP</c:v>
                </c:pt>
                <c:pt idx="20">
                  <c:v>ROSKOSMOS-RU-002-PRJ-DEV</c:v>
                </c:pt>
                <c:pt idx="21">
                  <c:v>Spimex-001-Inkomand-HLD</c:v>
                </c:pt>
                <c:pt idx="22">
                  <c:v>Terra-HouseMgmt-2-Analytics</c:v>
                </c:pt>
                <c:pt idx="23">
                  <c:v>Terra-HouseMgmt-Dev</c:v>
                </c:pt>
                <c:pt idx="24">
                  <c:v>Terra-Module-Dev-Client-01</c:v>
                </c:pt>
                <c:pt idx="25">
                  <c:v>Tetra-2024-2025-SUP</c:v>
                </c:pt>
                <c:pt idx="26">
                  <c:v>TotalDict-2024-2025-SUP</c:v>
                </c:pt>
                <c:pt idx="27">
                  <c:v>Внутренняя деятельность/Internal</c:v>
                </c:pt>
              </c:strCache>
            </c:strRef>
          </c:cat>
          <c:val>
            <c:numRef>
              <c:f>ProjectMarginReport!$B$2:$B$29</c:f>
              <c:numCache>
                <c:formatCode>#\ ##0.00\ "р."</c:formatCode>
                <c:ptCount val="28"/>
                <c:pt idx="0">
                  <c:v>74281.609194999997</c:v>
                </c:pt>
                <c:pt idx="1">
                  <c:v>588005.40903191175</c:v>
                </c:pt>
                <c:pt idx="2">
                  <c:v>882629.97256516328</c:v>
                </c:pt>
                <c:pt idx="3">
                  <c:v>30679.513182352945</c:v>
                </c:pt>
                <c:pt idx="4">
                  <c:v>19895.589486932684</c:v>
                </c:pt>
                <c:pt idx="5">
                  <c:v>1654657.144583151</c:v>
                </c:pt>
                <c:pt idx="6">
                  <c:v>2635054.4619390303</c:v>
                </c:pt>
                <c:pt idx="7">
                  <c:v>112119.67547040441</c:v>
                </c:pt>
                <c:pt idx="8">
                  <c:v>320751.23152126628</c:v>
                </c:pt>
                <c:pt idx="9">
                  <c:v>292460.31745476188</c:v>
                </c:pt>
                <c:pt idx="10">
                  <c:v>366172.28564826061</c:v>
                </c:pt>
                <c:pt idx="11">
                  <c:v>54187.192114285717</c:v>
                </c:pt>
                <c:pt idx="12">
                  <c:v>163473.81863434345</c:v>
                </c:pt>
                <c:pt idx="13">
                  <c:v>92332.123405263163</c:v>
                </c:pt>
                <c:pt idx="14">
                  <c:v>231662.12944736844</c:v>
                </c:pt>
                <c:pt idx="15">
                  <c:v>690599.43709519436</c:v>
                </c:pt>
                <c:pt idx="16">
                  <c:v>49705.801857359322</c:v>
                </c:pt>
                <c:pt idx="17">
                  <c:v>1328826.3867515316</c:v>
                </c:pt>
                <c:pt idx="18">
                  <c:v>393575.53363311687</c:v>
                </c:pt>
                <c:pt idx="19">
                  <c:v>1450008.4739759238</c:v>
                </c:pt>
                <c:pt idx="20">
                  <c:v>311609.19540005689</c:v>
                </c:pt>
                <c:pt idx="21">
                  <c:v>341717.37659037439</c:v>
                </c:pt>
                <c:pt idx="22">
                  <c:v>1155843.8981578194</c:v>
                </c:pt>
                <c:pt idx="23">
                  <c:v>4959008.8312585521</c:v>
                </c:pt>
                <c:pt idx="24">
                  <c:v>459695.80212826084</c:v>
                </c:pt>
                <c:pt idx="25">
                  <c:v>284166.36480956216</c:v>
                </c:pt>
                <c:pt idx="26">
                  <c:v>987481.02399303438</c:v>
                </c:pt>
                <c:pt idx="27">
                  <c:v>1859990.8611507651</c:v>
                </c:pt>
              </c:numCache>
            </c:numRef>
          </c:val>
          <c:extLst>
            <c:ext xmlns:c16="http://schemas.microsoft.com/office/drawing/2014/chart" uri="{C3380CC4-5D6E-409C-BE32-E72D297353CC}">
              <c16:uniqueId val="{00000000-04F4-4612-895C-6226E0A37E7A}"/>
            </c:ext>
          </c:extLst>
        </c:ser>
        <c:ser>
          <c:idx val="1"/>
          <c:order val="1"/>
          <c:tx>
            <c:v>Маржа (Прибыль)</c:v>
          </c:tx>
          <c:spPr>
            <a:solidFill>
              <a:srgbClr val="92D05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ProjectMarginReport!$A$2:$A$29</c:f>
              <c:strCache>
                <c:ptCount val="28"/>
                <c:pt idx="0">
                  <c:v> IC Viktoriya-004-DC1</c:v>
                </c:pt>
                <c:pt idx="1">
                  <c:v>BLT-011-PRJ-DS18</c:v>
                </c:pt>
                <c:pt idx="2">
                  <c:v>Bork-001-PRJ-WMS</c:v>
                </c:pt>
                <c:pt idx="3">
                  <c:v>CABA_Presales</c:v>
                </c:pt>
                <c:pt idx="4">
                  <c:v>CERRI-001-AUDIT-CD</c:v>
                </c:pt>
                <c:pt idx="5">
                  <c:v>CustomDev_Presales</c:v>
                </c:pt>
                <c:pt idx="6">
                  <c:v>CustomDev_R&amp;D</c:v>
                </c:pt>
                <c:pt idx="7">
                  <c:v>ErtaShoes-001-SUP</c:v>
                </c:pt>
                <c:pt idx="8">
                  <c:v>Finist-001-PRJ-DEV</c:v>
                </c:pt>
                <c:pt idx="9">
                  <c:v>HouseMgmt-Estimate-Audit</c:v>
                </c:pt>
                <c:pt idx="10">
                  <c:v>IC Viktoriya-003-SUP</c:v>
                </c:pt>
                <c:pt idx="11">
                  <c:v>IC Viktoriya-005-DC2</c:v>
                </c:pt>
                <c:pt idx="12">
                  <c:v>IC Viktoriya-006-DC3</c:v>
                </c:pt>
                <c:pt idx="13">
                  <c:v>IC Viktoriya-007-DC4</c:v>
                </c:pt>
                <c:pt idx="14">
                  <c:v>IC Viktoriya-008-DC5</c:v>
                </c:pt>
                <c:pt idx="15">
                  <c:v>IC Viktoriya-009-DC6</c:v>
                </c:pt>
                <c:pt idx="16">
                  <c:v>IC Viktoriya-010-DC7</c:v>
                </c:pt>
                <c:pt idx="17">
                  <c:v>Konnect-001-PRJ-WD</c:v>
                </c:pt>
                <c:pt idx="18">
                  <c:v>Konnect-002-PRJ-PoC</c:v>
                </c:pt>
                <c:pt idx="19">
                  <c:v>Predubezhdai-001-SUP</c:v>
                </c:pt>
                <c:pt idx="20">
                  <c:v>ROSKOSMOS-RU-002-PRJ-DEV</c:v>
                </c:pt>
                <c:pt idx="21">
                  <c:v>Spimex-001-Inkomand-HLD</c:v>
                </c:pt>
                <c:pt idx="22">
                  <c:v>Terra-HouseMgmt-2-Analytics</c:v>
                </c:pt>
                <c:pt idx="23">
                  <c:v>Terra-HouseMgmt-Dev</c:v>
                </c:pt>
                <c:pt idx="24">
                  <c:v>Terra-Module-Dev-Client-01</c:v>
                </c:pt>
                <c:pt idx="25">
                  <c:v>Tetra-2024-2025-SUP</c:v>
                </c:pt>
                <c:pt idx="26">
                  <c:v>TotalDict-2024-2025-SUP</c:v>
                </c:pt>
                <c:pt idx="27">
                  <c:v>Внутренняя деятельность/Internal</c:v>
                </c:pt>
              </c:strCache>
            </c:strRef>
          </c:cat>
          <c:val>
            <c:numRef>
              <c:f>ProjectMarginReport!$D$2:$D$29</c:f>
              <c:numCache>
                <c:formatCode>#\ ##0.00\ "р."</c:formatCode>
                <c:ptCount val="28"/>
                <c:pt idx="0">
                  <c:v>108718.390805</c:v>
                </c:pt>
                <c:pt idx="1">
                  <c:v>767844.59096808825</c:v>
                </c:pt>
                <c:pt idx="2">
                  <c:v>-882629.97256516328</c:v>
                </c:pt>
                <c:pt idx="3">
                  <c:v>-30679.513182352945</c:v>
                </c:pt>
                <c:pt idx="4">
                  <c:v>-10900.004486932685</c:v>
                </c:pt>
                <c:pt idx="5">
                  <c:v>-1654657.144583151</c:v>
                </c:pt>
                <c:pt idx="6">
                  <c:v>-2635054.4619390303</c:v>
                </c:pt>
                <c:pt idx="7">
                  <c:v>-112119.67547040441</c:v>
                </c:pt>
                <c:pt idx="8">
                  <c:v>332048.76847873372</c:v>
                </c:pt>
                <c:pt idx="9">
                  <c:v>304839.68254523812</c:v>
                </c:pt>
                <c:pt idx="10">
                  <c:v>-16172.285648260615</c:v>
                </c:pt>
                <c:pt idx="11">
                  <c:v>65812.807885714283</c:v>
                </c:pt>
                <c:pt idx="12">
                  <c:v>85526.18136565655</c:v>
                </c:pt>
                <c:pt idx="13">
                  <c:v>66667.876594736837</c:v>
                </c:pt>
                <c:pt idx="14">
                  <c:v>326337.87055263156</c:v>
                </c:pt>
                <c:pt idx="15">
                  <c:v>389400.56290480564</c:v>
                </c:pt>
                <c:pt idx="16">
                  <c:v>-49705.801857359322</c:v>
                </c:pt>
                <c:pt idx="17">
                  <c:v>1162839.6132484684</c:v>
                </c:pt>
                <c:pt idx="18">
                  <c:v>531224.46636688313</c:v>
                </c:pt>
                <c:pt idx="19">
                  <c:v>1587991.5260240762</c:v>
                </c:pt>
                <c:pt idx="20">
                  <c:v>477590.80459994311</c:v>
                </c:pt>
                <c:pt idx="21">
                  <c:v>-341717.37659037439</c:v>
                </c:pt>
                <c:pt idx="22">
                  <c:v>367656.10184218059</c:v>
                </c:pt>
                <c:pt idx="23">
                  <c:v>15691.168741447851</c:v>
                </c:pt>
                <c:pt idx="24">
                  <c:v>1929804.197871739</c:v>
                </c:pt>
                <c:pt idx="25">
                  <c:v>327833.63519043784</c:v>
                </c:pt>
                <c:pt idx="26">
                  <c:v>878943.97600696562</c:v>
                </c:pt>
                <c:pt idx="27">
                  <c:v>-1859990.8611507651</c:v>
                </c:pt>
              </c:numCache>
            </c:numRef>
          </c:val>
          <c:extLst>
            <c:ext xmlns:c16="http://schemas.microsoft.com/office/drawing/2014/chart" uri="{C3380CC4-5D6E-409C-BE32-E72D297353CC}">
              <c16:uniqueId val="{00000001-04F4-4612-895C-6226E0A37E7A}"/>
            </c:ext>
          </c:extLst>
        </c:ser>
        <c:dLbls>
          <c:showLegendKey val="0"/>
          <c:showVal val="0"/>
          <c:showCatName val="0"/>
          <c:showSerName val="0"/>
          <c:showPercent val="0"/>
          <c:showBubbleSize val="0"/>
        </c:dLbls>
        <c:gapWidth val="95"/>
        <c:overlap val="100"/>
        <c:axId val="43425439"/>
        <c:axId val="43423999"/>
      </c:barChart>
      <c:catAx>
        <c:axId val="434254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423999"/>
        <c:crosses val="autoZero"/>
        <c:auto val="1"/>
        <c:lblAlgn val="ctr"/>
        <c:lblOffset val="100"/>
        <c:noMultiLvlLbl val="0"/>
      </c:catAx>
      <c:valAx>
        <c:axId val="43423999"/>
        <c:scaling>
          <c:orientation val="minMax"/>
        </c:scaling>
        <c:delete val="0"/>
        <c:axPos val="l"/>
        <c:majorGridlines>
          <c:spPr>
            <a:ln w="9525" cap="flat" cmpd="sng" algn="ctr">
              <a:solidFill>
                <a:schemeClr val="tx1">
                  <a:lumMod val="15000"/>
                  <a:lumOff val="85000"/>
                </a:schemeClr>
              </a:solidFill>
              <a:round/>
            </a:ln>
            <a:effectLst/>
          </c:spPr>
        </c:majorGridlines>
        <c:title>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quot;р.&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425439"/>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ru-RU"/>
        </a:p>
      </c:txPr>
    </c:title>
    <c:autoTitleDeleted val="0"/>
    <c:plotArea>
      <c:layout/>
      <c:barChart>
        <c:barDir val="col"/>
        <c:grouping val="clustered"/>
        <c:varyColors val="0"/>
        <c:ser>
          <c:idx val="0"/>
          <c:order val="0"/>
          <c:tx>
            <c:strRef>
              <c:f>Config!$A$6</c:f>
              <c:strCache>
                <c:ptCount val="1"/>
                <c:pt idx="0">
                  <c:v>Project ID (Optional)</c:v>
                </c:pt>
              </c:strCache>
            </c:strRef>
          </c:tx>
          <c:spPr>
            <a:solidFill>
              <a:schemeClr val="accent1"/>
            </a:solidFill>
            <a:ln>
              <a:noFill/>
            </a:ln>
            <a:effectLst/>
          </c:spPr>
          <c:invertIfNegative val="0"/>
          <c:cat>
            <c:strRef>
              <c:f>Config!$B$1:$B$5</c:f>
              <c:strCache>
                <c:ptCount val="5"/>
                <c:pt idx="0">
                  <c:v>Value</c:v>
                </c:pt>
                <c:pt idx="1">
                  <c:v>https://easyredmine.awara.pro</c:v>
                </c:pt>
                <c:pt idx="2">
                  <c:v>763c9fa14fcc0343773389494e8ba3004ef3cd65</c:v>
                </c:pt>
                <c:pt idx="3">
                  <c:v>2025-01-01</c:v>
                </c:pt>
                <c:pt idx="4">
                  <c:v>31.06.2025</c:v>
                </c:pt>
              </c:strCache>
            </c:strRef>
          </c:cat>
          <c:val>
            <c:numRef>
              <c:f>Config!$B$6</c:f>
              <c:numCache>
                <c:formatCode>General</c:formatCode>
                <c:ptCount val="1"/>
              </c:numCache>
            </c:numRef>
          </c:val>
          <c:extLst>
            <c:ext xmlns:c16="http://schemas.microsoft.com/office/drawing/2014/chart" uri="{C3380CC4-5D6E-409C-BE32-E72D297353CC}">
              <c16:uniqueId val="{00000000-4689-4403-92E6-BE6B7E666A02}"/>
            </c:ext>
          </c:extLst>
        </c:ser>
        <c:dLbls>
          <c:showLegendKey val="0"/>
          <c:showVal val="0"/>
          <c:showCatName val="0"/>
          <c:showSerName val="0"/>
          <c:showPercent val="0"/>
          <c:showBubbleSize val="0"/>
        </c:dLbls>
        <c:gapWidth val="219"/>
        <c:overlap val="-27"/>
        <c:axId val="1604115551"/>
        <c:axId val="1768018047"/>
      </c:barChart>
      <c:catAx>
        <c:axId val="16041155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1768018047"/>
        <c:crosses val="autoZero"/>
        <c:auto val="1"/>
        <c:lblAlgn val="ctr"/>
        <c:lblOffset val="100"/>
        <c:noMultiLvlLbl val="0"/>
      </c:catAx>
      <c:valAx>
        <c:axId val="17680180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160411555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ru-RU"/>
    </a:p>
  </c:txPr>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3.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8B3060F2-1493-4708-AE4A-45A7281ACD97}">
  <sheetPr codeName="Chart1"/>
  <sheetViews>
    <sheetView zoomScale="109" workbookViewId="0" zoomToFit="1"/>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123825</xdr:colOff>
          <xdr:row>0</xdr:row>
          <xdr:rowOff>123825</xdr:rowOff>
        </xdr:from>
        <xdr:to>
          <xdr:col>3</xdr:col>
          <xdr:colOff>581025</xdr:colOff>
          <xdr:row>2</xdr:row>
          <xdr:rowOff>57150</xdr:rowOff>
        </xdr:to>
        <xdr:sp macro="" textlink="">
          <xdr:nvSpPr>
            <xdr:cNvPr id="975873" name="btnRefreshAll" hidden="1">
              <a:extLst>
                <a:ext uri="{63B3BB69-23CF-44E3-9099-C40C66FF867C}">
                  <a14:compatExt spid="_x0000_s975873"/>
                </a:ext>
                <a:ext uri="{FF2B5EF4-FFF2-40B4-BE49-F238E27FC236}">
                  <a16:creationId xmlns:a16="http://schemas.microsoft.com/office/drawing/2014/main" id="{85E665D8-C37D-A909-DC7D-54F183DF877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Обновить все отчеты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95250</xdr:colOff>
          <xdr:row>0</xdr:row>
          <xdr:rowOff>123825</xdr:rowOff>
        </xdr:from>
        <xdr:to>
          <xdr:col>7</xdr:col>
          <xdr:colOff>552450</xdr:colOff>
          <xdr:row>2</xdr:row>
          <xdr:rowOff>57150</xdr:rowOff>
        </xdr:to>
        <xdr:sp macro="" textlink="">
          <xdr:nvSpPr>
            <xdr:cNvPr id="975874" name="btnToggleRows" hidden="1">
              <a:extLst>
                <a:ext uri="{63B3BB69-23CF-44E3-9099-C40C66FF867C}">
                  <a14:compatExt spid="_x0000_s975874"/>
                </a:ext>
                <a:ext uri="{FF2B5EF4-FFF2-40B4-BE49-F238E27FC236}">
                  <a16:creationId xmlns:a16="http://schemas.microsoft.com/office/drawing/2014/main" id="{E0278617-7480-B5A7-37E6-6356D6A8E61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Поменять: Пользователь/Проект</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66675</xdr:colOff>
          <xdr:row>0</xdr:row>
          <xdr:rowOff>123825</xdr:rowOff>
        </xdr:from>
        <xdr:to>
          <xdr:col>11</xdr:col>
          <xdr:colOff>523875</xdr:colOff>
          <xdr:row>2</xdr:row>
          <xdr:rowOff>57150</xdr:rowOff>
        </xdr:to>
        <xdr:sp macro="" textlink="">
          <xdr:nvSpPr>
            <xdr:cNvPr id="975875" name="btnToggleData" hidden="1">
              <a:extLst>
                <a:ext uri="{63B3BB69-23CF-44E3-9099-C40C66FF867C}">
                  <a14:compatExt spid="_x0000_s975875"/>
                </a:ext>
                <a:ext uri="{FF2B5EF4-FFF2-40B4-BE49-F238E27FC236}">
                  <a16:creationId xmlns:a16="http://schemas.microsoft.com/office/drawing/2014/main" id="{B238F7CB-65DF-D585-CFA0-1BC6272D7C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Поменять: Часы/Себестоимость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66675</xdr:colOff>
          <xdr:row>20</xdr:row>
          <xdr:rowOff>0</xdr:rowOff>
        </xdr:from>
        <xdr:to>
          <xdr:col>11</xdr:col>
          <xdr:colOff>523875</xdr:colOff>
          <xdr:row>21</xdr:row>
          <xdr:rowOff>123825</xdr:rowOff>
        </xdr:to>
        <xdr:sp macro="" textlink="">
          <xdr:nvSpPr>
            <xdr:cNvPr id="975876" name="btnToggleCollapseData" hidden="1">
              <a:extLst>
                <a:ext uri="{63B3BB69-23CF-44E3-9099-C40C66FF867C}">
                  <a14:compatExt spid="_x0000_s975876"/>
                </a:ext>
                <a:ext uri="{FF2B5EF4-FFF2-40B4-BE49-F238E27FC236}">
                  <a16:creationId xmlns:a16="http://schemas.microsoft.com/office/drawing/2014/main" id="{D7B99EE4-AAD1-D0C7-9902-319FE16DA49E}"/>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Свернут/развернуть пивот</a:t>
              </a:r>
            </a:p>
          </xdr:txBody>
        </xdr:sp>
        <xdr:clientData fPrintsWithSheet="0"/>
      </xdr:twoCellAnchor>
    </mc:Choice>
    <mc:Fallback/>
  </mc:AlternateContent>
  <xdr:twoCellAnchor editAs="oneCell">
    <xdr:from>
      <xdr:col>0</xdr:col>
      <xdr:colOff>127000</xdr:colOff>
      <xdr:row>3</xdr:row>
      <xdr:rowOff>0</xdr:rowOff>
    </xdr:from>
    <xdr:to>
      <xdr:col>1</xdr:col>
      <xdr:colOff>12700</xdr:colOff>
      <xdr:row>17</xdr:row>
      <xdr:rowOff>127000</xdr:rowOff>
    </xdr:to>
    <mc:AlternateContent xmlns:mc="http://schemas.openxmlformats.org/markup-compatibility/2006">
      <mc:Choice xmlns:a14="http://schemas.microsoft.com/office/drawing/2010/main" Requires="a14">
        <xdr:graphicFrame macro="">
          <xdr:nvGraphicFramePr>
            <xdr:cNvPr id="2" name="Projects">
              <a:extLst>
                <a:ext uri="{FF2B5EF4-FFF2-40B4-BE49-F238E27FC236}">
                  <a16:creationId xmlns:a16="http://schemas.microsoft.com/office/drawing/2014/main" id="{73B7E7B0-4F9A-9B76-06C1-6FCD1FA333E8}"/>
                </a:ext>
              </a:extLst>
            </xdr:cNvPr>
            <xdr:cNvGraphicFramePr/>
          </xdr:nvGraphicFramePr>
          <xdr:xfrm>
            <a:off x="0" y="0"/>
            <a:ext cx="0" cy="0"/>
          </xdr:xfrm>
          <a:graphic>
            <a:graphicData uri="http://schemas.microsoft.com/office/drawing/2010/slicer">
              <sle:slicer xmlns:sle="http://schemas.microsoft.com/office/drawing/2010/slicer" name="Projects"/>
            </a:graphicData>
          </a:graphic>
        </xdr:graphicFrame>
      </mc:Choice>
      <mc:Fallback>
        <xdr:sp macro="" textlink="">
          <xdr:nvSpPr>
            <xdr:cNvPr id="0" name=""/>
            <xdr:cNvSpPr>
              <a:spLocks noTextEdit="1"/>
            </xdr:cNvSpPr>
          </xdr:nvSpPr>
          <xdr:spPr>
            <a:xfrm>
              <a:off x="127000" y="571500"/>
              <a:ext cx="2286000" cy="2794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101600</xdr:colOff>
      <xdr:row>3</xdr:row>
      <xdr:rowOff>0</xdr:rowOff>
    </xdr:from>
    <xdr:to>
      <xdr:col>6</xdr:col>
      <xdr:colOff>558800</xdr:colOff>
      <xdr:row>17</xdr:row>
      <xdr:rowOff>127000</xdr:rowOff>
    </xdr:to>
    <mc:AlternateContent xmlns:mc="http://schemas.openxmlformats.org/markup-compatibility/2006">
      <mc:Choice xmlns:a14="http://schemas.microsoft.com/office/drawing/2010/main" Requires="a14">
        <xdr:graphicFrame macro="">
          <xdr:nvGraphicFramePr>
            <xdr:cNvPr id="3" name="Users">
              <a:extLst>
                <a:ext uri="{FF2B5EF4-FFF2-40B4-BE49-F238E27FC236}">
                  <a16:creationId xmlns:a16="http://schemas.microsoft.com/office/drawing/2014/main" id="{D47B9F2B-3A55-D694-FDF3-C319006A6B42}"/>
                </a:ext>
              </a:extLst>
            </xdr:cNvPr>
            <xdr:cNvGraphicFramePr/>
          </xdr:nvGraphicFramePr>
          <xdr:xfrm>
            <a:off x="0" y="0"/>
            <a:ext cx="0" cy="0"/>
          </xdr:xfrm>
          <a:graphic>
            <a:graphicData uri="http://schemas.microsoft.com/office/drawing/2010/slicer">
              <sle:slicer xmlns:sle="http://schemas.microsoft.com/office/drawing/2010/slicer" name="Users"/>
            </a:graphicData>
          </a:graphic>
        </xdr:graphicFrame>
      </mc:Choice>
      <mc:Fallback>
        <xdr:sp macro="" textlink="">
          <xdr:nvSpPr>
            <xdr:cNvPr id="0" name=""/>
            <xdr:cNvSpPr>
              <a:spLocks noTextEdit="1"/>
            </xdr:cNvSpPr>
          </xdr:nvSpPr>
          <xdr:spPr>
            <a:xfrm>
              <a:off x="5454650" y="571500"/>
              <a:ext cx="2286000" cy="2794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76200</xdr:colOff>
      <xdr:row>3</xdr:row>
      <xdr:rowOff>0</xdr:rowOff>
    </xdr:from>
    <xdr:to>
      <xdr:col>11</xdr:col>
      <xdr:colOff>533400</xdr:colOff>
      <xdr:row>17</xdr:row>
      <xdr:rowOff>127000</xdr:rowOff>
    </xdr:to>
    <mc:AlternateContent xmlns:mc="http://schemas.openxmlformats.org/markup-compatibility/2006">
      <mc:Choice xmlns:a14="http://schemas.microsoft.com/office/drawing/2010/main" Requires="a14">
        <xdr:graphicFrame macro="">
          <xdr:nvGraphicFramePr>
            <xdr:cNvPr id="4" name="Months">
              <a:extLst>
                <a:ext uri="{FF2B5EF4-FFF2-40B4-BE49-F238E27FC236}">
                  <a16:creationId xmlns:a16="http://schemas.microsoft.com/office/drawing/2014/main" id="{F5E097AB-BD44-0951-63F9-CE0365332072}"/>
                </a:ext>
              </a:extLst>
            </xdr:cNvPr>
            <xdr:cNvGraphicFramePr/>
          </xdr:nvGraphicFramePr>
          <xdr:xfrm>
            <a:off x="0" y="0"/>
            <a:ext cx="0" cy="0"/>
          </xdr:xfrm>
          <a:graphic>
            <a:graphicData uri="http://schemas.microsoft.com/office/drawing/2010/slicer">
              <sle:slicer xmlns:sle="http://schemas.microsoft.com/office/drawing/2010/slicer" name="Months"/>
            </a:graphicData>
          </a:graphic>
        </xdr:graphicFrame>
      </mc:Choice>
      <mc:Fallback>
        <xdr:sp macro="" textlink="">
          <xdr:nvSpPr>
            <xdr:cNvPr id="0" name=""/>
            <xdr:cNvSpPr>
              <a:spLocks noTextEdit="1"/>
            </xdr:cNvSpPr>
          </xdr:nvSpPr>
          <xdr:spPr>
            <a:xfrm>
              <a:off x="9086850" y="571500"/>
              <a:ext cx="2286000" cy="2794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177800</xdr:colOff>
      <xdr:row>3</xdr:row>
      <xdr:rowOff>0</xdr:rowOff>
    </xdr:from>
    <xdr:to>
      <xdr:col>24</xdr:col>
      <xdr:colOff>482600</xdr:colOff>
      <xdr:row>26</xdr:row>
      <xdr:rowOff>63500</xdr:rowOff>
    </xdr:to>
    <xdr:graphicFrame macro="">
      <xdr:nvGraphicFramePr>
        <xdr:cNvPr id="5" name="Chart 4">
          <a:extLst>
            <a:ext uri="{FF2B5EF4-FFF2-40B4-BE49-F238E27FC236}">
              <a16:creationId xmlns:a16="http://schemas.microsoft.com/office/drawing/2014/main" id="{643D7D5C-0FB3-4B93-EE5E-46A129DBC5E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6</xdr:col>
      <xdr:colOff>0</xdr:colOff>
      <xdr:row>1</xdr:row>
      <xdr:rowOff>0</xdr:rowOff>
    </xdr:from>
    <xdr:to>
      <xdr:col>20</xdr:col>
      <xdr:colOff>355600</xdr:colOff>
      <xdr:row>27</xdr:row>
      <xdr:rowOff>127000</xdr:rowOff>
    </xdr:to>
    <xdr:graphicFrame macro="">
      <xdr:nvGraphicFramePr>
        <xdr:cNvPr id="2" name="Chart 1">
          <a:extLst>
            <a:ext uri="{FF2B5EF4-FFF2-40B4-BE49-F238E27FC236}">
              <a16:creationId xmlns:a16="http://schemas.microsoft.com/office/drawing/2014/main" id="{B3C8463C-0C4D-F22A-CDD8-87D4500C806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20</xdr:col>
      <xdr:colOff>482600</xdr:colOff>
      <xdr:row>1</xdr:row>
      <xdr:rowOff>0</xdr:rowOff>
    </xdr:from>
    <xdr:to>
      <xdr:col>24</xdr:col>
      <xdr:colOff>330200</xdr:colOff>
      <xdr:row>27</xdr:row>
      <xdr:rowOff>127000</xdr:rowOff>
    </xdr:to>
    <mc:AlternateContent xmlns:mc="http://schemas.openxmlformats.org/markup-compatibility/2006">
      <mc:Choice xmlns:sle15="http://schemas.microsoft.com/office/drawing/2012/slicer" Requires="sle15">
        <xdr:graphicFrame macro="">
          <xdr:nvGraphicFramePr>
            <xdr:cNvPr id="3" name="Фильтр по проектам">
              <a:extLst>
                <a:ext uri="{FF2B5EF4-FFF2-40B4-BE49-F238E27FC236}">
                  <a16:creationId xmlns:a16="http://schemas.microsoft.com/office/drawing/2014/main" id="{6C712A1E-85BB-186E-11B0-62AB2911A254}"/>
                </a:ext>
              </a:extLst>
            </xdr:cNvPr>
            <xdr:cNvGraphicFramePr/>
          </xdr:nvGraphicFramePr>
          <xdr:xfrm>
            <a:off x="0" y="0"/>
            <a:ext cx="0" cy="0"/>
          </xdr:xfrm>
          <a:graphic>
            <a:graphicData uri="http://schemas.microsoft.com/office/drawing/2010/slicer">
              <sle:slicer xmlns:sle="http://schemas.microsoft.com/office/drawing/2010/slicer" name="Фильтр по проектам"/>
            </a:graphicData>
          </a:graphic>
        </xdr:graphicFrame>
      </mc:Choice>
      <mc:Fallback>
        <xdr:sp macro="" textlink="">
          <xdr:nvSpPr>
            <xdr:cNvPr id="0" name=""/>
            <xdr:cNvSpPr>
              <a:spLocks noTextEdit="1"/>
            </xdr:cNvSpPr>
          </xdr:nvSpPr>
          <xdr:spPr>
            <a:xfrm>
              <a:off x="15808325" y="190500"/>
              <a:ext cx="2286000" cy="50800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absoluteAnchor>
    <xdr:pos x="0" y="0"/>
    <xdr:ext cx="9306537" cy="6082018"/>
    <xdr:graphicFrame macro="">
      <xdr:nvGraphicFramePr>
        <xdr:cNvPr id="2" name="Chart 1">
          <a:extLst>
            <a:ext uri="{FF2B5EF4-FFF2-40B4-BE49-F238E27FC236}">
              <a16:creationId xmlns:a16="http://schemas.microsoft.com/office/drawing/2014/main" id="{00000000-0008-0000-01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xml><?xml version="1.0" encoding="utf-8"?>
<xdr:wsDr xmlns:xdr="http://schemas.openxmlformats.org/drawingml/2006/spreadsheetDrawing" xmlns:a="http://schemas.openxmlformats.org/drawingml/2006/main">
  <xdr:twoCellAnchor editAs="absolute">
    <xdr:from>
      <xdr:col>14</xdr:col>
      <xdr:colOff>98425</xdr:colOff>
      <xdr:row>0</xdr:row>
      <xdr:rowOff>0</xdr:rowOff>
    </xdr:from>
    <xdr:to>
      <xdr:col>17</xdr:col>
      <xdr:colOff>555625</xdr:colOff>
      <xdr:row>13</xdr:row>
      <xdr:rowOff>63500</xdr:rowOff>
    </xdr:to>
    <mc:AlternateContent xmlns:mc="http://schemas.openxmlformats.org/markup-compatibility/2006">
      <mc:Choice xmlns:sle15="http://schemas.microsoft.com/office/drawing/2012/slicer" Requires="sle15">
        <xdr:graphicFrame macro="">
          <xdr:nvGraphicFramePr>
            <xdr:cNvPr id="2" name="Filter by Month">
              <a:extLst>
                <a:ext uri="{FF2B5EF4-FFF2-40B4-BE49-F238E27FC236}">
                  <a16:creationId xmlns:a16="http://schemas.microsoft.com/office/drawing/2014/main" id="{2A44CD04-C1A3-7D59-2C4B-0056B466DCFE}"/>
                </a:ext>
              </a:extLst>
            </xdr:cNvPr>
            <xdr:cNvGraphicFramePr/>
          </xdr:nvGraphicFramePr>
          <xdr:xfrm>
            <a:off x="0" y="0"/>
            <a:ext cx="0" cy="0"/>
          </xdr:xfrm>
          <a:graphic>
            <a:graphicData uri="http://schemas.microsoft.com/office/drawing/2010/slicer">
              <sle:slicer xmlns:sle="http://schemas.microsoft.com/office/drawing/2010/slicer" name="Filter by Month"/>
            </a:graphicData>
          </a:graphic>
        </xdr:graphicFrame>
      </mc:Choice>
      <mc:Fallback>
        <xdr:sp macro="" textlink="">
          <xdr:nvSpPr>
            <xdr:cNvPr id="0" name=""/>
            <xdr:cNvSpPr>
              <a:spLocks noTextEdit="1"/>
            </xdr:cNvSpPr>
          </xdr:nvSpPr>
          <xdr:spPr>
            <a:xfrm>
              <a:off x="14605000" y="0"/>
              <a:ext cx="2286000" cy="25400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14</xdr:col>
      <xdr:colOff>98425</xdr:colOff>
      <xdr:row>14</xdr:row>
      <xdr:rowOff>0</xdr:rowOff>
    </xdr:from>
    <xdr:to>
      <xdr:col>17</xdr:col>
      <xdr:colOff>555625</xdr:colOff>
      <xdr:row>27</xdr:row>
      <xdr:rowOff>63500</xdr:rowOff>
    </xdr:to>
    <mc:AlternateContent xmlns:mc="http://schemas.openxmlformats.org/markup-compatibility/2006">
      <mc:Choice xmlns:sle15="http://schemas.microsoft.com/office/drawing/2012/slicer" Requires="sle15">
        <xdr:graphicFrame macro="">
          <xdr:nvGraphicFramePr>
            <xdr:cNvPr id="3" name="Filter by User">
              <a:extLst>
                <a:ext uri="{FF2B5EF4-FFF2-40B4-BE49-F238E27FC236}">
                  <a16:creationId xmlns:a16="http://schemas.microsoft.com/office/drawing/2014/main" id="{68277AB3-183F-02F0-4384-8CB047353AE0}"/>
                </a:ext>
              </a:extLst>
            </xdr:cNvPr>
            <xdr:cNvGraphicFramePr/>
          </xdr:nvGraphicFramePr>
          <xdr:xfrm>
            <a:off x="0" y="0"/>
            <a:ext cx="0" cy="0"/>
          </xdr:xfrm>
          <a:graphic>
            <a:graphicData uri="http://schemas.microsoft.com/office/drawing/2010/slicer">
              <sle:slicer xmlns:sle="http://schemas.microsoft.com/office/drawing/2010/slicer" name="Filter by User"/>
            </a:graphicData>
          </a:graphic>
        </xdr:graphicFrame>
      </mc:Choice>
      <mc:Fallback>
        <xdr:sp macro="" textlink="">
          <xdr:nvSpPr>
            <xdr:cNvPr id="0" name=""/>
            <xdr:cNvSpPr>
              <a:spLocks noTextEdit="1"/>
            </xdr:cNvSpPr>
          </xdr:nvSpPr>
          <xdr:spPr>
            <a:xfrm>
              <a:off x="14605000" y="2667000"/>
              <a:ext cx="2286000" cy="25400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14</xdr:col>
      <xdr:colOff>98425</xdr:colOff>
      <xdr:row>28</xdr:row>
      <xdr:rowOff>0</xdr:rowOff>
    </xdr:from>
    <xdr:to>
      <xdr:col>17</xdr:col>
      <xdr:colOff>555625</xdr:colOff>
      <xdr:row>41</xdr:row>
      <xdr:rowOff>63500</xdr:rowOff>
    </xdr:to>
    <mc:AlternateContent xmlns:mc="http://schemas.openxmlformats.org/markup-compatibility/2006">
      <mc:Choice xmlns:sle15="http://schemas.microsoft.com/office/drawing/2012/slicer" Requires="sle15">
        <xdr:graphicFrame macro="">
          <xdr:nvGraphicFramePr>
            <xdr:cNvPr id="4" name="Filter by Project">
              <a:extLst>
                <a:ext uri="{FF2B5EF4-FFF2-40B4-BE49-F238E27FC236}">
                  <a16:creationId xmlns:a16="http://schemas.microsoft.com/office/drawing/2014/main" id="{5D6D2935-6B9B-0E47-6D88-2C16FC48C1AC}"/>
                </a:ext>
              </a:extLst>
            </xdr:cNvPr>
            <xdr:cNvGraphicFramePr/>
          </xdr:nvGraphicFramePr>
          <xdr:xfrm>
            <a:off x="0" y="0"/>
            <a:ext cx="0" cy="0"/>
          </xdr:xfrm>
          <a:graphic>
            <a:graphicData uri="http://schemas.microsoft.com/office/drawing/2010/slicer">
              <sle:slicer xmlns:sle="http://schemas.microsoft.com/office/drawing/2010/slicer" name="Filter by Project"/>
            </a:graphicData>
          </a:graphic>
        </xdr:graphicFrame>
      </mc:Choice>
      <mc:Fallback>
        <xdr:sp macro="" textlink="">
          <xdr:nvSpPr>
            <xdr:cNvPr id="0" name=""/>
            <xdr:cNvSpPr>
              <a:spLocks noTextEdit="1"/>
            </xdr:cNvSpPr>
          </xdr:nvSpPr>
          <xdr:spPr>
            <a:xfrm>
              <a:off x="14605000" y="5334000"/>
              <a:ext cx="2286000" cy="25400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editAs="absolute">
    <xdr:from>
      <xdr:col>4</xdr:col>
      <xdr:colOff>266700</xdr:colOff>
      <xdr:row>10</xdr:row>
      <xdr:rowOff>152400</xdr:rowOff>
    </xdr:from>
    <xdr:to>
      <xdr:col>7</xdr:col>
      <xdr:colOff>266700</xdr:colOff>
      <xdr:row>24</xdr:row>
      <xdr:rowOff>152400</xdr:rowOff>
    </xdr:to>
    <mc:AlternateContent xmlns:mc="http://schemas.openxmlformats.org/markup-compatibility/2006" xmlns:sle15="http://schemas.microsoft.com/office/drawing/2012/slicer">
      <mc:Choice Requires="sle15">
        <xdr:graphicFrame macro="">
          <xdr:nvGraphicFramePr>
            <xdr:cNvPr id="2" name="User Name">
              <a:extLst>
                <a:ext uri="{FF2B5EF4-FFF2-40B4-BE49-F238E27FC236}">
                  <a16:creationId xmlns:a16="http://schemas.microsoft.com/office/drawing/2014/main" id="{56A8B403-B026-CF42-6636-2830DFF34412}"/>
                </a:ext>
              </a:extLst>
            </xdr:cNvPr>
            <xdr:cNvGraphicFramePr/>
          </xdr:nvGraphicFramePr>
          <xdr:xfrm>
            <a:off x="0" y="0"/>
            <a:ext cx="0" cy="0"/>
          </xdr:xfrm>
          <a:graphic>
            <a:graphicData uri="http://schemas.microsoft.com/office/drawing/2010/slicer">
              <sle:slicer xmlns:sle="http://schemas.microsoft.com/office/drawing/2010/slicer" name="User Name"/>
            </a:graphicData>
          </a:graphic>
        </xdr:graphicFrame>
      </mc:Choice>
      <mc:Fallback xmlns="">
        <xdr:sp macro="" textlink="">
          <xdr:nvSpPr>
            <xdr:cNvPr id="0" name=""/>
            <xdr:cNvSpPr>
              <a:spLocks noTextEdit="1"/>
            </xdr:cNvSpPr>
          </xdr:nvSpPr>
          <xdr:spPr>
            <a:xfrm>
              <a:off x="7886700" y="2057400"/>
              <a:ext cx="1828800" cy="26670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7</xdr:col>
      <xdr:colOff>409575</xdr:colOff>
      <xdr:row>10</xdr:row>
      <xdr:rowOff>161925</xdr:rowOff>
    </xdr:from>
    <xdr:to>
      <xdr:col>10</xdr:col>
      <xdr:colOff>409575</xdr:colOff>
      <xdr:row>24</xdr:row>
      <xdr:rowOff>161925</xdr:rowOff>
    </xdr:to>
    <mc:AlternateContent xmlns:mc="http://schemas.openxmlformats.org/markup-compatibility/2006" xmlns:sle15="http://schemas.microsoft.com/office/drawing/2012/slicer">
      <mc:Choice Requires="sle15">
        <xdr:graphicFrame macro="">
          <xdr:nvGraphicFramePr>
            <xdr:cNvPr id="3" name="StartDate">
              <a:extLst>
                <a:ext uri="{FF2B5EF4-FFF2-40B4-BE49-F238E27FC236}">
                  <a16:creationId xmlns:a16="http://schemas.microsoft.com/office/drawing/2014/main" id="{1FB0D231-E041-2DD5-6E2B-F7C54D53A864}"/>
                </a:ext>
              </a:extLst>
            </xdr:cNvPr>
            <xdr:cNvGraphicFramePr/>
          </xdr:nvGraphicFramePr>
          <xdr:xfrm>
            <a:off x="0" y="0"/>
            <a:ext cx="0" cy="0"/>
          </xdr:xfrm>
          <a:graphic>
            <a:graphicData uri="http://schemas.microsoft.com/office/drawing/2010/slicer">
              <sle:slicer xmlns:sle="http://schemas.microsoft.com/office/drawing/2010/slicer" name="StartDate"/>
            </a:graphicData>
          </a:graphic>
        </xdr:graphicFrame>
      </mc:Choice>
      <mc:Fallback xmlns="">
        <xdr:sp macro="" textlink="">
          <xdr:nvSpPr>
            <xdr:cNvPr id="0" name=""/>
            <xdr:cNvSpPr>
              <a:spLocks noTextEdit="1"/>
            </xdr:cNvSpPr>
          </xdr:nvSpPr>
          <xdr:spPr>
            <a:xfrm>
              <a:off x="9858375" y="2066925"/>
              <a:ext cx="1828800" cy="26670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rofeev, Andrey" refreshedDate="45891.672040509256" createdVersion="3" refreshedVersion="8" minRefreshableVersion="3" recordCount="1741" xr:uid="{971B875F-6218-47E2-8285-7A3719F08A01}">
  <cacheSource type="worksheet">
    <worksheetSource ref="A1:N1742" sheet="SpentTimeData"/>
  </cacheSource>
  <cacheFields count="14">
    <cacheField name="Entry ID" numFmtId="0">
      <sharedItems containsSemiMixedTypes="0" containsString="0" containsNumber="1" containsInteger="1" minValue="367668" maxValue="449562"/>
    </cacheField>
    <cacheField name="Project Name" numFmtId="0">
      <sharedItems count="28">
        <s v="Bork-001-PRJ-WMS"/>
        <s v="CustomDev_R&amp;D"/>
        <s v="Внутренняя деятельность/Internal"/>
        <s v="CustomDev_Presales"/>
        <s v="IC Viktoriya-009-DC6"/>
        <s v="IC Viktoriya-003-SUP"/>
        <s v="Konnect-001-PRJ-WD"/>
        <s v="Terra-Module-Dev-Client-01"/>
        <s v="Terra-HouseMgmt-2-Analytics"/>
        <s v="Predubezhdai-001-SUP"/>
        <s v="TotalDict-2024-2025-SUP"/>
        <s v="CERRI-001-AUDIT-CD"/>
        <s v="IC Viktoriya-008-DC5"/>
        <s v="IC Viktoriya-007-DC4"/>
        <s v="IC Viktoriya-006-DC3"/>
        <s v="IC Viktoriya-010-DC7"/>
        <s v="Terra-HouseMgmt-Dev"/>
        <s v="ROSKOSMOS-RU-002-PRJ-DEV"/>
        <s v="Konnect-002-PRJ-PoC"/>
        <s v="Finist-001-PRJ-DEV"/>
        <s v="Tetra-2024-2025-SUP"/>
        <s v="Spimex-001-Inkomand-HLD"/>
        <s v="HouseMgmt-Estimate-Audit"/>
        <s v="IC Viktoriya-005-DC2"/>
        <s v=" IC Viktoriya-004-DC1"/>
        <s v="BLT-011-PRJ-DS18"/>
        <s v="ErtaShoes-001-SUP"/>
        <s v="CABA_Presales"/>
      </sharedItems>
    </cacheField>
    <cacheField name="Issue ID" numFmtId="0">
      <sharedItems containsSemiMixedTypes="0" containsString="0" containsNumber="1" containsInteger="1" minValue="17" maxValue="56715"/>
    </cacheField>
    <cacheField name="User Name" numFmtId="0">
      <sharedItems count="20">
        <s v="Sergey Lychagin"/>
        <s v="Andrey Erofeev"/>
        <s v="Dmitry Barabin"/>
        <s v="Mikhail Yurchenko"/>
        <s v="Amir Khalikov"/>
        <s v="Nikita Avdonin"/>
        <s v="Amirjon Holikov"/>
        <s v="Mikhail Pavlukhin"/>
        <s v="Timofey Kochetkov"/>
        <s v="Aleksandr Dmitriev"/>
        <s v="Mikhail Matyasov"/>
        <s v="Lev Totok"/>
        <s v="Nur-Magomed Tasuev"/>
        <s v="Oleg Rybikov"/>
        <s v="Vadim Bondar"/>
        <s v="Alexandra Dementieva"/>
        <s v="Julia Shutova"/>
        <s v="Boris Bartenev"/>
        <s v="Alice Boyarkina"/>
        <s v="Alexey Ponomarenko"/>
      </sharedItems>
    </cacheField>
    <cacheField name="Activity" numFmtId="0">
      <sharedItems/>
    </cacheField>
    <cacheField name="Date" numFmtId="14">
      <sharedItems containsSemiMixedTypes="0" containsNonDate="0" containsDate="1" containsString="0" minDate="2025-01-05T00:00:00" maxDate="2025-08-01T00:00:00"/>
    </cacheField>
    <cacheField name="Hours" numFmtId="0">
      <sharedItems containsSemiMixedTypes="0" containsString="0" containsNumber="1" minValue="0.2" maxValue="157"/>
    </cacheField>
    <cacheField name="Paid hours" numFmtId="0">
      <sharedItems containsSemiMixedTypes="0" containsString="0" containsNumber="1" minValue="0.2" maxValue="157"/>
    </cacheField>
    <cacheField name="Comments" numFmtId="0">
      <sharedItems containsDate="1" containsMixedTypes="1" minDate="2025-01-01T00:00:00" maxDate="1900-01-03T08:46:04" longText="1"/>
    </cacheField>
    <cacheField name="Created On" numFmtId="14">
      <sharedItems containsSemiMixedTypes="0" containsNonDate="0" containsDate="1" containsString="0" minDate="2025-01-09T00:00:00" maxDate="2025-08-14T00:00:00"/>
    </cacheField>
    <cacheField name="Action" numFmtId="0">
      <sharedItems containsNonDate="0" containsString="0" containsBlank="1"/>
    </cacheField>
    <cacheField name="Rate" numFmtId="166">
      <sharedItems containsSemiMixedTypes="0" containsString="0" containsNumber="1" minValue="316.09195375000002" maxValue="2634.0996166666669"/>
    </cacheField>
    <cacheField name="Cost" numFmtId="166">
      <sharedItems containsSemiMixedTypes="0" containsString="0" containsNumber="1" minValue="332.72837269736846" maxValue="286479.12885197368"/>
    </cacheField>
    <cacheField name="ReportMonth" numFmtId="165">
      <sharedItems containsSemiMixedTypes="0" containsNonDate="0" containsDate="1" containsString="0" minDate="2025-01-01T00:00:00" maxDate="2025-07-02T00:00:00" count="7">
        <d v="2025-07-01T00:00:00"/>
        <d v="2025-06-01T00:00:00"/>
        <d v="2025-05-01T00:00:00"/>
        <d v="2025-04-01T00:00:00"/>
        <d v="2025-03-01T00:00:00"/>
        <d v="2025-02-01T00:00:00"/>
        <d v="2025-01-01T00:00:00"/>
      </sharedItems>
    </cacheField>
  </cacheFields>
  <extLst>
    <ext xmlns:x14="http://schemas.microsoft.com/office/spreadsheetml/2009/9/main" uri="{725AE2AE-9491-48be-B2B4-4EB974FC3084}">
      <x14:pivotCacheDefinition pivotCacheId="161642419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741">
  <r>
    <n v="449562"/>
    <x v="0"/>
    <n v="56013"/>
    <x v="0"/>
    <s v="Работа"/>
    <d v="2025-07-31T00:00:00"/>
    <n v="0.75"/>
    <n v="0.75"/>
    <s v="дейлик"/>
    <d v="2025-08-13T00:00:00"/>
    <m/>
    <n v="1924.0379809782607"/>
    <n v="1443.0284857336956"/>
    <x v="0"/>
  </r>
  <r>
    <n v="446150"/>
    <x v="1"/>
    <n v="56715"/>
    <x v="1"/>
    <s v="Внутренняя деятельность"/>
    <d v="2025-07-31T00:00:00"/>
    <n v="24"/>
    <n v="24"/>
    <s v="-"/>
    <d v="2025-08-02T00:00:00"/>
    <m/>
    <n v="2061.4692652173912"/>
    <n v="49475.262365217393"/>
    <x v="0"/>
  </r>
  <r>
    <n v="446149"/>
    <x v="1"/>
    <n v="13969"/>
    <x v="1"/>
    <s v="Внутренняя деятельность"/>
    <d v="2025-07-31T00:00:00"/>
    <n v="56"/>
    <n v="56"/>
    <s v="R&amp;amp;D"/>
    <d v="2025-08-02T00:00:00"/>
    <m/>
    <n v="2061.4692652173912"/>
    <n v="115442.27885217391"/>
    <x v="0"/>
  </r>
  <r>
    <n v="446148"/>
    <x v="2"/>
    <n v="34"/>
    <x v="2"/>
    <s v="Внутренняя деятельность"/>
    <d v="2025-07-31T00:00:00"/>
    <n v="80"/>
    <n v="80"/>
    <s v="- JS/TS"/>
    <d v="2025-08-02T00:00:00"/>
    <m/>
    <n v="687.15642173913045"/>
    <n v="54972.513739130438"/>
    <x v="0"/>
  </r>
  <r>
    <n v="446147"/>
    <x v="2"/>
    <n v="34"/>
    <x v="3"/>
    <s v="Внутренняя деятельность"/>
    <d v="2025-07-31T00:00:00"/>
    <n v="24"/>
    <n v="24"/>
    <s v="-"/>
    <d v="2025-08-02T00:00:00"/>
    <m/>
    <n v="893.30334836956524"/>
    <n v="21439.280360869565"/>
    <x v="0"/>
  </r>
  <r>
    <n v="446146"/>
    <x v="2"/>
    <n v="29"/>
    <x v="4"/>
    <s v="Внутренняя деятельность"/>
    <d v="2025-07-31T00:00:00"/>
    <n v="64"/>
    <n v="64"/>
    <s v="-"/>
    <d v="2025-08-02T00:00:00"/>
    <m/>
    <n v="1030.7346326086956"/>
    <n v="65967.01648695652"/>
    <x v="0"/>
  </r>
  <r>
    <n v="446145"/>
    <x v="2"/>
    <n v="29"/>
    <x v="5"/>
    <s v="Внутренняя деятельность"/>
    <d v="2025-07-31T00:00:00"/>
    <n v="40"/>
    <n v="40"/>
    <s v="-"/>
    <d v="2025-08-02T00:00:00"/>
    <m/>
    <n v="412.29385326086958"/>
    <n v="16491.754130434783"/>
    <x v="0"/>
  </r>
  <r>
    <n v="446144"/>
    <x v="1"/>
    <n v="13969"/>
    <x v="6"/>
    <s v="Внутренняя деятельность"/>
    <d v="2025-07-31T00:00:00"/>
    <n v="40"/>
    <n v="40"/>
    <s v="R&amp;amp;D"/>
    <d v="2025-08-02T00:00:00"/>
    <m/>
    <n v="824.58770597826083"/>
    <n v="32983.508239130431"/>
    <x v="0"/>
  </r>
  <r>
    <n v="446143"/>
    <x v="1"/>
    <n v="13969"/>
    <x v="7"/>
    <s v="Внутренняя деятельность"/>
    <d v="2025-07-31T00:00:00"/>
    <n v="32"/>
    <n v="32"/>
    <s v="R&amp;amp;D"/>
    <d v="2025-08-02T00:00:00"/>
    <m/>
    <n v="1649.1754125"/>
    <n v="52773.6132"/>
    <x v="0"/>
  </r>
  <r>
    <n v="446142"/>
    <x v="1"/>
    <n v="13969"/>
    <x v="8"/>
    <s v="Внутренняя деятельность"/>
    <d v="2025-07-31T00:00:00"/>
    <n v="136"/>
    <n v="136"/>
    <s v="R&amp;amp;D"/>
    <d v="2025-08-02T00:00:00"/>
    <m/>
    <n v="1030.7346326086956"/>
    <n v="140179.9100347826"/>
    <x v="0"/>
  </r>
  <r>
    <n v="446141"/>
    <x v="1"/>
    <n v="13969"/>
    <x v="9"/>
    <s v="Внутренняя деятельность"/>
    <d v="2025-07-31T00:00:00"/>
    <n v="22"/>
    <n v="22"/>
    <s v="R&amp;amp;D"/>
    <d v="2025-08-02T00:00:00"/>
    <m/>
    <n v="1717.8910543478262"/>
    <n v="37793.603195652177"/>
    <x v="0"/>
  </r>
  <r>
    <n v="446140"/>
    <x v="3"/>
    <n v="21152"/>
    <x v="9"/>
    <s v="Внутренняя деятельность"/>
    <d v="2025-07-31T00:00:00"/>
    <n v="6"/>
    <n v="6"/>
    <s v="Presales activities: offers, proposals, meetings"/>
    <d v="2025-08-02T00:00:00"/>
    <m/>
    <n v="1717.8910543478262"/>
    <n v="10307.346326086958"/>
    <x v="0"/>
  </r>
  <r>
    <n v="446139"/>
    <x v="3"/>
    <n v="21152"/>
    <x v="1"/>
    <s v="Внутренняя деятельность"/>
    <d v="2025-07-31T00:00:00"/>
    <n v="104"/>
    <n v="104"/>
    <s v="Presales activities: offers, proposals, meetings"/>
    <d v="2025-08-02T00:00:00"/>
    <m/>
    <n v="2061.4692652173912"/>
    <n v="214392.8035826087"/>
    <x v="0"/>
  </r>
  <r>
    <n v="445796"/>
    <x v="0"/>
    <n v="56280"/>
    <x v="0"/>
    <s v="Работа"/>
    <d v="2025-07-31T00:00:00"/>
    <n v="8"/>
    <n v="8"/>
    <s v="разработка приложения"/>
    <d v="2025-08-01T00:00:00"/>
    <m/>
    <n v="1924.0379809782607"/>
    <n v="15392.303847826086"/>
    <x v="0"/>
  </r>
  <r>
    <n v="446136"/>
    <x v="4"/>
    <n v="56713"/>
    <x v="5"/>
    <s v="Работа"/>
    <d v="2025-07-30T00:00:00"/>
    <n v="24"/>
    <n v="24"/>
    <s v="R&amp;amp;D"/>
    <d v="2025-08-02T00:00:00"/>
    <m/>
    <n v="412.29385326086958"/>
    <n v="9895.05247826087"/>
    <x v="0"/>
  </r>
  <r>
    <n v="446134"/>
    <x v="5"/>
    <n v="56710"/>
    <x v="3"/>
    <s v="Работа"/>
    <d v="2025-07-30T00:00:00"/>
    <n v="82"/>
    <n v="82"/>
    <s v="R&amp;amp;D"/>
    <d v="2025-08-02T00:00:00"/>
    <m/>
    <n v="893.30334836956524"/>
    <n v="73250.874566304352"/>
    <x v="0"/>
  </r>
  <r>
    <n v="445806"/>
    <x v="0"/>
    <n v="56280"/>
    <x v="0"/>
    <s v="Работа"/>
    <d v="2025-07-30T00:00:00"/>
    <n v="1"/>
    <n v="1"/>
    <s v="Обсуждение ТЗ-24: АРМ с привлеченным фронтовиком"/>
    <d v="2025-08-01T00:00:00"/>
    <m/>
    <n v="1924.0379809782607"/>
    <n v="1924.0379809782607"/>
    <x v="0"/>
  </r>
  <r>
    <n v="445802"/>
    <x v="0"/>
    <n v="56280"/>
    <x v="0"/>
    <s v="Работа"/>
    <d v="2025-07-30T00:00:00"/>
    <n v="7"/>
    <n v="7"/>
    <s v="разработка приложения"/>
    <d v="2025-08-01T00:00:00"/>
    <m/>
    <n v="1924.0379809782607"/>
    <n v="13468.265866847825"/>
    <x v="0"/>
  </r>
  <r>
    <n v="444044"/>
    <x v="4"/>
    <n v="54972"/>
    <x v="10"/>
    <s v="Работа"/>
    <d v="2025-07-30T00:00:00"/>
    <n v="8"/>
    <n v="8"/>
    <s v="Отправка данных ошибок оформления полиса на email"/>
    <d v="2025-07-30T00:00:00"/>
    <m/>
    <n v="1374.3128434782609"/>
    <n v="10994.502747826087"/>
    <x v="0"/>
  </r>
  <r>
    <n v="444001"/>
    <x v="0"/>
    <n v="56013"/>
    <x v="0"/>
    <s v="Работа"/>
    <d v="2025-07-30T00:00:00"/>
    <n v="0.75"/>
    <n v="0.75"/>
    <s v="дейлик"/>
    <d v="2025-07-30T00:00:00"/>
    <m/>
    <n v="1924.0379809782607"/>
    <n v="1443.0284857336956"/>
    <x v="0"/>
  </r>
  <r>
    <n v="444043"/>
    <x v="4"/>
    <n v="54972"/>
    <x v="10"/>
    <s v="Работа"/>
    <d v="2025-07-29T00:00:00"/>
    <n v="8"/>
    <n v="8"/>
    <s v="Отправка данных ошибок оформления полиса на email"/>
    <d v="2025-07-30T00:00:00"/>
    <m/>
    <n v="1374.3128434782609"/>
    <n v="10994.502747826087"/>
    <x v="0"/>
  </r>
  <r>
    <n v="444000"/>
    <x v="0"/>
    <n v="56013"/>
    <x v="0"/>
    <s v="Работа"/>
    <d v="2025-07-29T00:00:00"/>
    <n v="0.75"/>
    <n v="0.75"/>
    <s v="дейлик"/>
    <d v="2025-07-30T00:00:00"/>
    <m/>
    <n v="1924.0379809782607"/>
    <n v="1443.0284857336956"/>
    <x v="0"/>
  </r>
  <r>
    <n v="444042"/>
    <x v="4"/>
    <n v="54972"/>
    <x v="10"/>
    <s v="Работа"/>
    <d v="2025-07-28T00:00:00"/>
    <n v="8"/>
    <n v="8"/>
    <s v="Отправка данных ошибок оформления полиса на email"/>
    <d v="2025-07-30T00:00:00"/>
    <m/>
    <n v="1374.3128434782609"/>
    <n v="10994.502747826087"/>
    <x v="0"/>
  </r>
  <r>
    <n v="444008"/>
    <x v="0"/>
    <n v="56280"/>
    <x v="0"/>
    <s v="Работа"/>
    <d v="2025-07-28T00:00:00"/>
    <n v="3.75"/>
    <n v="3.75"/>
    <s v="создание приложения по ТЗ-20"/>
    <d v="2025-07-30T00:00:00"/>
    <m/>
    <n v="1924.0379809782607"/>
    <n v="7215.1424286684778"/>
    <x v="0"/>
  </r>
  <r>
    <n v="443999"/>
    <x v="0"/>
    <n v="56013"/>
    <x v="0"/>
    <s v="Работа"/>
    <d v="2025-07-28T00:00:00"/>
    <n v="0.75"/>
    <n v="0.75"/>
    <s v="дейлик"/>
    <d v="2025-07-30T00:00:00"/>
    <m/>
    <n v="1924.0379809782607"/>
    <n v="1443.0284857336956"/>
    <x v="0"/>
  </r>
  <r>
    <n v="446131"/>
    <x v="6"/>
    <n v="54722"/>
    <x v="11"/>
    <s v="Работа"/>
    <d v="2025-07-25T00:00:00"/>
    <n v="87"/>
    <n v="87"/>
    <s v="R&amp;amp;D"/>
    <d v="2025-08-02T00:00:00"/>
    <m/>
    <n v="549.72513749999996"/>
    <n v="47826.086962499998"/>
    <x v="0"/>
  </r>
  <r>
    <n v="446130"/>
    <x v="6"/>
    <n v="54720"/>
    <x v="12"/>
    <s v="Работа"/>
    <d v="2025-07-25T00:00:00"/>
    <n v="80"/>
    <n v="80"/>
    <s v="R&amp;amp;D"/>
    <d v="2025-08-02T00:00:00"/>
    <m/>
    <n v="1380"/>
    <n v="110400"/>
    <x v="0"/>
  </r>
  <r>
    <n v="446129"/>
    <x v="6"/>
    <n v="54720"/>
    <x v="13"/>
    <s v="Работа"/>
    <d v="2025-07-25T00:00:00"/>
    <n v="111"/>
    <n v="111"/>
    <s v="R&amp;amp;D"/>
    <d v="2025-08-02T00:00:00"/>
    <m/>
    <n v="1418"/>
    <n v="157398"/>
    <x v="0"/>
  </r>
  <r>
    <n v="446128"/>
    <x v="6"/>
    <n v="54722"/>
    <x v="14"/>
    <s v="Работа"/>
    <d v="2025-07-25T00:00:00"/>
    <n v="60"/>
    <n v="60"/>
    <s v="R&amp;amp;D"/>
    <d v="2025-08-02T00:00:00"/>
    <m/>
    <n v="1546.1019489130435"/>
    <n v="92766.116934782607"/>
    <x v="0"/>
  </r>
  <r>
    <n v="446127"/>
    <x v="6"/>
    <n v="54720"/>
    <x v="9"/>
    <s v="Работа"/>
    <d v="2025-07-25T00:00:00"/>
    <n v="4"/>
    <n v="4"/>
    <s v="R&amp;amp;D"/>
    <d v="2025-08-02T00:00:00"/>
    <m/>
    <n v="1717.8910543478262"/>
    <n v="6871.5642173913047"/>
    <x v="0"/>
  </r>
  <r>
    <n v="446126"/>
    <x v="7"/>
    <n v="56703"/>
    <x v="12"/>
    <s v="Работа"/>
    <d v="2025-07-25T00:00:00"/>
    <n v="10"/>
    <n v="10"/>
    <s v="R&amp;amp;D"/>
    <d v="2025-08-02T00:00:00"/>
    <m/>
    <n v="1380"/>
    <n v="13800"/>
    <x v="0"/>
  </r>
  <r>
    <n v="446125"/>
    <x v="7"/>
    <n v="56704"/>
    <x v="7"/>
    <s v="Работа"/>
    <d v="2025-07-25T00:00:00"/>
    <n v="120"/>
    <n v="120"/>
    <s v="R&amp;amp;D"/>
    <d v="2025-08-02T00:00:00"/>
    <m/>
    <n v="1649.1754125"/>
    <n v="197901.04949999999"/>
    <x v="0"/>
  </r>
  <r>
    <n v="446124"/>
    <x v="7"/>
    <n v="56704"/>
    <x v="8"/>
    <s v="Работа"/>
    <d v="2025-07-25T00:00:00"/>
    <n v="32"/>
    <n v="32"/>
    <s v="R&amp;amp;D"/>
    <d v="2025-08-02T00:00:00"/>
    <m/>
    <n v="1030.7346326086956"/>
    <n v="32983.50824347826"/>
    <x v="0"/>
  </r>
  <r>
    <n v="446123"/>
    <x v="7"/>
    <n v="56703"/>
    <x v="15"/>
    <s v="Работа"/>
    <d v="2025-07-25T00:00:00"/>
    <n v="152"/>
    <n v="152"/>
    <s v="R&amp;amp;D"/>
    <d v="2025-08-02T00:00:00"/>
    <m/>
    <n v="343.57821086956523"/>
    <n v="52223.888052173912"/>
    <x v="0"/>
  </r>
  <r>
    <n v="446122"/>
    <x v="7"/>
    <n v="56704"/>
    <x v="14"/>
    <s v="Работа"/>
    <d v="2025-07-25T00:00:00"/>
    <n v="52"/>
    <n v="52"/>
    <s v="R&amp;amp;D"/>
    <d v="2025-08-02T00:00:00"/>
    <m/>
    <n v="1546.1019489130435"/>
    <n v="80397.301343478262"/>
    <x v="0"/>
  </r>
  <r>
    <n v="446121"/>
    <x v="7"/>
    <n v="56706"/>
    <x v="5"/>
    <s v="Работа"/>
    <d v="2025-07-25T00:00:00"/>
    <n v="104"/>
    <n v="104"/>
    <s v="R&amp;amp;D"/>
    <d v="2025-08-02T00:00:00"/>
    <m/>
    <n v="412.29385326086958"/>
    <n v="42878.560739130437"/>
    <x v="0"/>
  </r>
  <r>
    <n v="446120"/>
    <x v="7"/>
    <n v="56703"/>
    <x v="9"/>
    <s v="Работа"/>
    <d v="2025-07-25T00:00:00"/>
    <n v="23"/>
    <n v="23"/>
    <s v="R&amp;amp;D"/>
    <d v="2025-08-02T00:00:00"/>
    <m/>
    <n v="1717.8910543478262"/>
    <n v="39511.494250000003"/>
    <x v="0"/>
  </r>
  <r>
    <n v="444041"/>
    <x v="4"/>
    <n v="54972"/>
    <x v="10"/>
    <s v="Работа"/>
    <d v="2025-07-25T00:00:00"/>
    <n v="8"/>
    <n v="8"/>
    <s v="Реализация логирования ошибок с категориями ошибок"/>
    <d v="2025-07-30T00:00:00"/>
    <m/>
    <n v="1374.3128434782609"/>
    <n v="10994.502747826087"/>
    <x v="0"/>
  </r>
  <r>
    <n v="443024"/>
    <x v="0"/>
    <n v="56280"/>
    <x v="0"/>
    <s v="Работа"/>
    <d v="2025-07-25T00:00:00"/>
    <n v="3.75"/>
    <n v="3.75"/>
    <s v="разработка приложения"/>
    <d v="2025-07-25T00:00:00"/>
    <m/>
    <n v="1924.0379809782607"/>
    <n v="7215.1424286684778"/>
    <x v="0"/>
  </r>
  <r>
    <n v="443022"/>
    <x v="0"/>
    <n v="56013"/>
    <x v="0"/>
    <s v="Работа"/>
    <d v="2025-07-25T00:00:00"/>
    <n v="0.75"/>
    <n v="0.75"/>
    <s v="дейлик"/>
    <d v="2025-07-25T00:00:00"/>
    <m/>
    <n v="1924.0379809782607"/>
    <n v="1443.0284857336956"/>
    <x v="0"/>
  </r>
  <r>
    <n v="443021"/>
    <x v="0"/>
    <n v="56013"/>
    <x v="0"/>
    <s v="Работа"/>
    <d v="2025-07-25T00:00:00"/>
    <n v="1"/>
    <n v="1"/>
    <s v="предача знаний/работы от Лидии на время отпуска (митинг)"/>
    <d v="2025-07-25T00:00:00"/>
    <m/>
    <n v="1924.0379809782607"/>
    <n v="1924.0379809782607"/>
    <x v="0"/>
  </r>
  <r>
    <n v="446119"/>
    <x v="8"/>
    <n v="54433"/>
    <x v="16"/>
    <s v="Работа"/>
    <d v="2025-07-24T00:00:00"/>
    <n v="128"/>
    <n v="128"/>
    <s v="R&amp;amp;D"/>
    <d v="2025-08-02T00:00:00"/>
    <m/>
    <n v="1030.7346326086956"/>
    <n v="131934.03297391304"/>
    <x v="0"/>
  </r>
  <r>
    <n v="446118"/>
    <x v="8"/>
    <n v="54431"/>
    <x v="4"/>
    <s v="Работа"/>
    <d v="2025-07-24T00:00:00"/>
    <n v="104"/>
    <n v="104"/>
    <s v="R&amp;amp;D"/>
    <d v="2025-08-02T00:00:00"/>
    <m/>
    <n v="1030.7346326086956"/>
    <n v="107196.40179130435"/>
    <x v="0"/>
  </r>
  <r>
    <n v="446117"/>
    <x v="8"/>
    <n v="54431"/>
    <x v="2"/>
    <s v="Работа"/>
    <d v="2025-07-24T00:00:00"/>
    <n v="56"/>
    <n v="56"/>
    <s v="R&amp;amp;D"/>
    <d v="2025-08-02T00:00:00"/>
    <m/>
    <n v="687.15642173913045"/>
    <n v="38480.759617391304"/>
    <x v="0"/>
  </r>
  <r>
    <n v="446116"/>
    <x v="9"/>
    <n v="51251"/>
    <x v="11"/>
    <s v="Работа"/>
    <d v="2025-07-24T00:00:00"/>
    <n v="9"/>
    <n v="9"/>
    <s v="R&amp;amp;D"/>
    <d v="2025-08-02T00:00:00"/>
    <m/>
    <n v="549.72513749999996"/>
    <n v="4947.5262374999993"/>
    <x v="0"/>
  </r>
  <r>
    <n v="446115"/>
    <x v="9"/>
    <n v="51251"/>
    <x v="12"/>
    <s v="Работа"/>
    <d v="2025-07-24T00:00:00"/>
    <n v="3"/>
    <n v="3"/>
    <s v="R&amp;amp;D"/>
    <d v="2025-08-02T00:00:00"/>
    <m/>
    <n v="1380"/>
    <n v="4140"/>
    <x v="0"/>
  </r>
  <r>
    <n v="446114"/>
    <x v="9"/>
    <n v="51251"/>
    <x v="0"/>
    <s v="Работа"/>
    <d v="2025-07-24T00:00:00"/>
    <n v="8"/>
    <n v="8"/>
    <s v="R&amp;amp;D"/>
    <d v="2025-08-02T00:00:00"/>
    <m/>
    <n v="1924.0379809782607"/>
    <n v="15392.303847826086"/>
    <x v="0"/>
  </r>
  <r>
    <n v="446113"/>
    <x v="9"/>
    <n v="51251"/>
    <x v="9"/>
    <s v="Работа"/>
    <d v="2025-07-24T00:00:00"/>
    <n v="2"/>
    <n v="2"/>
    <s v="R&amp;amp;D"/>
    <d v="2025-08-02T00:00:00"/>
    <m/>
    <n v="1717.8910543478262"/>
    <n v="3435.7821086956524"/>
    <x v="0"/>
  </r>
  <r>
    <n v="444040"/>
    <x v="4"/>
    <n v="54972"/>
    <x v="10"/>
    <s v="Работа"/>
    <d v="2025-07-24T00:00:00"/>
    <n v="8"/>
    <n v="8"/>
    <s v="Реализация логирования ошибок с категориями ошибок"/>
    <d v="2025-07-30T00:00:00"/>
    <m/>
    <n v="1374.3128434782609"/>
    <n v="10994.502747826087"/>
    <x v="0"/>
  </r>
  <r>
    <n v="443023"/>
    <x v="0"/>
    <n v="56280"/>
    <x v="0"/>
    <s v="Работа"/>
    <d v="2025-07-24T00:00:00"/>
    <n v="4.25"/>
    <n v="4.25"/>
    <s v="Скелег приложения готов. Реализация самого ТЗ"/>
    <d v="2025-07-25T00:00:00"/>
    <m/>
    <n v="1924.0379809782607"/>
    <n v="8177.1614191576082"/>
    <x v="0"/>
  </r>
  <r>
    <n v="443019"/>
    <x v="0"/>
    <n v="56013"/>
    <x v="0"/>
    <s v="Работа"/>
    <d v="2025-07-24T00:00:00"/>
    <n v="0.75"/>
    <n v="0.75"/>
    <s v="дейлик"/>
    <d v="2025-07-25T00:00:00"/>
    <m/>
    <n v="1924.0379809782607"/>
    <n v="1443.0284857336956"/>
    <x v="0"/>
  </r>
  <r>
    <n v="444039"/>
    <x v="4"/>
    <n v="54972"/>
    <x v="10"/>
    <s v="Работа"/>
    <d v="2025-07-23T00:00:00"/>
    <n v="8"/>
    <n v="8"/>
    <s v="Реализация логирования ошибок с категориями ошибок"/>
    <d v="2025-07-30T00:00:00"/>
    <m/>
    <n v="1374.3128434782609"/>
    <n v="10994.502747826087"/>
    <x v="0"/>
  </r>
  <r>
    <n v="442124"/>
    <x v="0"/>
    <n v="56280"/>
    <x v="0"/>
    <s v="Работа"/>
    <d v="2025-07-23T00:00:00"/>
    <n v="5.25"/>
    <n v="5.25"/>
    <s v="создание скелета приложения"/>
    <d v="2025-07-23T00:00:00"/>
    <m/>
    <n v="1924.0379809782607"/>
    <n v="10101.199400135869"/>
    <x v="0"/>
  </r>
  <r>
    <n v="442117"/>
    <x v="0"/>
    <n v="56013"/>
    <x v="0"/>
    <s v="Работа"/>
    <d v="2025-07-23T00:00:00"/>
    <n v="0.75"/>
    <n v="0.75"/>
    <s v="дейлик"/>
    <d v="2025-07-23T00:00:00"/>
    <m/>
    <n v="1924.0379809782607"/>
    <n v="1443.0284857336956"/>
    <x v="0"/>
  </r>
  <r>
    <n v="446164"/>
    <x v="1"/>
    <n v="56715"/>
    <x v="8"/>
    <s v="Внутренняя деятельность"/>
    <d v="2025-07-22T00:00:00"/>
    <n v="16"/>
    <n v="16"/>
    <s v="-"/>
    <d v="2025-08-02T00:00:00"/>
    <m/>
    <n v="1030.7346326086956"/>
    <n v="16491.75412173913"/>
    <x v="0"/>
  </r>
  <r>
    <n v="446163"/>
    <x v="1"/>
    <n v="56715"/>
    <x v="15"/>
    <s v="Внутренняя деятельность"/>
    <d v="2025-07-22T00:00:00"/>
    <n v="8"/>
    <n v="8"/>
    <s v="-"/>
    <d v="2025-08-02T00:00:00"/>
    <m/>
    <n v="343.57821086956523"/>
    <n v="2748.6256869565218"/>
    <x v="0"/>
  </r>
  <r>
    <n v="446162"/>
    <x v="1"/>
    <n v="56715"/>
    <x v="14"/>
    <s v="Внутренняя деятельность"/>
    <d v="2025-07-22T00:00:00"/>
    <n v="10"/>
    <n v="10"/>
    <s v="-"/>
    <d v="2025-08-02T00:00:00"/>
    <m/>
    <n v="1546.1019489130435"/>
    <n v="15461.019489130435"/>
    <x v="0"/>
  </r>
  <r>
    <n v="442122"/>
    <x v="0"/>
    <n v="56280"/>
    <x v="0"/>
    <s v="Работа"/>
    <d v="2025-07-22T00:00:00"/>
    <n v="4.75"/>
    <n v="4.75"/>
    <s v="создание скелета приложения"/>
    <d v="2025-07-23T00:00:00"/>
    <m/>
    <n v="1924.0379809782607"/>
    <n v="9139.1804096467386"/>
    <x v="0"/>
  </r>
  <r>
    <n v="442116"/>
    <x v="0"/>
    <n v="56013"/>
    <x v="0"/>
    <s v="Работа"/>
    <d v="2025-07-22T00:00:00"/>
    <n v="0.75"/>
    <n v="0.75"/>
    <s v="дейлик"/>
    <d v="2025-07-23T00:00:00"/>
    <m/>
    <n v="1924.0379809782607"/>
    <n v="1443.0284857336956"/>
    <x v="0"/>
  </r>
  <r>
    <n v="444038"/>
    <x v="4"/>
    <n v="54972"/>
    <x v="10"/>
    <s v="Работа"/>
    <d v="2025-07-21T00:00:00"/>
    <n v="8"/>
    <n v="8"/>
    <s v="Исследование по задаче с логированием ошибок"/>
    <d v="2025-07-30T00:00:00"/>
    <m/>
    <n v="1374.3128434782609"/>
    <n v="10994.502747826087"/>
    <x v="0"/>
  </r>
  <r>
    <n v="444037"/>
    <x v="4"/>
    <n v="54972"/>
    <x v="10"/>
    <s v="Работа"/>
    <d v="2025-07-21T00:00:00"/>
    <n v="8"/>
    <n v="8"/>
    <s v="Исследование по задаче с логированием ошибок"/>
    <d v="2025-07-30T00:00:00"/>
    <m/>
    <n v="1374.3128434782609"/>
    <n v="10994.502747826087"/>
    <x v="0"/>
  </r>
  <r>
    <n v="442120"/>
    <x v="0"/>
    <n v="56280"/>
    <x v="0"/>
    <s v="Работа"/>
    <d v="2025-07-21T00:00:00"/>
    <n v="6.75"/>
    <n v="6.75"/>
    <s v="создание скелета приложения"/>
    <d v="2025-07-23T00:00:00"/>
    <m/>
    <n v="1924.0379809782607"/>
    <n v="12987.25637160326"/>
    <x v="0"/>
  </r>
  <r>
    <n v="442115"/>
    <x v="0"/>
    <n v="56013"/>
    <x v="0"/>
    <s v="Работа"/>
    <d v="2025-07-21T00:00:00"/>
    <n v="0.75"/>
    <n v="0.75"/>
    <s v="дейлик"/>
    <d v="2025-07-23T00:00:00"/>
    <m/>
    <n v="1924.0379809782607"/>
    <n v="1443.0284857336956"/>
    <x v="0"/>
  </r>
  <r>
    <n v="441815"/>
    <x v="4"/>
    <n v="54971"/>
    <x v="9"/>
    <s v="Работа"/>
    <d v="2025-07-21T00:00:00"/>
    <n v="8"/>
    <n v="8"/>
    <s v="_x0009_Task #2983: Публикация изменений на стейдж среде"/>
    <d v="2025-07-22T00:00:00"/>
    <m/>
    <n v="1717.8910543478262"/>
    <n v="13743.128434782609"/>
    <x v="0"/>
  </r>
  <r>
    <n v="446161"/>
    <x v="1"/>
    <n v="56715"/>
    <x v="2"/>
    <s v="Внутренняя деятельность"/>
    <d v="2025-07-18T00:00:00"/>
    <n v="16"/>
    <n v="16"/>
    <s v="-"/>
    <d v="2025-08-02T00:00:00"/>
    <m/>
    <n v="687.15642173913045"/>
    <n v="10994.502747826087"/>
    <x v="0"/>
  </r>
  <r>
    <n v="446160"/>
    <x v="1"/>
    <n v="56715"/>
    <x v="5"/>
    <s v="Внутренняя деятельность"/>
    <d v="2025-07-18T00:00:00"/>
    <n v="16"/>
    <n v="16"/>
    <s v="-"/>
    <d v="2025-08-02T00:00:00"/>
    <m/>
    <n v="412.29385326086958"/>
    <n v="6596.7016521739133"/>
    <x v="0"/>
  </r>
  <r>
    <n v="444034"/>
    <x v="4"/>
    <n v="55004"/>
    <x v="10"/>
    <s v="Работа"/>
    <d v="2025-07-18T00:00:00"/>
    <n v="8"/>
    <n v="8"/>
    <s v="Проблема с некорректным телефоном, к которому привязан договор"/>
    <d v="2025-07-30T00:00:00"/>
    <m/>
    <n v="1374.3128434782609"/>
    <n v="10994.502747826087"/>
    <x v="0"/>
  </r>
  <r>
    <n v="441816"/>
    <x v="2"/>
    <n v="17"/>
    <x v="9"/>
    <s v="Внутренняя деятельность"/>
    <d v="2025-07-18T00:00:00"/>
    <n v="8"/>
    <n v="8"/>
    <s v="#17 - Отпуск/Vacation"/>
    <d v="2025-07-22T00:00:00"/>
    <m/>
    <n v="1717.8910543478262"/>
    <n v="13743.128434782609"/>
    <x v="0"/>
  </r>
  <r>
    <n v="441298"/>
    <x v="0"/>
    <n v="56013"/>
    <x v="0"/>
    <s v="Работа"/>
    <d v="2025-07-18T00:00:00"/>
    <n v="0.75"/>
    <n v="0.75"/>
    <s v="дейлик"/>
    <d v="2025-07-21T00:00:00"/>
    <m/>
    <n v="1924.0379809782607"/>
    <n v="1443.0284857336956"/>
    <x v="0"/>
  </r>
  <r>
    <n v="446181"/>
    <x v="2"/>
    <n v="17"/>
    <x v="7"/>
    <s v="Внутренняя деятельность"/>
    <d v="2025-07-17T00:00:00"/>
    <n v="32"/>
    <n v="32"/>
    <s v="-"/>
    <d v="2025-08-02T00:00:00"/>
    <m/>
    <n v="1649.1754125"/>
    <n v="52773.6132"/>
    <x v="0"/>
  </r>
  <r>
    <n v="446180"/>
    <x v="1"/>
    <n v="56715"/>
    <x v="10"/>
    <s v="Внутренняя деятельность"/>
    <d v="2025-07-17T00:00:00"/>
    <n v="16"/>
    <n v="16"/>
    <s v="-"/>
    <d v="2025-08-02T00:00:00"/>
    <m/>
    <n v="1374.3128434782609"/>
    <n v="21989.005495652174"/>
    <x v="0"/>
  </r>
  <r>
    <n v="446179"/>
    <x v="2"/>
    <n v="17"/>
    <x v="16"/>
    <s v="Внутренняя деятельность"/>
    <d v="2025-07-17T00:00:00"/>
    <n v="40"/>
    <n v="40"/>
    <s v="-"/>
    <d v="2025-08-02T00:00:00"/>
    <m/>
    <n v="1030.7346326086956"/>
    <n v="41229.385304347823"/>
    <x v="0"/>
  </r>
  <r>
    <n v="446178"/>
    <x v="8"/>
    <n v="55464"/>
    <x v="2"/>
    <s v="Работа"/>
    <d v="2025-07-17T00:00:00"/>
    <n v="32"/>
    <n v="32"/>
    <s v="R&amp;amp;D"/>
    <d v="2025-08-02T00:00:00"/>
    <m/>
    <n v="687.15642173913045"/>
    <n v="21989.005495652174"/>
    <x v="0"/>
  </r>
  <r>
    <n v="446177"/>
    <x v="2"/>
    <n v="17"/>
    <x v="6"/>
    <s v="Внутренняя деятельность"/>
    <d v="2025-07-17T00:00:00"/>
    <n v="88"/>
    <n v="88"/>
    <s v="-"/>
    <d v="2025-08-02T00:00:00"/>
    <m/>
    <n v="824.58770597826083"/>
    <n v="72563.718126086955"/>
    <x v="0"/>
  </r>
  <r>
    <n v="441818"/>
    <x v="2"/>
    <n v="17"/>
    <x v="9"/>
    <s v="Внутренняя деятельность"/>
    <d v="2025-07-17T00:00:00"/>
    <n v="8"/>
    <n v="8"/>
    <s v="#17 - Отпуск/Vacation"/>
    <d v="2025-07-22T00:00:00"/>
    <m/>
    <n v="1717.8910543478262"/>
    <n v="13743.128434782609"/>
    <x v="0"/>
  </r>
  <r>
    <n v="441299"/>
    <x v="0"/>
    <n v="56013"/>
    <x v="0"/>
    <s v="Работа"/>
    <d v="2025-07-17T00:00:00"/>
    <n v="1"/>
    <n v="1"/>
    <s v="дейлик"/>
    <d v="2025-07-21T00:00:00"/>
    <m/>
    <n v="1924.0379809782607"/>
    <n v="1924.0379809782607"/>
    <x v="0"/>
  </r>
  <r>
    <n v="446176"/>
    <x v="6"/>
    <n v="54722"/>
    <x v="6"/>
    <s v="Работа"/>
    <d v="2025-07-16T00:00:00"/>
    <n v="40"/>
    <n v="40"/>
    <s v="R&amp;amp;D"/>
    <d v="2025-08-02T00:00:00"/>
    <m/>
    <n v="824.58770597826083"/>
    <n v="32983.508239130431"/>
    <x v="0"/>
  </r>
  <r>
    <n v="446175"/>
    <x v="2"/>
    <n v="17"/>
    <x v="15"/>
    <s v="Внутренняя деятельность"/>
    <d v="2025-07-16T00:00:00"/>
    <n v="24"/>
    <n v="24"/>
    <s v="-"/>
    <d v="2025-08-02T00:00:00"/>
    <m/>
    <n v="343.57821086956523"/>
    <n v="8245.877060869565"/>
    <x v="0"/>
  </r>
  <r>
    <n v="446172"/>
    <x v="1"/>
    <n v="56715"/>
    <x v="3"/>
    <s v="Внутренняя деятельность"/>
    <d v="2025-07-16T00:00:00"/>
    <n v="16"/>
    <n v="16"/>
    <s v="-"/>
    <d v="2025-08-02T00:00:00"/>
    <m/>
    <n v="893.30334836956524"/>
    <n v="14292.853573913044"/>
    <x v="0"/>
  </r>
  <r>
    <n v="446171"/>
    <x v="1"/>
    <n v="56715"/>
    <x v="16"/>
    <s v="Внутренняя деятельность"/>
    <d v="2025-07-16T00:00:00"/>
    <n v="16"/>
    <n v="16"/>
    <s v="-"/>
    <d v="2025-08-02T00:00:00"/>
    <m/>
    <n v="1030.7346326086956"/>
    <n v="16491.75412173913"/>
    <x v="0"/>
  </r>
  <r>
    <n v="446170"/>
    <x v="1"/>
    <n v="56715"/>
    <x v="6"/>
    <s v="Внутренняя деятельность"/>
    <d v="2025-07-16T00:00:00"/>
    <n v="16"/>
    <n v="16"/>
    <s v="-"/>
    <d v="2025-08-02T00:00:00"/>
    <m/>
    <n v="824.58770597826083"/>
    <n v="13193.403295652173"/>
    <x v="0"/>
  </r>
  <r>
    <n v="446169"/>
    <x v="1"/>
    <n v="56715"/>
    <x v="4"/>
    <s v="Внутренняя деятельность"/>
    <d v="2025-07-16T00:00:00"/>
    <n v="16"/>
    <n v="16"/>
    <s v="-"/>
    <d v="2025-08-02T00:00:00"/>
    <m/>
    <n v="1030.7346326086956"/>
    <n v="16491.75412173913"/>
    <x v="0"/>
  </r>
  <r>
    <n v="446168"/>
    <x v="1"/>
    <n v="56715"/>
    <x v="11"/>
    <s v="Внутренняя деятельность"/>
    <d v="2025-07-16T00:00:00"/>
    <n v="16"/>
    <n v="16"/>
    <s v="-"/>
    <d v="2025-08-02T00:00:00"/>
    <m/>
    <n v="549.72513749999996"/>
    <n v="8795.6021999999994"/>
    <x v="0"/>
  </r>
  <r>
    <n v="446167"/>
    <x v="1"/>
    <n v="56715"/>
    <x v="12"/>
    <s v="Внутренняя деятельность"/>
    <d v="2025-07-16T00:00:00"/>
    <n v="4"/>
    <n v="4"/>
    <s v="-"/>
    <d v="2025-08-02T00:00:00"/>
    <m/>
    <n v="1380"/>
    <n v="5520"/>
    <x v="0"/>
  </r>
  <r>
    <n v="446166"/>
    <x v="1"/>
    <n v="56715"/>
    <x v="13"/>
    <s v="Внутренняя деятельность"/>
    <d v="2025-07-16T00:00:00"/>
    <n v="6"/>
    <n v="6"/>
    <s v="-"/>
    <d v="2025-08-02T00:00:00"/>
    <m/>
    <n v="1418"/>
    <n v="8508"/>
    <x v="0"/>
  </r>
  <r>
    <n v="446137"/>
    <x v="10"/>
    <n v="52830"/>
    <x v="14"/>
    <s v="Работа"/>
    <d v="2025-07-16T00:00:00"/>
    <n v="62"/>
    <n v="62"/>
    <s v="R&amp;amp;D"/>
    <d v="2025-08-02T00:00:00"/>
    <m/>
    <n v="1546.1019489130435"/>
    <n v="95858.320832608704"/>
    <x v="0"/>
  </r>
  <r>
    <n v="444033"/>
    <x v="4"/>
    <n v="55004"/>
    <x v="10"/>
    <s v="Работа"/>
    <d v="2025-07-16T00:00:00"/>
    <n v="8"/>
    <n v="8"/>
    <s v="Деплой изменений, обновление CustomDev версий"/>
    <d v="2025-07-30T00:00:00"/>
    <m/>
    <n v="1374.3128434782609"/>
    <n v="10994.502747826087"/>
    <x v="0"/>
  </r>
  <r>
    <n v="444032"/>
    <x v="4"/>
    <n v="55004"/>
    <x v="10"/>
    <s v="Работа"/>
    <d v="2025-07-16T00:00:00"/>
    <n v="8"/>
    <n v="8"/>
    <s v="Поля страна и пол для анкеты нерезидента"/>
    <d v="2025-07-30T00:00:00"/>
    <m/>
    <n v="1374.3128434782609"/>
    <n v="10994.502747826087"/>
    <x v="0"/>
  </r>
  <r>
    <n v="441819"/>
    <x v="2"/>
    <n v="17"/>
    <x v="9"/>
    <s v="Внутренняя деятельность"/>
    <d v="2025-07-16T00:00:00"/>
    <n v="8"/>
    <n v="8"/>
    <s v="Отпуск/Vacation"/>
    <d v="2025-07-22T00:00:00"/>
    <m/>
    <n v="1717.8910543478262"/>
    <n v="13743.128434782609"/>
    <x v="0"/>
  </r>
  <r>
    <n v="441300"/>
    <x v="0"/>
    <n v="56013"/>
    <x v="0"/>
    <s v="Работа"/>
    <d v="2025-07-16T00:00:00"/>
    <n v="0.75"/>
    <n v="0.75"/>
    <s v="дейлик"/>
    <d v="2025-07-21T00:00:00"/>
    <m/>
    <n v="1924.0379809782607"/>
    <n v="1443.0284857336956"/>
    <x v="0"/>
  </r>
  <r>
    <n v="446138"/>
    <x v="11"/>
    <n v="13219"/>
    <x v="3"/>
    <s v="Работа"/>
    <d v="2025-07-15T00:00:00"/>
    <n v="14"/>
    <n v="14"/>
    <s v="R&amp;amp;D"/>
    <d v="2025-08-02T00:00:00"/>
    <m/>
    <n v="893.30334836956524"/>
    <n v="12506.246877173913"/>
    <x v="0"/>
  </r>
  <r>
    <n v="444031"/>
    <x v="4"/>
    <n v="55004"/>
    <x v="10"/>
    <s v="Работа"/>
    <d v="2025-07-15T00:00:00"/>
    <n v="8"/>
    <n v="8"/>
    <s v="Поля страна и пол для анкеты нерезидента"/>
    <d v="2025-07-30T00:00:00"/>
    <m/>
    <n v="1374.3128434782609"/>
    <n v="10994.502747826087"/>
    <x v="0"/>
  </r>
  <r>
    <n v="441820"/>
    <x v="2"/>
    <n v="17"/>
    <x v="9"/>
    <s v="Внутренняя деятельность"/>
    <d v="2025-07-15T00:00:00"/>
    <n v="8"/>
    <n v="8"/>
    <s v="Отпуск/Vacation"/>
    <d v="2025-07-22T00:00:00"/>
    <m/>
    <n v="1717.8910543478262"/>
    <n v="13743.128434782609"/>
    <x v="0"/>
  </r>
  <r>
    <n v="441301"/>
    <x v="0"/>
    <n v="56013"/>
    <x v="0"/>
    <s v="Работа"/>
    <d v="2025-07-15T00:00:00"/>
    <n v="1"/>
    <n v="1"/>
    <s v="дейлик"/>
    <d v="2025-07-21T00:00:00"/>
    <m/>
    <n v="1924.0379809782607"/>
    <n v="1924.0379809782607"/>
    <x v="0"/>
  </r>
  <r>
    <n v="444030"/>
    <x v="4"/>
    <n v="55004"/>
    <x v="10"/>
    <s v="Работа"/>
    <d v="2025-07-14T00:00:00"/>
    <n v="8"/>
    <n v="8"/>
    <s v="Поля страна и пол для анкеты нерезидента"/>
    <d v="2025-07-30T00:00:00"/>
    <m/>
    <n v="1374.3128434782609"/>
    <n v="10994.502747826087"/>
    <x v="0"/>
  </r>
  <r>
    <n v="441822"/>
    <x v="2"/>
    <n v="17"/>
    <x v="9"/>
    <s v="Внутренняя деятельность"/>
    <d v="2025-07-14T00:00:00"/>
    <n v="8"/>
    <n v="8"/>
    <s v="Отпуск/Vacation"/>
    <d v="2025-07-22T00:00:00"/>
    <m/>
    <n v="1717.8910543478262"/>
    <n v="13743.128434782609"/>
    <x v="0"/>
  </r>
  <r>
    <n v="438980"/>
    <x v="0"/>
    <n v="56013"/>
    <x v="0"/>
    <s v="Работа"/>
    <d v="2025-07-14T00:00:00"/>
    <n v="0.75"/>
    <n v="0.75"/>
    <s v="дейлик"/>
    <d v="2025-07-14T00:00:00"/>
    <m/>
    <n v="1924.0379809782607"/>
    <n v="1443.0284857336956"/>
    <x v="0"/>
  </r>
  <r>
    <n v="441829"/>
    <x v="4"/>
    <n v="54971"/>
    <x v="9"/>
    <s v="Работа"/>
    <d v="2025-07-11T00:00:00"/>
    <n v="9"/>
    <n v="9"/>
    <s v="_x0009_Task #2983: Публикация изменений на стейдж среде"/>
    <d v="2025-07-22T00:00:00"/>
    <m/>
    <n v="1717.8910543478262"/>
    <n v="15461.019489130436"/>
    <x v="0"/>
  </r>
  <r>
    <n v="441825"/>
    <x v="4"/>
    <n v="54997"/>
    <x v="9"/>
    <s v="Работа"/>
    <d v="2025-07-11T00:00:00"/>
    <n v="6"/>
    <n v="6"/>
    <s v="_x0009_Task #2996: Адаптация анкет трех анкет ИПДЛ для заполения без ИИ"/>
    <d v="2025-07-22T00:00:00"/>
    <m/>
    <n v="1717.8910543478262"/>
    <n v="10307.346326086958"/>
    <x v="0"/>
  </r>
  <r>
    <n v="439600"/>
    <x v="4"/>
    <n v="54981"/>
    <x v="10"/>
    <s v="Работа"/>
    <d v="2025-07-11T00:00:00"/>
    <n v="8"/>
    <n v="8"/>
    <s v="Тестирование и решение проблем с пайплайном"/>
    <d v="2025-07-16T00:00:00"/>
    <m/>
    <n v="1374.3128434782609"/>
    <n v="10994.502747826087"/>
    <x v="0"/>
  </r>
  <r>
    <n v="438979"/>
    <x v="0"/>
    <n v="56013"/>
    <x v="0"/>
    <s v="Работа"/>
    <d v="2025-07-11T00:00:00"/>
    <n v="0.75"/>
    <n v="0.75"/>
    <s v="дейлик"/>
    <d v="2025-07-14T00:00:00"/>
    <m/>
    <n v="1924.0379809782607"/>
    <n v="1443.0284857336956"/>
    <x v="0"/>
  </r>
  <r>
    <n v="442395"/>
    <x v="4"/>
    <n v="54996"/>
    <x v="9"/>
    <s v="Работа"/>
    <d v="2025-07-10T00:00:00"/>
    <n v="2"/>
    <n v="2"/>
    <s v="_x0009_Task #2995: Локальное тестирование разработанного изменений ЛК"/>
    <d v="2025-07-24T00:00:00"/>
    <m/>
    <n v="1717.8910543478262"/>
    <n v="3435.7821086956524"/>
    <x v="0"/>
  </r>
  <r>
    <n v="442396"/>
    <x v="4"/>
    <n v="55003"/>
    <x v="9"/>
    <s v="Работа"/>
    <d v="2025-07-10T00:00:00"/>
    <n v="6"/>
    <n v="6"/>
    <s v="_x0009_Task #2996: Адаптация анкет трех анкет ИПДЛ для заполения без"/>
    <d v="2025-07-24T00:00:00"/>
    <m/>
    <n v="1717.8910543478262"/>
    <n v="10307.346326086958"/>
    <x v="0"/>
  </r>
  <r>
    <n v="439598"/>
    <x v="4"/>
    <n v="54976"/>
    <x v="10"/>
    <s v="Работа"/>
    <d v="2025-07-10T00:00:00"/>
    <n v="8"/>
    <n v="8"/>
    <s v="Настройка для нового диапазона дат формирования полиса"/>
    <d v="2025-07-16T00:00:00"/>
    <m/>
    <n v="1374.3128434782609"/>
    <n v="10994.502747826087"/>
    <x v="0"/>
  </r>
  <r>
    <n v="438910"/>
    <x v="2"/>
    <n v="34"/>
    <x v="3"/>
    <s v="Внутренняя деятельность"/>
    <d v="2025-07-10T00:00:00"/>
    <n v="4"/>
    <n v="4"/>
    <s v="Исследование проекта"/>
    <d v="2025-07-14T00:00:00"/>
    <m/>
    <n v="893.30334836956524"/>
    <n v="3573.213393478261"/>
    <x v="0"/>
  </r>
  <r>
    <n v="438453"/>
    <x v="0"/>
    <n v="55996"/>
    <x v="0"/>
    <s v="Работа"/>
    <d v="2025-07-10T00:00:00"/>
    <n v="1"/>
    <n v="1"/>
    <s v="Обсудил формат таблицы, создал БД и таблицу, описал на вики"/>
    <d v="2025-07-12T00:00:00"/>
    <m/>
    <n v="1924.0379809782607"/>
    <n v="1924.0379809782607"/>
    <x v="0"/>
  </r>
  <r>
    <n v="438978"/>
    <x v="0"/>
    <n v="56013"/>
    <x v="0"/>
    <s v="Работа"/>
    <d v="2025-07-10T00:00:00"/>
    <n v="0.75"/>
    <n v="0.75"/>
    <s v="дейлик"/>
    <d v="2025-07-14T00:00:00"/>
    <m/>
    <n v="1924.0379809782607"/>
    <n v="1443.0284857336956"/>
    <x v="0"/>
  </r>
  <r>
    <n v="446165"/>
    <x v="1"/>
    <n v="56715"/>
    <x v="0"/>
    <s v="Внутренняя деятельность"/>
    <d v="2025-07-10T00:00:00"/>
    <n v="16"/>
    <n v="16"/>
    <s v="-"/>
    <d v="2025-08-02T00:00:00"/>
    <m/>
    <n v="1924.0379809782607"/>
    <n v="30784.607695652172"/>
    <x v="0"/>
  </r>
  <r>
    <n v="442397"/>
    <x v="4"/>
    <n v="55002"/>
    <x v="9"/>
    <s v="Работа"/>
    <d v="2025-07-09T00:00:00"/>
    <n v="5"/>
    <n v="5"/>
    <s v="_x0009_Task #2995: Локальное тестирование разработанного изменений ЛК"/>
    <d v="2025-07-24T00:00:00"/>
    <m/>
    <n v="1717.8910543478262"/>
    <n v="8589.4552717391307"/>
    <x v="0"/>
  </r>
  <r>
    <n v="442398"/>
    <x v="4"/>
    <n v="54989"/>
    <x v="9"/>
    <s v="Работа"/>
    <d v="2025-07-09T00:00:00"/>
    <n v="3"/>
    <n v="3"/>
    <s v="_x0009_Task #2991: Добавление перевода анкет для не резидентов ФИЗ/ЮР"/>
    <d v="2025-07-24T00:00:00"/>
    <m/>
    <n v="1717.8910543478262"/>
    <n v="5153.6731630434788"/>
    <x v="0"/>
  </r>
  <r>
    <n v="439597"/>
    <x v="4"/>
    <n v="54976"/>
    <x v="10"/>
    <s v="Работа"/>
    <d v="2025-07-09T00:00:00"/>
    <n v="8"/>
    <n v="8"/>
    <s v="Настройка для нового диапазона дат формирования полиса"/>
    <d v="2025-07-16T00:00:00"/>
    <m/>
    <n v="1374.3128434782609"/>
    <n v="10994.502747826087"/>
    <x v="0"/>
  </r>
  <r>
    <n v="438907"/>
    <x v="2"/>
    <n v="34"/>
    <x v="3"/>
    <s v="Внутренняя деятельность"/>
    <d v="2025-07-09T00:00:00"/>
    <n v="1"/>
    <n v="1"/>
    <s v="CustomDev Daily Sync"/>
    <d v="2025-07-14T00:00:00"/>
    <m/>
    <n v="893.30334836956524"/>
    <n v="893.30334836956524"/>
    <x v="0"/>
  </r>
  <r>
    <n v="438909"/>
    <x v="2"/>
    <n v="34"/>
    <x v="3"/>
    <s v="Внутренняя деятельность"/>
    <d v="2025-07-09T00:00:00"/>
    <n v="4"/>
    <n v="4"/>
    <s v="Исследование проекта"/>
    <d v="2025-07-14T00:00:00"/>
    <m/>
    <n v="893.30334836956524"/>
    <n v="3573.213393478261"/>
    <x v="0"/>
  </r>
  <r>
    <n v="437138"/>
    <x v="0"/>
    <n v="55873"/>
    <x v="0"/>
    <s v="Работа"/>
    <d v="2025-07-09T00:00:00"/>
    <n v="4"/>
    <n v="4"/>
    <s v="Настроил эмуляторы на тестовом сервере LTWMS, описал результаты исследования на вики"/>
    <d v="2025-07-09T00:00:00"/>
    <m/>
    <n v="1924.0379809782607"/>
    <n v="7696.151923913043"/>
    <x v="0"/>
  </r>
  <r>
    <n v="438975"/>
    <x v="0"/>
    <n v="56013"/>
    <x v="0"/>
    <s v="Работа"/>
    <d v="2025-07-09T00:00:00"/>
    <n v="0.75"/>
    <n v="0.75"/>
    <s v="дейлик"/>
    <d v="2025-07-14T00:00:00"/>
    <m/>
    <n v="1924.0379809782607"/>
    <n v="1443.0284857336956"/>
    <x v="0"/>
  </r>
  <r>
    <n v="442399"/>
    <x v="4"/>
    <n v="54989"/>
    <x v="9"/>
    <s v="Работа"/>
    <d v="2025-07-08T00:00:00"/>
    <n v="1"/>
    <n v="1"/>
    <s v="_x0009_Task #2991: Добавление перевода анкет для не резидент"/>
    <d v="2025-07-24T00:00:00"/>
    <m/>
    <n v="1717.8910543478262"/>
    <n v="1717.8910543478262"/>
    <x v="0"/>
  </r>
  <r>
    <n v="442400"/>
    <x v="4"/>
    <n v="54994"/>
    <x v="9"/>
    <s v="Работа"/>
    <d v="2025-07-08T00:00:00"/>
    <n v="1"/>
    <n v="1"/>
    <s v="_x0009_Task #2994: Адаптация раздела заявки для отображения"/>
    <d v="2025-07-24T00:00:00"/>
    <m/>
    <n v="1717.8910543478262"/>
    <n v="1717.8910543478262"/>
    <x v="0"/>
  </r>
  <r>
    <n v="442401"/>
    <x v="4"/>
    <n v="54996"/>
    <x v="9"/>
    <s v="Работа"/>
    <d v="2025-07-08T00:00:00"/>
    <n v="1"/>
    <n v="1"/>
    <s v="_x0009_Task #2995: Локальное тестирование разработанного из"/>
    <d v="2025-07-24T00:00:00"/>
    <m/>
    <n v="1717.8910543478262"/>
    <n v="1717.8910543478262"/>
    <x v="0"/>
  </r>
  <r>
    <n v="442402"/>
    <x v="4"/>
    <n v="55003"/>
    <x v="9"/>
    <s v="Работа"/>
    <d v="2025-07-08T00:00:00"/>
    <n v="4"/>
    <n v="4"/>
    <s v="_x0009_Task #2990: Адаптация анкет трех анкет ИПДЛ для запол"/>
    <d v="2025-07-24T00:00:00"/>
    <m/>
    <n v="1717.8910543478262"/>
    <n v="6871.5642173913047"/>
    <x v="0"/>
  </r>
  <r>
    <n v="442403"/>
    <x v="9"/>
    <n v="51251"/>
    <x v="9"/>
    <s v="Работа"/>
    <d v="2025-07-08T00:00:00"/>
    <n v="1"/>
    <n v="1"/>
    <s v="Feature #3105: Смена плашки &quot;подпишитесь на рассылку&quot; на промокод БЛАГОДАТЬ_x0009_двойная выкатка + фикс после дизайнера"/>
    <d v="2025-07-24T00:00:00"/>
    <m/>
    <n v="1717.8910543478262"/>
    <n v="1717.8910543478262"/>
    <x v="0"/>
  </r>
  <r>
    <n v="439595"/>
    <x v="4"/>
    <n v="54979"/>
    <x v="10"/>
    <s v="Работа"/>
    <d v="2025-07-08T00:00:00"/>
    <n v="8"/>
    <n v="8"/>
    <s v="Добавление новых полей при возврате в ЛК"/>
    <d v="2025-07-16T00:00:00"/>
    <m/>
    <n v="1374.3128434782609"/>
    <n v="10994.502747826087"/>
    <x v="0"/>
  </r>
  <r>
    <n v="437137"/>
    <x v="0"/>
    <n v="55873"/>
    <x v="0"/>
    <s v="Работа"/>
    <d v="2025-07-08T00:00:00"/>
    <n v="7"/>
    <n v="7"/>
    <s v="Изучил, проверил доступные эмуляторы ZPL принтера. Увы не работают. Создал два своих эмулятора"/>
    <d v="2025-07-09T00:00:00"/>
    <m/>
    <n v="1924.0379809782607"/>
    <n v="13468.265866847825"/>
    <x v="0"/>
  </r>
  <r>
    <n v="438974"/>
    <x v="0"/>
    <n v="56013"/>
    <x v="0"/>
    <s v="Работа"/>
    <d v="2025-07-08T00:00:00"/>
    <n v="0.75"/>
    <n v="0.75"/>
    <s v="дейлик"/>
    <d v="2025-07-14T00:00:00"/>
    <m/>
    <n v="1924.0379809782607"/>
    <n v="1443.0284857336956"/>
    <x v="0"/>
  </r>
  <r>
    <n v="442404"/>
    <x v="4"/>
    <n v="55003"/>
    <x v="9"/>
    <s v="Работа"/>
    <d v="2025-07-07T00:00:00"/>
    <n v="4"/>
    <n v="4"/>
    <s v="_x0009_Task #2990: Адаптация анкет трех анкет ИПДЛ для заполения без И"/>
    <d v="2025-07-24T00:00:00"/>
    <m/>
    <n v="1717.8910543478262"/>
    <n v="6871.5642173913047"/>
    <x v="0"/>
  </r>
  <r>
    <n v="442406"/>
    <x v="4"/>
    <n v="55002"/>
    <x v="9"/>
    <s v="Работа"/>
    <d v="2025-07-07T00:00:00"/>
    <n v="4"/>
    <n v="4"/>
    <s v="_x0009_Task #2989: Локальное тестирование разработанного изменений ЛК"/>
    <d v="2025-07-24T00:00:00"/>
    <m/>
    <n v="1717.8910543478262"/>
    <n v="6871.5642173913047"/>
    <x v="0"/>
  </r>
  <r>
    <n v="439593"/>
    <x v="4"/>
    <n v="55004"/>
    <x v="10"/>
    <s v="Работа"/>
    <d v="2025-07-07T00:00:00"/>
    <n v="8"/>
    <n v="8"/>
    <s v="Добавление новых полей при возврате в ЛК"/>
    <d v="2025-07-16T00:00:00"/>
    <m/>
    <n v="1374.3128434782609"/>
    <n v="10994.502747826087"/>
    <x v="0"/>
  </r>
  <r>
    <n v="437136"/>
    <x v="0"/>
    <n v="55873"/>
    <x v="0"/>
    <s v="Работа"/>
    <d v="2025-07-07T00:00:00"/>
    <n v="6.5"/>
    <n v="6.5"/>
    <s v="Изучил руководство по печати из LT, настроил CUPS на тестовом сервере LT и локально"/>
    <d v="2025-07-09T00:00:00"/>
    <m/>
    <n v="1924.0379809782607"/>
    <n v="12506.246876358695"/>
    <x v="0"/>
  </r>
  <r>
    <n v="438972"/>
    <x v="0"/>
    <n v="56013"/>
    <x v="0"/>
    <s v="Работа"/>
    <d v="2025-07-07T00:00:00"/>
    <n v="0.75"/>
    <n v="0.75"/>
    <s v="дейлик"/>
    <d v="2025-07-14T00:00:00"/>
    <m/>
    <n v="1924.0379809782607"/>
    <n v="1443.0284857336956"/>
    <x v="0"/>
  </r>
  <r>
    <n v="435972"/>
    <x v="2"/>
    <n v="33"/>
    <x v="3"/>
    <s v="Внутренняя деятельность"/>
    <d v="2025-07-04T00:00:00"/>
    <n v="1"/>
    <n v="1"/>
    <d v="2025-01-01T00:00:00"/>
    <d v="2025-07-04T00:00:00"/>
    <m/>
    <n v="893.30334836956524"/>
    <n v="893.30334836956524"/>
    <x v="0"/>
  </r>
  <r>
    <n v="435974"/>
    <x v="2"/>
    <n v="33"/>
    <x v="3"/>
    <s v="Внутренняя деятельность"/>
    <d v="2025-07-04T00:00:00"/>
    <n v="1"/>
    <n v="1"/>
    <s v="CustomDev Daily Sync"/>
    <d v="2025-07-04T00:00:00"/>
    <m/>
    <n v="893.30334836956524"/>
    <n v="893.30334836956524"/>
    <x v="0"/>
  </r>
  <r>
    <n v="439587"/>
    <x v="4"/>
    <n v="54974"/>
    <x v="10"/>
    <s v="Работа"/>
    <d v="2025-07-04T00:00:00"/>
    <n v="8"/>
    <n v="8"/>
    <s v="Вычисление премии для иностранное авто"/>
    <d v="2025-07-16T00:00:00"/>
    <m/>
    <n v="1374.3128434782609"/>
    <n v="10994.502747826087"/>
    <x v="0"/>
  </r>
  <r>
    <n v="442407"/>
    <x v="4"/>
    <n v="55000"/>
    <x v="9"/>
    <s v="Работа"/>
    <d v="2025-07-04T00:00:00"/>
    <n v="4"/>
    <n v="4"/>
    <s v="_x0009_Task #2987: Адаптация раздела заявки для отображения новой ин"/>
    <d v="2025-07-24T00:00:00"/>
    <m/>
    <n v="1717.8910543478262"/>
    <n v="6871.5642173913047"/>
    <x v="0"/>
  </r>
  <r>
    <n v="442408"/>
    <x v="4"/>
    <n v="55001"/>
    <x v="9"/>
    <s v="Работа"/>
    <d v="2025-07-04T00:00:00"/>
    <n v="4"/>
    <n v="4"/>
    <s v="_x0009_Task #2988: Адаптация раздела договора для отображения договор"/>
    <d v="2025-07-24T00:00:00"/>
    <m/>
    <n v="1717.8910543478262"/>
    <n v="6871.5642173913047"/>
    <x v="0"/>
  </r>
  <r>
    <n v="437135"/>
    <x v="0"/>
    <n v="55873"/>
    <x v="0"/>
    <s v="Работа"/>
    <d v="2025-07-04T00:00:00"/>
    <n v="6"/>
    <n v="6"/>
    <s v="Начало исследования"/>
    <d v="2025-07-09T00:00:00"/>
    <m/>
    <n v="1924.0379809782607"/>
    <n v="11544.227885869564"/>
    <x v="0"/>
  </r>
  <r>
    <n v="438971"/>
    <x v="0"/>
    <n v="56013"/>
    <x v="0"/>
    <s v="Работа"/>
    <d v="2025-07-04T00:00:00"/>
    <n v="0.75"/>
    <n v="0.75"/>
    <s v="дейлик"/>
    <d v="2025-07-14T00:00:00"/>
    <m/>
    <n v="1924.0379809782607"/>
    <n v="1443.0284857336956"/>
    <x v="0"/>
  </r>
  <r>
    <n v="439585"/>
    <x v="4"/>
    <n v="54974"/>
    <x v="10"/>
    <s v="Работа"/>
    <d v="2025-07-03T00:00:00"/>
    <n v="8"/>
    <n v="8"/>
    <s v="Вычисление премии для иностранное авто"/>
    <d v="2025-07-16T00:00:00"/>
    <m/>
    <n v="1374.3128434782609"/>
    <n v="10994.502747826087"/>
    <x v="0"/>
  </r>
  <r>
    <n v="442409"/>
    <x v="6"/>
    <n v="54460"/>
    <x v="9"/>
    <s v="Работа"/>
    <d v="2025-07-03T00:00:00"/>
    <n v="1"/>
    <n v="1"/>
    <s v="трабл с билдом"/>
    <d v="2025-07-24T00:00:00"/>
    <m/>
    <n v="1717.8910543478262"/>
    <n v="1717.8910543478262"/>
    <x v="0"/>
  </r>
  <r>
    <n v="442410"/>
    <x v="6"/>
    <n v="54721"/>
    <x v="9"/>
    <s v="Работа"/>
    <d v="2025-07-03T00:00:00"/>
    <n v="3"/>
    <n v="3"/>
    <s v="#54721 - Review"/>
    <d v="2025-07-24T00:00:00"/>
    <m/>
    <n v="1717.8910543478262"/>
    <n v="5153.6731630434788"/>
    <x v="0"/>
  </r>
  <r>
    <n v="442411"/>
    <x v="1"/>
    <n v="13970"/>
    <x v="9"/>
    <s v="Внутренняя деятельность"/>
    <d v="2025-07-03T00:00:00"/>
    <n v="4"/>
    <n v="4"/>
    <s v="Мобильная разработка под Apple"/>
    <d v="2025-07-24T00:00:00"/>
    <m/>
    <n v="1717.8910543478262"/>
    <n v="6871.5642173913047"/>
    <x v="0"/>
  </r>
  <r>
    <n v="438970"/>
    <x v="0"/>
    <n v="56013"/>
    <x v="0"/>
    <s v="Работа"/>
    <d v="2025-07-03T00:00:00"/>
    <n v="0.75"/>
    <n v="0.75"/>
    <s v="дейлик"/>
    <d v="2025-07-14T00:00:00"/>
    <m/>
    <n v="1924.0379809782607"/>
    <n v="1443.0284857336956"/>
    <x v="0"/>
  </r>
  <r>
    <n v="435975"/>
    <x v="2"/>
    <n v="33"/>
    <x v="3"/>
    <s v="Внутренняя деятельность"/>
    <d v="2025-07-02T00:00:00"/>
    <n v="1"/>
    <n v="1"/>
    <s v="CustomDev Daily Sync"/>
    <d v="2025-07-04T00:00:00"/>
    <m/>
    <n v="893.30334836956524"/>
    <n v="893.30334836956524"/>
    <x v="0"/>
  </r>
  <r>
    <n v="439582"/>
    <x v="4"/>
    <n v="54987"/>
    <x v="10"/>
    <s v="Работа"/>
    <d v="2025-07-02T00:00:00"/>
    <n v="8"/>
    <n v="8"/>
    <s v="Нерезидент компания + иностранное авто"/>
    <d v="2025-07-16T00:00:00"/>
    <m/>
    <n v="1374.3128434782609"/>
    <n v="10994.502747826087"/>
    <x v="0"/>
  </r>
  <r>
    <n v="442412"/>
    <x v="1"/>
    <n v="13970"/>
    <x v="9"/>
    <s v="Внутренняя деятельность"/>
    <d v="2025-07-02T00:00:00"/>
    <n v="2"/>
    <n v="2"/>
    <s v="Мобильная разработка под Apple"/>
    <d v="2025-07-24T00:00:00"/>
    <m/>
    <n v="1717.8910543478262"/>
    <n v="3435.7821086956524"/>
    <x v="0"/>
  </r>
  <r>
    <n v="442419"/>
    <x v="4"/>
    <n v="54992"/>
    <x v="9"/>
    <s v="Работа"/>
    <d v="2025-07-02T00:00:00"/>
    <n v="3"/>
    <n v="3"/>
    <s v="_x0009_Task #3006: Изменение логики расчета периода действия + _x0009_Task #3005: Доработка изменений по блоку автомобиле"/>
    <d v="2025-07-24T00:00:00"/>
    <m/>
    <n v="1717.8910543478262"/>
    <n v="5153.6731630434788"/>
    <x v="0"/>
  </r>
  <r>
    <n v="442421"/>
    <x v="4"/>
    <n v="55000"/>
    <x v="9"/>
    <s v="Работа"/>
    <d v="2025-07-02T00:00:00"/>
    <n v="3"/>
    <n v="3"/>
    <s v="_x0009_Task #2992: Адаптация раздела заявки для отображения новой информации по заявке (нерезидент ОГПО ВТС ФИЗ/ЮР)"/>
    <d v="2025-07-24T00:00:00"/>
    <m/>
    <n v="1717.8910543478262"/>
    <n v="5153.6731630434788"/>
    <x v="0"/>
  </r>
  <r>
    <n v="435581"/>
    <x v="0"/>
    <n v="55618"/>
    <x v="0"/>
    <s v="Работа"/>
    <d v="2025-07-02T00:00:00"/>
    <n v="2"/>
    <n v="2"/>
    <s v="Доисследование по грузоместам, обсуждение вариантов с Лидией"/>
    <d v="2025-07-04T00:00:00"/>
    <m/>
    <n v="1924.0379809782607"/>
    <n v="3848.0759619565215"/>
    <x v="0"/>
  </r>
  <r>
    <n v="438969"/>
    <x v="0"/>
    <n v="56013"/>
    <x v="0"/>
    <s v="Работа"/>
    <d v="2025-07-02T00:00:00"/>
    <n v="0.75"/>
    <n v="0.75"/>
    <s v="дейлик"/>
    <d v="2025-07-14T00:00:00"/>
    <m/>
    <n v="1924.0379809782607"/>
    <n v="1443.0284857336956"/>
    <x v="0"/>
  </r>
  <r>
    <n v="435993"/>
    <x v="4"/>
    <n v="54975"/>
    <x v="3"/>
    <s v="Работа"/>
    <d v="2025-07-01T00:00:00"/>
    <n v="8"/>
    <n v="8"/>
    <s v="Добавление даты рождения в эндпоинты и сервисы"/>
    <d v="2025-07-04T00:00:00"/>
    <m/>
    <n v="893.30334836956524"/>
    <n v="7146.4267869565219"/>
    <x v="0"/>
  </r>
  <r>
    <n v="439581"/>
    <x v="4"/>
    <n v="54987"/>
    <x v="10"/>
    <s v="Работа"/>
    <d v="2025-07-01T00:00:00"/>
    <n v="8"/>
    <n v="8"/>
    <s v="Нерезидент компания + иностранное авто"/>
    <d v="2025-07-16T00:00:00"/>
    <m/>
    <n v="1374.3128434782609"/>
    <n v="10994.502747826087"/>
    <x v="0"/>
  </r>
  <r>
    <n v="442422"/>
    <x v="4"/>
    <n v="54994"/>
    <x v="9"/>
    <s v="Работа"/>
    <d v="2025-07-01T00:00:00"/>
    <n v="1"/>
    <n v="1"/>
    <s v="_x0009_Task #2992: Адаптация раздела заявки для отображения новой информации по заявке (нерезидент ОГПО ВТС ФИЗ/ЮР)"/>
    <d v="2025-07-24T00:00:00"/>
    <m/>
    <n v="1717.8910543478262"/>
    <n v="1717.8910543478262"/>
    <x v="0"/>
  </r>
  <r>
    <n v="442423"/>
    <x v="4"/>
    <n v="55001"/>
    <x v="9"/>
    <s v="Работа"/>
    <d v="2025-07-01T00:00:00"/>
    <n v="4"/>
    <n v="4"/>
    <s v="_x0009_Task #2993: Адаптация раздела договора для отображения договора по с новой информацией по заявке (нерезидент ОГПО ВТС ФИЗ/ЮР)"/>
    <d v="2025-07-24T00:00:00"/>
    <m/>
    <n v="1717.8910543478262"/>
    <n v="6871.5642173913047"/>
    <x v="0"/>
  </r>
  <r>
    <n v="442424"/>
    <x v="4"/>
    <n v="54994"/>
    <x v="9"/>
    <s v="Работа"/>
    <d v="2025-07-01T00:00:00"/>
    <n v="3"/>
    <n v="3"/>
    <s v="_x0009_Task #2994: Адаптация раздела заявки для отображения ее компла"/>
    <d v="2025-07-24T00:00:00"/>
    <m/>
    <n v="1717.8910543478262"/>
    <n v="5153.6731630434788"/>
    <x v="0"/>
  </r>
  <r>
    <n v="435579"/>
    <x v="0"/>
    <n v="55618"/>
    <x v="0"/>
    <s v="Работа"/>
    <d v="2025-07-01T00:00:00"/>
    <n v="6"/>
    <n v="6"/>
    <s v="Создаем окна по ТЗ-16. Исследуем вопрос с размещением данных о грузоместе"/>
    <d v="2025-07-04T00:00:00"/>
    <m/>
    <n v="1924.0379809782607"/>
    <n v="11544.227885869564"/>
    <x v="0"/>
  </r>
  <r>
    <n v="438967"/>
    <x v="0"/>
    <n v="56013"/>
    <x v="0"/>
    <s v="Работа"/>
    <d v="2025-07-01T00:00:00"/>
    <n v="0.75"/>
    <n v="0.75"/>
    <s v="дейлик"/>
    <d v="2025-07-14T00:00:00"/>
    <m/>
    <n v="1924.0379809782607"/>
    <n v="1443.0284857336956"/>
    <x v="0"/>
  </r>
  <r>
    <n v="435976"/>
    <x v="2"/>
    <n v="33"/>
    <x v="3"/>
    <s v="Внутренняя деятельность"/>
    <d v="2025-06-30T00:00:00"/>
    <n v="1"/>
    <n v="1"/>
    <s v="CustomDev Daily Sync"/>
    <d v="2025-07-04T00:00:00"/>
    <m/>
    <n v="1081.3672111842104"/>
    <n v="1081.3672111842104"/>
    <x v="1"/>
  </r>
  <r>
    <n v="439580"/>
    <x v="4"/>
    <n v="54987"/>
    <x v="10"/>
    <s v="Работа"/>
    <d v="2025-06-30T00:00:00"/>
    <n v="8"/>
    <n v="8"/>
    <s v="Нерезидент компания + иностранное авто"/>
    <d v="2025-07-16T00:00:00"/>
    <m/>
    <n v="1663.6418631578947"/>
    <n v="13309.134905263158"/>
    <x v="1"/>
  </r>
  <r>
    <n v="442425"/>
    <x v="6"/>
    <n v="54460"/>
    <x v="9"/>
    <s v="Работа"/>
    <d v="2025-06-30T00:00:00"/>
    <n v="4"/>
    <n v="4"/>
    <s v="настройка инфры"/>
    <d v="2025-07-24T00:00:00"/>
    <m/>
    <n v="2079.5523289473686"/>
    <n v="8318.2093157894742"/>
    <x v="1"/>
  </r>
  <r>
    <n v="433994"/>
    <x v="6"/>
    <n v="54720"/>
    <x v="13"/>
    <s v="Работа"/>
    <d v="2025-06-30T00:00:00"/>
    <n v="1.5"/>
    <n v="1.5"/>
    <s v="траблшутинг, разворачивание бека для коннекта"/>
    <d v="2025-07-01T00:00:00"/>
    <m/>
    <n v="1418"/>
    <n v="2127"/>
    <x v="1"/>
  </r>
  <r>
    <n v="433995"/>
    <x v="1"/>
    <n v="13969"/>
    <x v="13"/>
    <s v="Внутренняя деятельность"/>
    <d v="2025-06-30T00:00:00"/>
    <n v="0.5"/>
    <n v="0.5"/>
    <s v="ежедейл"/>
    <d v="2025-07-01T00:00:00"/>
    <m/>
    <n v="1418"/>
    <n v="709"/>
    <x v="1"/>
  </r>
  <r>
    <n v="434517"/>
    <x v="8"/>
    <n v="55472"/>
    <x v="4"/>
    <s v="Работа"/>
    <d v="2025-06-30T00:00:00"/>
    <n v="136"/>
    <n v="136"/>
    <s v="R&amp;amp;D"/>
    <d v="2025-07-02T00:00:00"/>
    <m/>
    <n v="1247.7313973684211"/>
    <n v="169691.47004210527"/>
    <x v="1"/>
  </r>
  <r>
    <n v="434518"/>
    <x v="1"/>
    <n v="13970"/>
    <x v="4"/>
    <s v="Внутренняя деятельность"/>
    <d v="2025-06-30T00:00:00"/>
    <n v="16"/>
    <n v="16"/>
    <s v="-"/>
    <d v="2025-07-02T00:00:00"/>
    <m/>
    <n v="1247.7313973684211"/>
    <n v="19963.702357894737"/>
    <x v="1"/>
  </r>
  <r>
    <n v="432238"/>
    <x v="4"/>
    <n v="54991"/>
    <x v="9"/>
    <s v="Работа"/>
    <d v="2025-06-30T00:00:00"/>
    <n v="4"/>
    <n v="4"/>
    <s v="Исправление замечаний и не точностей"/>
    <d v="2025-06-27T00:00:00"/>
    <m/>
    <n v="2079.5523289473686"/>
    <n v="8318.2093157894742"/>
    <x v="1"/>
  </r>
  <r>
    <n v="435578"/>
    <x v="0"/>
    <n v="55618"/>
    <x v="0"/>
    <s v="Работа"/>
    <d v="2025-06-30T00:00:00"/>
    <n v="6"/>
    <n v="6"/>
    <s v="Погруждение в проект, освежаем в памяти все моменты разработки. Исследуем ТЗ-16"/>
    <d v="2025-07-04T00:00:00"/>
    <m/>
    <n v="2329.0986085526315"/>
    <n v="13974.59165131579"/>
    <x v="1"/>
  </r>
  <r>
    <n v="434634"/>
    <x v="9"/>
    <n v="51251"/>
    <x v="12"/>
    <s v="Работа"/>
    <d v="2025-06-30T00:00:00"/>
    <n v="43"/>
    <n v="43"/>
    <s v="R&amp;amp;D"/>
    <d v="2025-07-02T00:00:00"/>
    <m/>
    <n v="1380"/>
    <n v="59340"/>
    <x v="1"/>
  </r>
  <r>
    <n v="434635"/>
    <x v="6"/>
    <n v="54720"/>
    <x v="12"/>
    <s v="Работа"/>
    <d v="2025-06-30T00:00:00"/>
    <n v="81"/>
    <n v="81"/>
    <s v="R&amp;amp;D"/>
    <d v="2025-07-02T00:00:00"/>
    <m/>
    <n v="1380"/>
    <n v="111780"/>
    <x v="1"/>
  </r>
  <r>
    <n v="432883"/>
    <x v="8"/>
    <n v="54433"/>
    <x v="16"/>
    <s v="Работа"/>
    <d v="2025-06-30T00:00:00"/>
    <n v="8"/>
    <n v="8"/>
    <s v="Подробности в ОР"/>
    <d v="2025-06-30T00:00:00"/>
    <m/>
    <n v="1247.7313973684211"/>
    <n v="9981.8511789473687"/>
    <x v="1"/>
  </r>
  <r>
    <n v="433993"/>
    <x v="6"/>
    <n v="54720"/>
    <x v="13"/>
    <s v="Работа"/>
    <d v="2025-06-29T00:00:00"/>
    <n v="1.5"/>
    <n v="1.5"/>
    <s v="траблшутинг, разворачивание бека для коннекта"/>
    <d v="2025-07-01T00:00:00"/>
    <m/>
    <n v="1418"/>
    <n v="2127"/>
    <x v="1"/>
  </r>
  <r>
    <n v="435300"/>
    <x v="1"/>
    <n v="13969"/>
    <x v="8"/>
    <s v="Внутренняя деятельность"/>
    <d v="2025-06-29T00:00:00"/>
    <n v="3"/>
    <n v="3"/>
    <s v="backend: доработка dgraph-wrapper, выделение процедур валидации из подготовки схемы"/>
    <d v="2025-07-03T00:00:00"/>
    <m/>
    <n v="1247.7313973684211"/>
    <n v="3743.194192105263"/>
    <x v="1"/>
  </r>
  <r>
    <n v="435299"/>
    <x v="1"/>
    <n v="13969"/>
    <x v="8"/>
    <s v="Внутренняя деятельность"/>
    <d v="2025-06-28T00:00:00"/>
    <n v="5"/>
    <n v="5"/>
    <s v="backend: доработка dgraph-wrapper, выделение процедур валидации из подготовки схемы"/>
    <d v="2025-07-03T00:00:00"/>
    <m/>
    <n v="1247.7313973684211"/>
    <n v="6238.6569868421057"/>
    <x v="1"/>
  </r>
  <r>
    <n v="438688"/>
    <x v="12"/>
    <n v="54582"/>
    <x v="5"/>
    <s v="Работа"/>
    <d v="2025-06-28T00:00:00"/>
    <n v="10"/>
    <n v="10"/>
    <s v="Test"/>
    <d v="2025-07-14T00:00:00"/>
    <m/>
    <n v="499.09255921052636"/>
    <n v="4990.9255921052636"/>
    <x v="1"/>
  </r>
  <r>
    <n v="432440"/>
    <x v="1"/>
    <n v="13969"/>
    <x v="13"/>
    <s v="Внутренняя деятельность"/>
    <d v="2025-06-27T00:00:00"/>
    <n v="0.5"/>
    <n v="0.5"/>
    <s v="ежедейл"/>
    <d v="2025-06-29T00:00:00"/>
    <m/>
    <n v="1418"/>
    <n v="709"/>
    <x v="1"/>
  </r>
  <r>
    <n v="432698"/>
    <x v="6"/>
    <n v="52109"/>
    <x v="11"/>
    <s v="Работа"/>
    <d v="2025-06-27T00:00:00"/>
    <n v="1"/>
    <n v="1"/>
    <s v="Внутренний синк"/>
    <d v="2025-06-30T00:00:00"/>
    <m/>
    <n v="665.45674539473691"/>
    <n v="665.45674539473691"/>
    <x v="1"/>
  </r>
  <r>
    <n v="432443"/>
    <x v="1"/>
    <n v="13969"/>
    <x v="13"/>
    <s v="Внутренняя деятельность"/>
    <d v="2025-06-27T00:00:00"/>
    <n v="2"/>
    <n v="2"/>
    <s v="Коннект. Мит команды бек+фронт по работе беком локально"/>
    <d v="2025-06-29T00:00:00"/>
    <m/>
    <n v="1418"/>
    <n v="2836"/>
    <x v="1"/>
  </r>
  <r>
    <n v="432702"/>
    <x v="0"/>
    <n v="55528"/>
    <x v="0"/>
    <s v="Работа"/>
    <d v="2025-06-27T00:00:00"/>
    <n v="3"/>
    <n v="3"/>
    <s v="Подготовка к интервью, проведение к интервью, обсуждение результатов интервью с коллегами и подготовка отчета"/>
    <d v="2025-06-30T00:00:00"/>
    <m/>
    <n v="2329.0986085526315"/>
    <n v="6987.295825657895"/>
    <x v="1"/>
  </r>
  <r>
    <n v="432707"/>
    <x v="6"/>
    <n v="54722"/>
    <x v="11"/>
    <s v="Работа"/>
    <d v="2025-06-27T00:00:00"/>
    <n v="3"/>
    <n v="3"/>
    <s v="Создание сервиса &quot;меню&quot;"/>
    <d v="2025-06-30T00:00:00"/>
    <m/>
    <n v="665.45674539473691"/>
    <n v="1996.3702361842106"/>
    <x v="1"/>
  </r>
  <r>
    <n v="432709"/>
    <x v="9"/>
    <n v="51263"/>
    <x v="11"/>
    <s v="Работа"/>
    <d v="2025-06-27T00:00:00"/>
    <n v="1.5"/>
    <n v="1.5"/>
    <s v="Синк по интеграции системы лояльности с MAXMA"/>
    <d v="2025-06-30T00:00:00"/>
    <m/>
    <n v="665.45674539473691"/>
    <n v="998.18511809210531"/>
    <x v="1"/>
  </r>
  <r>
    <n v="431945"/>
    <x v="6"/>
    <n v="54721"/>
    <x v="14"/>
    <s v="Работа"/>
    <d v="2025-06-27T00:00:00"/>
    <n v="0.5"/>
    <n v="0.5"/>
    <s v="ревью"/>
    <d v="2025-06-27T00:00:00"/>
    <m/>
    <n v="1871.5970960526315"/>
    <n v="935.79854802631576"/>
    <x v="1"/>
  </r>
  <r>
    <n v="432201"/>
    <x v="1"/>
    <n v="13970"/>
    <x v="7"/>
    <s v="Внутренняя деятельность"/>
    <d v="2025-06-27T00:00:00"/>
    <n v="8"/>
    <n v="8"/>
    <s v="работы связанные с аналитикой и спецификацией в проекте ЖКХ"/>
    <d v="2025-06-27T00:00:00"/>
    <m/>
    <n v="1996.3702361842106"/>
    <n v="15970.961889473685"/>
    <x v="1"/>
  </r>
  <r>
    <n v="435298"/>
    <x v="1"/>
    <n v="13969"/>
    <x v="8"/>
    <s v="Внутренняя деятельность"/>
    <d v="2025-06-27T00:00:00"/>
    <n v="2"/>
    <n v="2"/>
    <s v="backend: доработка dgraph-wrapper, выделение процедур валидации из подготовки схемы"/>
    <d v="2025-07-03T00:00:00"/>
    <m/>
    <n v="1247.7313973684211"/>
    <n v="2495.4627947368422"/>
    <x v="1"/>
  </r>
  <r>
    <n v="432237"/>
    <x v="4"/>
    <n v="54991"/>
    <x v="9"/>
    <s v="Работа"/>
    <d v="2025-06-27T00:00:00"/>
    <n v="4"/>
    <n v="4"/>
    <s v="Исправление замечаний и не точностей"/>
    <d v="2025-06-27T00:00:00"/>
    <m/>
    <n v="2079.5523289473686"/>
    <n v="8318.2093157894742"/>
    <x v="1"/>
  </r>
  <r>
    <n v="432519"/>
    <x v="6"/>
    <n v="54722"/>
    <x v="14"/>
    <s v="Работа"/>
    <d v="2025-06-27T00:00:00"/>
    <n v="6"/>
    <n v="6"/>
    <s v="бек интеграция, регионы, элементы, аддминка"/>
    <d v="2025-06-30T00:00:00"/>
    <m/>
    <n v="1871.5970960526315"/>
    <n v="11229.582576315788"/>
    <x v="1"/>
  </r>
  <r>
    <n v="432554"/>
    <x v="9"/>
    <n v="55516"/>
    <x v="0"/>
    <s v="Работа"/>
    <d v="2025-06-27T00:00:00"/>
    <n v="8"/>
    <n v="8"/>
    <s v="Проектирование фичи, декомпозиция, обсуждение с командой"/>
    <d v="2025-06-30T00:00:00"/>
    <m/>
    <n v="2329.0986085526315"/>
    <n v="18632.788868421052"/>
    <x v="1"/>
  </r>
  <r>
    <n v="432062"/>
    <x v="6"/>
    <n v="52109"/>
    <x v="14"/>
    <s v="Работа"/>
    <d v="2025-06-27T00:00:00"/>
    <n v="1"/>
    <n v="1"/>
    <s v="Созвон с фронтом, синхронизировались, собрали"/>
    <d v="2025-06-27T00:00:00"/>
    <m/>
    <n v="1871.5970960526315"/>
    <n v="1871.5970960526315"/>
    <x v="1"/>
  </r>
  <r>
    <n v="432831"/>
    <x v="4"/>
    <n v="54992"/>
    <x v="3"/>
    <s v="Работа"/>
    <d v="2025-06-27T00:00:00"/>
    <n v="7"/>
    <n v="7"/>
    <s v="Фикс возникшего бага"/>
    <d v="2025-06-30T00:00:00"/>
    <m/>
    <n v="1081.3672111842104"/>
    <n v="7569.5704782894727"/>
    <x v="1"/>
  </r>
  <r>
    <n v="432839"/>
    <x v="8"/>
    <n v="54430"/>
    <x v="16"/>
    <s v="Работа"/>
    <d v="2025-06-27T00:00:00"/>
    <n v="1"/>
    <n v="1"/>
    <s v="Сессия вопросов и ответов"/>
    <d v="2025-06-30T00:00:00"/>
    <m/>
    <n v="1247.7313973684211"/>
    <n v="1247.7313973684211"/>
    <x v="1"/>
  </r>
  <r>
    <n v="432840"/>
    <x v="8"/>
    <n v="54431"/>
    <x v="16"/>
    <s v="Работа"/>
    <d v="2025-06-27T00:00:00"/>
    <n v="2.5"/>
    <n v="2.5"/>
    <s v="Обсуждение внутри команды Реестра собственников + Дейлик"/>
    <d v="2025-06-30T00:00:00"/>
    <m/>
    <n v="1247.7313973684211"/>
    <n v="3119.3284934210528"/>
    <x v="1"/>
  </r>
  <r>
    <n v="432841"/>
    <x v="8"/>
    <n v="54433"/>
    <x v="16"/>
    <s v="Работа"/>
    <d v="2025-06-27T00:00:00"/>
    <n v="4.5"/>
    <n v="4.5"/>
    <s v="Подробности в ОР"/>
    <d v="2025-06-30T00:00:00"/>
    <m/>
    <n v="1247.7313973684211"/>
    <n v="5614.791288157895"/>
    <x v="1"/>
  </r>
  <r>
    <n v="439046"/>
    <x v="2"/>
    <n v="29"/>
    <x v="11"/>
    <s v="Внутренняя деятельность"/>
    <d v="2025-06-26T00:00:00"/>
    <n v="42"/>
    <n v="42"/>
    <s v="-"/>
    <d v="2025-07-14T00:00:00"/>
    <m/>
    <n v="665.45674539473691"/>
    <n v="27949.183306578951"/>
    <x v="1"/>
  </r>
  <r>
    <n v="431943"/>
    <x v="6"/>
    <n v="54721"/>
    <x v="14"/>
    <s v="Работа"/>
    <d v="2025-06-26T00:00:00"/>
    <n v="0.5"/>
    <n v="0.5"/>
    <s v="Ревью кода Льва"/>
    <d v="2025-06-27T00:00:00"/>
    <m/>
    <n v="1871.5970960526315"/>
    <n v="935.79854802631576"/>
    <x v="1"/>
  </r>
  <r>
    <n v="432200"/>
    <x v="1"/>
    <n v="13970"/>
    <x v="7"/>
    <s v="Внутренняя деятельность"/>
    <d v="2025-06-26T00:00:00"/>
    <n v="8"/>
    <n v="8"/>
    <s v="работы связанные с аналитикой и спецификацией в проекте ЖКХ"/>
    <d v="2025-06-27T00:00:00"/>
    <m/>
    <n v="1996.3702361842106"/>
    <n v="15970.961889473685"/>
    <x v="1"/>
  </r>
  <r>
    <n v="432716"/>
    <x v="6"/>
    <n v="54722"/>
    <x v="11"/>
    <s v="Работа"/>
    <d v="2025-06-26T00:00:00"/>
    <n v="8"/>
    <n v="8"/>
    <s v="Создание сервиса &quot;меню&quot;, написание спеки"/>
    <d v="2025-06-30T00:00:00"/>
    <m/>
    <n v="665.45674539473691"/>
    <n v="5323.6539631578953"/>
    <x v="1"/>
  </r>
  <r>
    <n v="431705"/>
    <x v="8"/>
    <n v="54433"/>
    <x v="16"/>
    <s v="Работа"/>
    <d v="2025-06-26T00:00:00"/>
    <n v="8"/>
    <n v="8"/>
    <s v="Подробности в ОР"/>
    <d v="2025-06-26T00:00:00"/>
    <m/>
    <n v="1247.7313973684211"/>
    <n v="9981.8511789473687"/>
    <x v="1"/>
  </r>
  <r>
    <n v="435296"/>
    <x v="1"/>
    <n v="13969"/>
    <x v="8"/>
    <s v="Внутренняя деятельность"/>
    <d v="2025-06-26T00:00:00"/>
    <n v="4"/>
    <n v="4"/>
    <s v="backend: UC-2.34 доработка в dgraph-wrapper генерация полей во вложенных сущностях"/>
    <d v="2025-07-03T00:00:00"/>
    <m/>
    <n v="1247.7313973684211"/>
    <n v="4990.9255894736843"/>
    <x v="1"/>
  </r>
  <r>
    <n v="435297"/>
    <x v="1"/>
    <n v="13969"/>
    <x v="8"/>
    <s v="Внутренняя деятельность"/>
    <d v="2025-06-26T00:00:00"/>
    <n v="1"/>
    <n v="1"/>
    <s v="Обсуждение проблем с ORM и путей решения"/>
    <d v="2025-07-03T00:00:00"/>
    <m/>
    <n v="1247.7313973684211"/>
    <n v="1247.7313973684211"/>
    <x v="1"/>
  </r>
  <r>
    <n v="432236"/>
    <x v="4"/>
    <n v="54990"/>
    <x v="9"/>
    <s v="Работа"/>
    <d v="2025-06-26T00:00:00"/>
    <n v="4"/>
    <n v="4"/>
    <s v="Локальное тестирование разработанного ф"/>
    <d v="2025-06-27T00:00:00"/>
    <m/>
    <n v="2079.5523289473686"/>
    <n v="8318.2093157894742"/>
    <x v="1"/>
  </r>
  <r>
    <n v="432518"/>
    <x v="6"/>
    <n v="54722"/>
    <x v="14"/>
    <s v="Работа"/>
    <d v="2025-06-26T00:00:00"/>
    <n v="5"/>
    <n v="5"/>
    <s v="Бек интеграция, страницы, меню"/>
    <d v="2025-06-30T00:00:00"/>
    <m/>
    <n v="1871.5970960526315"/>
    <n v="9357.985480263158"/>
    <x v="1"/>
  </r>
  <r>
    <n v="430987"/>
    <x v="2"/>
    <n v="17"/>
    <x v="15"/>
    <s v="Внутренняя деятельность"/>
    <d v="2025-06-26T00:00:00"/>
    <n v="8"/>
    <n v="8"/>
    <s v="Учебный отпуск."/>
    <d v="2025-06-24T00:00:00"/>
    <m/>
    <n v="415.91046578947368"/>
    <n v="3327.2837263157894"/>
    <x v="1"/>
  </r>
  <r>
    <n v="432528"/>
    <x v="9"/>
    <n v="55516"/>
    <x v="0"/>
    <s v="Работа"/>
    <d v="2025-06-26T00:00:00"/>
    <n v="8"/>
    <n v="8"/>
    <s v="Исследование фичи, сбор требований"/>
    <d v="2025-06-30T00:00:00"/>
    <m/>
    <n v="2329.0986085526315"/>
    <n v="18632.788868421052"/>
    <x v="1"/>
  </r>
  <r>
    <n v="432832"/>
    <x v="4"/>
    <n v="54992"/>
    <x v="3"/>
    <s v="Работа"/>
    <d v="2025-06-26T00:00:00"/>
    <n v="8"/>
    <n v="8"/>
    <s v="Изменение проверок дат"/>
    <d v="2025-06-30T00:00:00"/>
    <m/>
    <n v="1081.3672111842104"/>
    <n v="8650.9376894736833"/>
    <x v="1"/>
  </r>
  <r>
    <n v="436686"/>
    <x v="2"/>
    <n v="17"/>
    <x v="2"/>
    <s v="Внутренняя деятельность"/>
    <d v="2025-06-26T00:00:00"/>
    <n v="64"/>
    <n v="64"/>
    <s v="-"/>
    <d v="2025-07-08T00:00:00"/>
    <m/>
    <n v="831.82093157894735"/>
    <n v="53236.539621052631"/>
    <x v="1"/>
  </r>
  <r>
    <n v="439025"/>
    <x v="0"/>
    <n v="53425"/>
    <x v="0"/>
    <s v="Работа"/>
    <d v="2025-06-26T00:00:00"/>
    <n v="2"/>
    <n v="2"/>
    <s v="-"/>
    <d v="2025-07-14T00:00:00"/>
    <m/>
    <n v="2329.0986085526315"/>
    <n v="4658.197217105263"/>
    <x v="1"/>
  </r>
  <r>
    <n v="432441"/>
    <x v="1"/>
    <n v="13969"/>
    <x v="13"/>
    <s v="Внутренняя деятельность"/>
    <d v="2025-06-25T00:00:00"/>
    <n v="0.5"/>
    <n v="0.5"/>
    <s v="ежедейл"/>
    <d v="2025-06-29T00:00:00"/>
    <m/>
    <n v="1418"/>
    <n v="709"/>
    <x v="1"/>
  </r>
  <r>
    <n v="432199"/>
    <x v="1"/>
    <n v="13970"/>
    <x v="7"/>
    <s v="Внутренняя деятельность"/>
    <d v="2025-06-25T00:00:00"/>
    <n v="8"/>
    <n v="8"/>
    <s v="работы связанные с аналитикой и спецификацией в проекте ЖКХ"/>
    <d v="2025-06-27T00:00:00"/>
    <m/>
    <n v="1996.3702361842106"/>
    <n v="15970.961889473685"/>
    <x v="1"/>
  </r>
  <r>
    <n v="432461"/>
    <x v="6"/>
    <n v="54720"/>
    <x v="13"/>
    <s v="Работа"/>
    <d v="2025-06-25T00:00:00"/>
    <n v="6"/>
    <n v="6"/>
    <n v="2711"/>
    <d v="2025-06-29T00:00:00"/>
    <m/>
    <n v="1418"/>
    <n v="8508"/>
    <x v="1"/>
  </r>
  <r>
    <n v="432726"/>
    <x v="6"/>
    <n v="54722"/>
    <x v="11"/>
    <s v="Работа"/>
    <d v="2025-06-25T00:00:00"/>
    <n v="5"/>
    <n v="5"/>
    <s v="Создание сервиса &quot;меню&quot;. Исследование проекта"/>
    <d v="2025-06-30T00:00:00"/>
    <m/>
    <n v="665.45674539473691"/>
    <n v="3327.2837269736847"/>
    <x v="1"/>
  </r>
  <r>
    <n v="431706"/>
    <x v="8"/>
    <n v="54433"/>
    <x v="16"/>
    <s v="Работа"/>
    <d v="2025-06-25T00:00:00"/>
    <n v="2"/>
    <n v="2"/>
    <s v="Вкладка Контакты"/>
    <d v="2025-06-26T00:00:00"/>
    <m/>
    <n v="1247.7313973684211"/>
    <n v="2495.4627947368422"/>
    <x v="1"/>
  </r>
  <r>
    <n v="435290"/>
    <x v="1"/>
    <n v="13969"/>
    <x v="8"/>
    <s v="Внутренняя деятельность"/>
    <d v="2025-06-25T00:00:00"/>
    <n v="2"/>
    <n v="2"/>
    <s v="Созвон с командой, обсуждение решения проблем ORM"/>
    <d v="2025-07-03T00:00:00"/>
    <m/>
    <n v="1247.7313973684211"/>
    <n v="2495.4627947368422"/>
    <x v="1"/>
  </r>
  <r>
    <n v="431707"/>
    <x v="8"/>
    <n v="54431"/>
    <x v="16"/>
    <s v="Работа"/>
    <d v="2025-06-25T00:00:00"/>
    <n v="3.5"/>
    <n v="3.5"/>
    <s v="Обсуждение создание Организации, Дейлик"/>
    <d v="2025-06-26T00:00:00"/>
    <m/>
    <n v="1247.7313973684211"/>
    <n v="4367.0598907894737"/>
    <x v="1"/>
  </r>
  <r>
    <n v="435291"/>
    <x v="1"/>
    <n v="13969"/>
    <x v="8"/>
    <s v="Внутренняя деятельность"/>
    <d v="2025-06-25T00:00:00"/>
    <n v="7"/>
    <n v="7"/>
    <s v="Финальная доработка, проверка и идентификация проблем dgraph"/>
    <d v="2025-07-03T00:00:00"/>
    <m/>
    <n v="1247.7313973684211"/>
    <n v="8734.1197815789474"/>
    <x v="1"/>
  </r>
  <r>
    <n v="432735"/>
    <x v="6"/>
    <n v="52109"/>
    <x v="11"/>
    <s v="Работа"/>
    <d v="2025-06-25T00:00:00"/>
    <n v="1"/>
    <n v="1"/>
    <s v="Синк с Вадимом по проекту"/>
    <d v="2025-06-30T00:00:00"/>
    <m/>
    <n v="665.45674539473691"/>
    <n v="665.45674539473691"/>
    <x v="1"/>
  </r>
  <r>
    <n v="432232"/>
    <x v="4"/>
    <n v="54990"/>
    <x v="9"/>
    <s v="Работа"/>
    <d v="2025-06-25T00:00:00"/>
    <n v="4"/>
    <n v="4"/>
    <s v="#54990 - Локальное тестирование разработанного функционала FE"/>
    <d v="2025-06-27T00:00:00"/>
    <m/>
    <n v="2079.5523289473686"/>
    <n v="8318.2093157894742"/>
    <x v="1"/>
  </r>
  <r>
    <n v="430986"/>
    <x v="2"/>
    <n v="17"/>
    <x v="15"/>
    <s v="Внутренняя деятельность"/>
    <d v="2025-06-25T00:00:00"/>
    <n v="8"/>
    <n v="8"/>
    <s v="Учебный отпуск."/>
    <d v="2025-06-24T00:00:00"/>
    <m/>
    <n v="415.91046578947368"/>
    <n v="3327.2837263157894"/>
    <x v="1"/>
  </r>
  <r>
    <n v="431269"/>
    <x v="6"/>
    <n v="52109"/>
    <x v="14"/>
    <s v="Работа"/>
    <d v="2025-06-25T00:00:00"/>
    <n v="6"/>
    <n v="6"/>
    <s v="Созвон со Львом, проставил задачу рассказал как все работает"/>
    <d v="2025-06-25T00:00:00"/>
    <m/>
    <n v="1871.5970960526315"/>
    <n v="11229.582576315788"/>
    <x v="1"/>
  </r>
  <r>
    <n v="432833"/>
    <x v="4"/>
    <n v="54992"/>
    <x v="3"/>
    <s v="Работа"/>
    <d v="2025-06-25T00:00:00"/>
    <n v="7"/>
    <n v="7"/>
    <s v="Изменение проверок дат"/>
    <d v="2025-06-30T00:00:00"/>
    <m/>
    <n v="1081.3672111842104"/>
    <n v="7569.5704782894727"/>
    <x v="1"/>
  </r>
  <r>
    <n v="434625"/>
    <x v="2"/>
    <n v="29"/>
    <x v="5"/>
    <s v="Внутренняя деятельность"/>
    <d v="2025-06-25T00:00:00"/>
    <n v="142"/>
    <n v="142"/>
    <s v="-"/>
    <d v="2025-07-02T00:00:00"/>
    <m/>
    <n v="499.09255921052636"/>
    <n v="70871.14340789475"/>
    <x v="1"/>
  </r>
  <r>
    <n v="432853"/>
    <x v="8"/>
    <n v="54433"/>
    <x v="16"/>
    <s v="Работа"/>
    <d v="2025-06-25T00:00:00"/>
    <n v="2"/>
    <n v="2"/>
    <s v="Подробная карточка Организации"/>
    <d v="2025-06-30T00:00:00"/>
    <m/>
    <n v="1247.7313973684211"/>
    <n v="2495.4627947368422"/>
    <x v="1"/>
  </r>
  <r>
    <n v="430915"/>
    <x v="1"/>
    <n v="13969"/>
    <x v="8"/>
    <s v="Внутренняя деятельность"/>
    <d v="2025-06-24T00:00:00"/>
    <n v="8"/>
    <n v="8"/>
    <s v="backend: UC-2.34 доработка в dgraph-wrapper генерация полей во вложенных сущностях"/>
    <d v="2025-06-24T00:00:00"/>
    <m/>
    <n v="1247.7313973684211"/>
    <n v="9981.8511789473687"/>
    <x v="1"/>
  </r>
  <r>
    <n v="432198"/>
    <x v="1"/>
    <n v="13970"/>
    <x v="7"/>
    <s v="Внутренняя деятельность"/>
    <d v="2025-06-24T00:00:00"/>
    <n v="8"/>
    <n v="8"/>
    <s v="работы связанные с аналитикой и спецификацией в проекте ЖКХ"/>
    <d v="2025-06-27T00:00:00"/>
    <m/>
    <n v="1996.3702361842106"/>
    <n v="15970.961889473685"/>
    <x v="1"/>
  </r>
  <r>
    <n v="432460"/>
    <x v="6"/>
    <n v="54720"/>
    <x v="13"/>
    <s v="Работа"/>
    <d v="2025-06-24T00:00:00"/>
    <n v="6"/>
    <n v="6"/>
    <n v="2711"/>
    <d v="2025-06-29T00:00:00"/>
    <m/>
    <n v="1418"/>
    <n v="8508"/>
    <x v="1"/>
  </r>
  <r>
    <n v="432230"/>
    <x v="4"/>
    <n v="54988"/>
    <x v="9"/>
    <s v="Работа"/>
    <d v="2025-06-24T00:00:00"/>
    <n v="2"/>
    <n v="2"/>
    <s v="#54988 - Внесение изменение в бизнес логику анкеты в части ЮЛ"/>
    <d v="2025-06-27T00:00:00"/>
    <m/>
    <n v="2079.5523289473686"/>
    <n v="4159.1046578947371"/>
    <x v="1"/>
  </r>
  <r>
    <n v="432231"/>
    <x v="4"/>
    <n v="54989"/>
    <x v="9"/>
    <s v="Работа"/>
    <d v="2025-06-24T00:00:00"/>
    <n v="6"/>
    <n v="6"/>
    <s v="#54989 - Добавление перевода анкет для не резидентов ФЛ/ЮЛ"/>
    <d v="2025-06-27T00:00:00"/>
    <m/>
    <n v="2079.5523289473686"/>
    <n v="12477.313973684211"/>
    <x v="1"/>
  </r>
  <r>
    <n v="432755"/>
    <x v="6"/>
    <n v="54460"/>
    <x v="11"/>
    <s v="Работа"/>
    <d v="2025-06-24T00:00:00"/>
    <n v="7"/>
    <n v="7"/>
    <s v="Изучение проекта"/>
    <d v="2025-06-30T00:00:00"/>
    <m/>
    <n v="665.45674539473691"/>
    <n v="4658.1972177631587"/>
    <x v="1"/>
  </r>
  <r>
    <n v="432516"/>
    <x v="6"/>
    <n v="54460"/>
    <x v="14"/>
    <s v="Работа"/>
    <d v="2025-06-24T00:00:00"/>
    <n v="5"/>
    <n v="5"/>
    <s v="Настройки бека, докеры"/>
    <d v="2025-06-30T00:00:00"/>
    <m/>
    <n v="1871.5970960526315"/>
    <n v="9357.985480263158"/>
    <x v="1"/>
  </r>
  <r>
    <n v="430985"/>
    <x v="2"/>
    <n v="17"/>
    <x v="15"/>
    <s v="Внутренняя деятельность"/>
    <d v="2025-06-24T00:00:00"/>
    <n v="8"/>
    <n v="8"/>
    <s v="Учебный отпуск."/>
    <d v="2025-06-24T00:00:00"/>
    <m/>
    <n v="415.91046578947368"/>
    <n v="3327.2837263157894"/>
    <x v="1"/>
  </r>
  <r>
    <n v="431003"/>
    <x v="8"/>
    <n v="54431"/>
    <x v="16"/>
    <s v="Работа"/>
    <d v="2025-06-24T00:00:00"/>
    <n v="1.5"/>
    <n v="1.5"/>
    <s v="Обсуждение прогресса по аналитике"/>
    <d v="2025-06-24T00:00:00"/>
    <m/>
    <n v="1247.7313973684211"/>
    <n v="1871.5970960526315"/>
    <x v="1"/>
  </r>
  <r>
    <n v="431004"/>
    <x v="8"/>
    <n v="54433"/>
    <x v="16"/>
    <s v="Работа"/>
    <d v="2025-06-24T00:00:00"/>
    <n v="14"/>
    <n v="14"/>
    <s v="Доработка формы создания, журнала и создание подробной карточки (вкладка Общая информация)"/>
    <d v="2025-06-24T00:00:00"/>
    <m/>
    <n v="1247.7313973684211"/>
    <n v="17468.239563157895"/>
    <x v="1"/>
  </r>
  <r>
    <n v="431005"/>
    <x v="8"/>
    <n v="54430"/>
    <x v="16"/>
    <s v="Работа"/>
    <d v="2025-06-24T00:00:00"/>
    <n v="0.5"/>
    <n v="0.5"/>
    <s v="Подготовка ответов на письмо Полины"/>
    <d v="2025-06-24T00:00:00"/>
    <m/>
    <n v="1247.7313973684211"/>
    <n v="623.86569868421054"/>
    <x v="1"/>
  </r>
  <r>
    <n v="432834"/>
    <x v="4"/>
    <n v="54978"/>
    <x v="3"/>
    <s v="Работа"/>
    <d v="2025-06-24T00:00:00"/>
    <n v="6"/>
    <n v="6"/>
    <s v="Исправление формы submissions для случая, когда основной участник резидент, а второй не резидент"/>
    <d v="2025-06-30T00:00:00"/>
    <m/>
    <n v="1081.3672111842104"/>
    <n v="6488.2032671052621"/>
    <x v="1"/>
  </r>
  <r>
    <n v="431056"/>
    <x v="10"/>
    <n v="45135"/>
    <x v="14"/>
    <s v="Работа"/>
    <d v="2025-06-24T00:00:00"/>
    <n v="62"/>
    <n v="62"/>
    <s v="Созвон по текущим задачам"/>
    <d v="2025-06-25T00:00:00"/>
    <m/>
    <n v="1871.5970960526315"/>
    <n v="116039.01995526315"/>
    <x v="1"/>
  </r>
  <r>
    <n v="430592"/>
    <x v="6"/>
    <n v="52109"/>
    <x v="16"/>
    <s v="Работа"/>
    <d v="2025-06-23T00:00:00"/>
    <n v="1"/>
    <n v="1"/>
    <s v="Создание Coockie-баннера"/>
    <d v="2025-06-24T00:00:00"/>
    <m/>
    <n v="1247.7313973684211"/>
    <n v="1247.7313973684211"/>
    <x v="1"/>
  </r>
  <r>
    <n v="432663"/>
    <x v="9"/>
    <n v="55525"/>
    <x v="0"/>
    <s v="Работа"/>
    <d v="2025-06-23T00:00:00"/>
    <n v="2"/>
    <n v="2"/>
    <s v="Встреча с подрядчиками MAXMA"/>
    <d v="2025-06-30T00:00:00"/>
    <m/>
    <n v="2329.0986085526315"/>
    <n v="4658.197217105263"/>
    <x v="1"/>
  </r>
  <r>
    <n v="430648"/>
    <x v="1"/>
    <n v="13969"/>
    <x v="8"/>
    <s v="Внутренняя деятельность"/>
    <d v="2025-06-23T00:00:00"/>
    <n v="0.5"/>
    <n v="0.5"/>
    <s v="Созвон с командой"/>
    <d v="2025-06-24T00:00:00"/>
    <m/>
    <n v="1247.7313973684211"/>
    <n v="623.86569868421054"/>
    <x v="1"/>
  </r>
  <r>
    <n v="430649"/>
    <x v="1"/>
    <n v="13969"/>
    <x v="8"/>
    <s v="Внутренняя деятельность"/>
    <d v="2025-06-23T00:00:00"/>
    <n v="9"/>
    <n v="9"/>
    <s v="backend: UC-2.34 доработка в dgraph-wrapper генерация полей во вложенных сущностях"/>
    <d v="2025-06-24T00:00:00"/>
    <m/>
    <n v="1247.7313973684211"/>
    <n v="11229.58257631579"/>
    <x v="1"/>
  </r>
  <r>
    <n v="430405"/>
    <x v="9"/>
    <n v="52506"/>
    <x v="11"/>
    <s v="Работа"/>
    <d v="2025-06-23T00:00:00"/>
    <n v="1.5"/>
    <n v="1.5"/>
    <s v="Встреча по системе лояльности"/>
    <d v="2025-06-23T00:00:00"/>
    <m/>
    <n v="665.45674539473691"/>
    <n v="998.18511809210531"/>
    <x v="1"/>
  </r>
  <r>
    <n v="432197"/>
    <x v="1"/>
    <n v="13970"/>
    <x v="7"/>
    <s v="Внутренняя деятельность"/>
    <d v="2025-06-23T00:00:00"/>
    <n v="8"/>
    <n v="8"/>
    <s v="работы связанные с аналитикой и спецификацией в проекте ЖКХ"/>
    <d v="2025-06-27T00:00:00"/>
    <m/>
    <n v="1996.3702361842106"/>
    <n v="15970.961889473685"/>
    <x v="1"/>
  </r>
  <r>
    <n v="430406"/>
    <x v="9"/>
    <n v="51263"/>
    <x v="11"/>
    <s v="Работа"/>
    <d v="2025-06-23T00:00:00"/>
    <n v="1"/>
    <n v="1"/>
    <s v="Исследование апи Maxima"/>
    <d v="2025-06-23T00:00:00"/>
    <m/>
    <n v="665.45674539473691"/>
    <n v="665.45674539473691"/>
    <x v="1"/>
  </r>
  <r>
    <n v="430408"/>
    <x v="6"/>
    <n v="54460"/>
    <x v="11"/>
    <s v="Работа"/>
    <d v="2025-06-23T00:00:00"/>
    <n v="5"/>
    <n v="5"/>
    <s v="Исследование"/>
    <d v="2025-06-23T00:00:00"/>
    <m/>
    <n v="665.45674539473691"/>
    <n v="3327.2837269736847"/>
    <x v="1"/>
  </r>
  <r>
    <n v="434514"/>
    <x v="6"/>
    <n v="54720"/>
    <x v="15"/>
    <s v="Работа"/>
    <d v="2025-06-23T00:00:00"/>
    <n v="40"/>
    <n v="40"/>
    <s v="Разработка футера."/>
    <d v="2025-07-02T00:00:00"/>
    <m/>
    <n v="415.91046578947368"/>
    <n v="16636.418631578948"/>
    <x v="1"/>
  </r>
  <r>
    <n v="432515"/>
    <x v="6"/>
    <n v="54460"/>
    <x v="14"/>
    <s v="Работа"/>
    <d v="2025-06-23T00:00:00"/>
    <n v="7.5"/>
    <n v="7.5"/>
    <s v="Настройка инфраструктуры под бек и админку, проблемы с докером"/>
    <d v="2025-06-30T00:00:00"/>
    <m/>
    <n v="1871.5970960526315"/>
    <n v="14036.978220394736"/>
    <x v="1"/>
  </r>
  <r>
    <n v="430984"/>
    <x v="2"/>
    <n v="17"/>
    <x v="15"/>
    <s v="Внутренняя деятельность"/>
    <d v="2025-06-23T00:00:00"/>
    <n v="8"/>
    <n v="8"/>
    <s v="Учебный отпуск."/>
    <d v="2025-06-24T00:00:00"/>
    <m/>
    <n v="415.91046578947368"/>
    <n v="3327.2837263157894"/>
    <x v="1"/>
  </r>
  <r>
    <n v="430488"/>
    <x v="4"/>
    <n v="54978"/>
    <x v="3"/>
    <s v="Работа"/>
    <d v="2025-06-23T00:00:00"/>
    <n v="3"/>
    <n v="3"/>
    <s v="Исправление формы submissions для случая, когда основной участник резидент, а второй не резидент"/>
    <d v="2025-06-24T00:00:00"/>
    <m/>
    <n v="1081.3672111842104"/>
    <n v="3244.101633552631"/>
    <x v="1"/>
  </r>
  <r>
    <n v="430491"/>
    <x v="4"/>
    <n v="54978"/>
    <x v="3"/>
    <s v="Работа"/>
    <d v="2025-06-23T00:00:00"/>
    <n v="54"/>
    <n v="54"/>
    <s v="Исправление выставления дат для не резидентов"/>
    <d v="2025-06-24T00:00:00"/>
    <m/>
    <n v="1081.3672111842104"/>
    <n v="58393.829403947362"/>
    <x v="1"/>
  </r>
  <r>
    <n v="432843"/>
    <x v="8"/>
    <n v="54433"/>
    <x v="16"/>
    <s v="Работа"/>
    <d v="2025-06-23T00:00:00"/>
    <n v="3"/>
    <n v="3"/>
    <s v="Подробности в ОР"/>
    <d v="2025-06-30T00:00:00"/>
    <m/>
    <n v="1247.7313973684211"/>
    <n v="3743.194192105263"/>
    <x v="1"/>
  </r>
  <r>
    <n v="430572"/>
    <x v="4"/>
    <n v="54987"/>
    <x v="9"/>
    <s v="Работа"/>
    <d v="2025-06-23T00:00:00"/>
    <n v="2"/>
    <n v="2"/>
    <s v="Разработка блока страхования анкеты нерезидентов для ЮЛ"/>
    <d v="2025-06-24T00:00:00"/>
    <m/>
    <n v="2079.5523289473686"/>
    <n v="4159.1046578947371"/>
    <x v="1"/>
  </r>
  <r>
    <n v="430573"/>
    <x v="4"/>
    <n v="54988"/>
    <x v="9"/>
    <s v="Работа"/>
    <d v="2025-06-23T00:00:00"/>
    <n v="6"/>
    <n v="6"/>
    <s v=" Внесение изменение в бизнес логику анкеты в части ЮЛ"/>
    <d v="2025-06-24T00:00:00"/>
    <m/>
    <n v="2079.5523289473686"/>
    <n v="12477.313973684211"/>
    <x v="1"/>
  </r>
  <r>
    <n v="430590"/>
    <x v="8"/>
    <n v="54431"/>
    <x v="16"/>
    <s v="Работа"/>
    <d v="2025-06-23T00:00:00"/>
    <n v="1.5"/>
    <n v="1.5"/>
    <s v="Звонок по сущности Договор, Дейлик"/>
    <d v="2025-06-24T00:00:00"/>
    <m/>
    <n v="1247.7313973684211"/>
    <n v="1871.5970960526315"/>
    <x v="1"/>
  </r>
  <r>
    <n v="430591"/>
    <x v="8"/>
    <n v="54435"/>
    <x v="16"/>
    <s v="Работа"/>
    <d v="2025-06-23T00:00:00"/>
    <n v="2"/>
    <n v="2"/>
    <s v="Вычитка страниц Вики по UC: 2.40, 2.184"/>
    <d v="2025-06-24T00:00:00"/>
    <m/>
    <n v="1247.7313973684211"/>
    <n v="2495.4627947368422"/>
    <x v="1"/>
  </r>
  <r>
    <n v="430647"/>
    <x v="1"/>
    <n v="13969"/>
    <x v="8"/>
    <s v="Внутренняя деятельность"/>
    <d v="2025-06-22T00:00:00"/>
    <n v="3"/>
    <n v="3"/>
    <s v="backend: UC-2.34 доработка в dgraph-wrapper генерация полей во вложенных сущностях"/>
    <d v="2025-06-24T00:00:00"/>
    <m/>
    <n v="1247.7313973684211"/>
    <n v="3743.194192105263"/>
    <x v="1"/>
  </r>
  <r>
    <n v="432459"/>
    <x v="6"/>
    <n v="54720"/>
    <x v="13"/>
    <s v="Работа"/>
    <d v="2025-06-22T00:00:00"/>
    <n v="5"/>
    <n v="5"/>
    <n v="2711"/>
    <d v="2025-06-29T00:00:00"/>
    <m/>
    <n v="1418"/>
    <n v="7090"/>
    <x v="1"/>
  </r>
  <r>
    <n v="434610"/>
    <x v="2"/>
    <n v="29"/>
    <x v="10"/>
    <s v="Внутренняя деятельность"/>
    <d v="2025-06-22T00:00:00"/>
    <n v="6"/>
    <n v="6"/>
    <s v="-"/>
    <d v="2025-07-02T00:00:00"/>
    <m/>
    <n v="1663.6418631578947"/>
    <n v="9981.8511789473687"/>
    <x v="1"/>
  </r>
  <r>
    <n v="430644"/>
    <x v="1"/>
    <n v="13969"/>
    <x v="8"/>
    <s v="Внутренняя деятельность"/>
    <d v="2025-06-21T00:00:00"/>
    <n v="10"/>
    <n v="10"/>
    <s v="backend: UC-2.34 доработка в dgraph-wrapper генерация полей во вложенных сущностях"/>
    <d v="2025-06-24T00:00:00"/>
    <m/>
    <n v="1247.7313973684211"/>
    <n v="12477.313973684211"/>
    <x v="1"/>
  </r>
  <r>
    <n v="434524"/>
    <x v="9"/>
    <n v="52108"/>
    <x v="1"/>
    <s v="Работа"/>
    <d v="2025-06-21T00:00:00"/>
    <n v="8"/>
    <n v="8"/>
    <s v="work"/>
    <d v="2025-07-02T00:00:00"/>
    <m/>
    <n v="2495.4627947368422"/>
    <n v="19963.702357894737"/>
    <x v="1"/>
  </r>
  <r>
    <n v="432673"/>
    <x v="6"/>
    <n v="54460"/>
    <x v="11"/>
    <s v="Работа"/>
    <d v="2025-06-20T00:00:00"/>
    <n v="2"/>
    <n v="2"/>
    <s v="Исследование проекта, тесты"/>
    <d v="2025-06-30T00:00:00"/>
    <m/>
    <n v="665.45674539473691"/>
    <n v="1330.9134907894738"/>
    <x v="1"/>
  </r>
  <r>
    <n v="432683"/>
    <x v="9"/>
    <n v="51263"/>
    <x v="11"/>
    <s v="Работа"/>
    <d v="2025-06-20T00:00:00"/>
    <n v="3"/>
    <n v="3"/>
    <s v="Task 1932"/>
    <d v="2025-06-30T00:00:00"/>
    <m/>
    <n v="665.45674539473691"/>
    <n v="1996.3702361842106"/>
    <x v="1"/>
  </r>
  <r>
    <n v="430642"/>
    <x v="1"/>
    <n v="13969"/>
    <x v="8"/>
    <s v="Внутренняя деятельность"/>
    <d v="2025-06-20T00:00:00"/>
    <n v="1.5"/>
    <n v="1.5"/>
    <s v="Созвон с командой, брейншторм"/>
    <d v="2025-06-24T00:00:00"/>
    <m/>
    <n v="1247.7313973684211"/>
    <n v="1871.5970960526315"/>
    <x v="1"/>
  </r>
  <r>
    <n v="430645"/>
    <x v="1"/>
    <n v="13969"/>
    <x v="8"/>
    <s v="Внутренняя деятельность"/>
    <d v="2025-06-20T00:00:00"/>
    <n v="6.5"/>
    <n v="6.5"/>
    <s v="backend: UC-2.34 доработка в dgraph-wrapper генерация полей во вложенных сущностях"/>
    <d v="2025-06-24T00:00:00"/>
    <m/>
    <n v="1247.7313973684211"/>
    <n v="8110.2540828947367"/>
    <x v="1"/>
  </r>
  <r>
    <n v="432439"/>
    <x v="1"/>
    <n v="13969"/>
    <x v="13"/>
    <s v="Внутренняя деятельность"/>
    <d v="2025-06-20T00:00:00"/>
    <n v="0.5"/>
    <n v="0.5"/>
    <s v="ежедейл"/>
    <d v="2025-06-29T00:00:00"/>
    <m/>
    <n v="1418"/>
    <n v="709"/>
    <x v="1"/>
  </r>
  <r>
    <n v="432442"/>
    <x v="1"/>
    <n v="13969"/>
    <x v="13"/>
    <s v="Внутренняя деятельность"/>
    <d v="2025-06-20T00:00:00"/>
    <n v="0.5"/>
    <n v="0.5"/>
    <s v="Коннект. Дейл по уточнения функционала с беком и фронтом"/>
    <d v="2025-06-29T00:00:00"/>
    <m/>
    <n v="1418"/>
    <n v="709"/>
    <x v="1"/>
  </r>
  <r>
    <n v="434523"/>
    <x v="2"/>
    <n v="29"/>
    <x v="1"/>
    <s v="Внутренняя деятельность"/>
    <d v="2025-06-20T00:00:00"/>
    <n v="8.5"/>
    <n v="8.5"/>
    <s v="-"/>
    <d v="2025-07-02T00:00:00"/>
    <m/>
    <n v="2495.4627947368422"/>
    <n v="21211.433755263159"/>
    <x v="1"/>
  </r>
  <r>
    <n v="432514"/>
    <x v="6"/>
    <n v="54722"/>
    <x v="14"/>
    <s v="Работа"/>
    <d v="2025-06-20T00:00:00"/>
    <n v="7"/>
    <n v="7"/>
    <s v="Админка"/>
    <d v="2025-06-30T00:00:00"/>
    <m/>
    <n v="1871.5970960526315"/>
    <n v="13101.17967236842"/>
    <x v="1"/>
  </r>
  <r>
    <n v="430483"/>
    <x v="4"/>
    <n v="54975"/>
    <x v="3"/>
    <s v="Работа"/>
    <d v="2025-06-20T00:00:00"/>
    <n v="7"/>
    <n v="7"/>
    <s v="Добавление поля даты рождения и поиска по нему в Blocking"/>
    <d v="2025-06-24T00:00:00"/>
    <m/>
    <n v="1081.3672111842104"/>
    <n v="7569.5704782894727"/>
    <x v="1"/>
  </r>
  <r>
    <n v="438676"/>
    <x v="13"/>
    <n v="54423"/>
    <x v="10"/>
    <s v="Работа"/>
    <d v="2025-06-20T00:00:00"/>
    <n v="8"/>
    <n v="8"/>
    <s v="-"/>
    <d v="2025-07-14T00:00:00"/>
    <m/>
    <n v="1663.6418631578947"/>
    <n v="13309.134905263158"/>
    <x v="1"/>
  </r>
  <r>
    <n v="429741"/>
    <x v="1"/>
    <n v="13970"/>
    <x v="7"/>
    <s v="Внутренняя деятельность"/>
    <d v="2025-06-20T00:00:00"/>
    <n v="8"/>
    <n v="8"/>
    <s v="работы связанные с аналитикой и спецификацией в проекте ЖКХ"/>
    <d v="2025-06-20T00:00:00"/>
    <m/>
    <n v="1996.3702361842106"/>
    <n v="15970.961889473685"/>
    <x v="1"/>
  </r>
  <r>
    <n v="432864"/>
    <x v="8"/>
    <n v="54433"/>
    <x v="16"/>
    <s v="Работа"/>
    <d v="2025-06-20T00:00:00"/>
    <n v="4"/>
    <n v="4"/>
    <s v="Реестр собственников"/>
    <d v="2025-06-30T00:00:00"/>
    <m/>
    <n v="1247.7313973684211"/>
    <n v="4990.9255894736843"/>
    <x v="1"/>
  </r>
  <r>
    <n v="430564"/>
    <x v="4"/>
    <n v="54987"/>
    <x v="9"/>
    <s v="Работа"/>
    <d v="2025-06-20T00:00:00"/>
    <n v="8"/>
    <n v="8"/>
    <s v="Разработка блока страхования анкеты нерезидентов для ЮЛ"/>
    <d v="2025-06-24T00:00:00"/>
    <m/>
    <n v="2079.5523289473686"/>
    <n v="16636.418631578948"/>
    <x v="1"/>
  </r>
  <r>
    <n v="430588"/>
    <x v="8"/>
    <n v="54431"/>
    <x v="16"/>
    <s v="Работа"/>
    <d v="2025-06-20T00:00:00"/>
    <n v="2.5"/>
    <n v="2.5"/>
    <s v="Подробности в ОР"/>
    <d v="2025-06-24T00:00:00"/>
    <m/>
    <n v="1247.7313973684211"/>
    <n v="3119.3284934210528"/>
    <x v="1"/>
  </r>
  <r>
    <n v="430589"/>
    <x v="8"/>
    <n v="54433"/>
    <x v="16"/>
    <s v="Работа"/>
    <d v="2025-06-20T00:00:00"/>
    <n v="1"/>
    <n v="1"/>
    <s v="Доработка журнала Договоров"/>
    <d v="2025-06-24T00:00:00"/>
    <m/>
    <n v="1247.7313973684211"/>
    <n v="1247.7313973684211"/>
    <x v="1"/>
  </r>
  <r>
    <n v="429321"/>
    <x v="6"/>
    <n v="52109"/>
    <x v="14"/>
    <s v="Работа"/>
    <d v="2025-06-19T00:00:00"/>
    <n v="1"/>
    <n v="1"/>
    <s v="Созвон с Львом, расказал про проект, поставил задачи"/>
    <d v="2025-06-20T00:00:00"/>
    <m/>
    <n v="1871.5970960526315"/>
    <n v="1871.5970960526315"/>
    <x v="1"/>
  </r>
  <r>
    <n v="432672"/>
    <x v="6"/>
    <n v="54460"/>
    <x v="11"/>
    <s v="Работа"/>
    <d v="2025-06-19T00:00:00"/>
    <n v="8"/>
    <n v="8"/>
    <s v="Исследование проекта"/>
    <d v="2025-06-30T00:00:00"/>
    <m/>
    <n v="665.45674539473691"/>
    <n v="5323.6539631578953"/>
    <x v="1"/>
  </r>
  <r>
    <n v="432458"/>
    <x v="6"/>
    <n v="54720"/>
    <x v="13"/>
    <s v="Работа"/>
    <d v="2025-06-19T00:00:00"/>
    <n v="4"/>
    <n v="4"/>
    <n v="2718"/>
    <d v="2025-06-29T00:00:00"/>
    <m/>
    <n v="1418"/>
    <n v="5672"/>
    <x v="1"/>
  </r>
  <r>
    <n v="432513"/>
    <x v="6"/>
    <n v="54722"/>
    <x v="14"/>
    <s v="Работа"/>
    <d v="2025-06-19T00:00:00"/>
    <n v="4"/>
    <n v="4"/>
    <s v="Админка"/>
    <d v="2025-06-30T00:00:00"/>
    <m/>
    <n v="1871.5970960526315"/>
    <n v="7486.3883842105261"/>
    <x v="1"/>
  </r>
  <r>
    <n v="430485"/>
    <x v="4"/>
    <n v="54975"/>
    <x v="3"/>
    <s v="Работа"/>
    <d v="2025-06-19T00:00:00"/>
    <n v="7"/>
    <n v="7"/>
    <s v="Добавление поля даты рождения и поиска по нему в Blocking"/>
    <d v="2025-06-24T00:00:00"/>
    <m/>
    <n v="1081.3672111842104"/>
    <n v="7569.5704782894727"/>
    <x v="1"/>
  </r>
  <r>
    <n v="429740"/>
    <x v="1"/>
    <n v="13970"/>
    <x v="7"/>
    <s v="Внутренняя деятельность"/>
    <d v="2025-06-19T00:00:00"/>
    <n v="8"/>
    <n v="8"/>
    <s v="работы связанные с аналитикой и спецификацией в проекте ЖКХ"/>
    <d v="2025-06-20T00:00:00"/>
    <m/>
    <n v="1996.3702361842106"/>
    <n v="15970.961889473685"/>
    <x v="1"/>
  </r>
  <r>
    <n v="429245"/>
    <x v="8"/>
    <n v="54430"/>
    <x v="16"/>
    <s v="Работа"/>
    <d v="2025-06-19T00:00:00"/>
    <n v="2.5"/>
    <n v="2.5"/>
    <s v="Звонок по Типологиям"/>
    <d v="2025-06-19T00:00:00"/>
    <m/>
    <n v="1247.7313973684211"/>
    <n v="3119.3284934210528"/>
    <x v="1"/>
  </r>
  <r>
    <n v="429247"/>
    <x v="8"/>
    <n v="54431"/>
    <x v="16"/>
    <s v="Работа"/>
    <d v="2025-06-19T00:00:00"/>
    <n v="1.5"/>
    <n v="1.5"/>
    <s v="Обсуждение с Димой Реестра собственников"/>
    <d v="2025-06-19T00:00:00"/>
    <m/>
    <n v="1247.7313973684211"/>
    <n v="1871.5970960526315"/>
    <x v="1"/>
  </r>
  <r>
    <n v="429251"/>
    <x v="8"/>
    <n v="54433"/>
    <x v="16"/>
    <s v="Работа"/>
    <d v="2025-06-19T00:00:00"/>
    <n v="4"/>
    <n v="4"/>
    <s v="Создание формы создания Договора"/>
    <d v="2025-06-19T00:00:00"/>
    <m/>
    <n v="1247.7313973684211"/>
    <n v="4990.9255894736843"/>
    <x v="1"/>
  </r>
  <r>
    <n v="430561"/>
    <x v="4"/>
    <n v="54986"/>
    <x v="9"/>
    <s v="Работа"/>
    <d v="2025-06-19T00:00:00"/>
    <n v="6"/>
    <n v="6"/>
    <s v="Отключение сервиса верификации персональных данных для нерезиденто"/>
    <d v="2025-06-24T00:00:00"/>
    <m/>
    <n v="2079.5523289473686"/>
    <n v="12477.313973684211"/>
    <x v="1"/>
  </r>
  <r>
    <n v="430563"/>
    <x v="4"/>
    <n v="54987"/>
    <x v="9"/>
    <s v="Работа"/>
    <d v="2025-06-19T00:00:00"/>
    <n v="2"/>
    <n v="2"/>
    <s v="Разработка блока страхования анкеты нерезидентов для ЮЛ"/>
    <d v="2025-06-24T00:00:00"/>
    <m/>
    <n v="2079.5523289473686"/>
    <n v="4159.1046578947371"/>
    <x v="1"/>
  </r>
  <r>
    <n v="429810"/>
    <x v="6"/>
    <n v="52109"/>
    <x v="14"/>
    <s v="Работа"/>
    <d v="2025-06-19T00:00:00"/>
    <n v="2"/>
    <n v="2"/>
    <s v="Созвон с Львом, расказал про проект, поставил задачи"/>
    <d v="2025-06-21T00:00:00"/>
    <m/>
    <n v="1871.5970960526315"/>
    <n v="3743.194192105263"/>
    <x v="1"/>
  </r>
  <r>
    <n v="432666"/>
    <x v="2"/>
    <n v="32"/>
    <x v="11"/>
    <s v="Внутренняя деятельность"/>
    <d v="2025-06-18T00:00:00"/>
    <n v="2"/>
    <n v="2"/>
    <s v="Подписание ДС"/>
    <d v="2025-06-30T00:00:00"/>
    <m/>
    <n v="665.45674539473691"/>
    <n v="1330.9134907894738"/>
    <x v="1"/>
  </r>
  <r>
    <n v="432680"/>
    <x v="9"/>
    <n v="51263"/>
    <x v="11"/>
    <s v="Работа"/>
    <d v="2025-06-18T00:00:00"/>
    <n v="1"/>
    <n v="1"/>
    <s v="Task 1932"/>
    <d v="2025-06-30T00:00:00"/>
    <m/>
    <n v="665.45674539473691"/>
    <n v="665.45674539473691"/>
    <x v="1"/>
  </r>
  <r>
    <n v="432682"/>
    <x v="2"/>
    <n v="34"/>
    <x v="11"/>
    <s v="Внутренняя деятельность"/>
    <d v="2025-06-18T00:00:00"/>
    <n v="4"/>
    <n v="4"/>
    <s v="Изучение бойлерплейта"/>
    <d v="2025-06-30T00:00:00"/>
    <m/>
    <n v="665.45674539473691"/>
    <n v="2661.8269815789477"/>
    <x v="1"/>
  </r>
  <r>
    <n v="430646"/>
    <x v="1"/>
    <n v="13969"/>
    <x v="8"/>
    <s v="Внутренняя деятельность"/>
    <d v="2025-06-18T00:00:00"/>
    <n v="6"/>
    <n v="6"/>
    <s v="backend: UC-2.34 доработка в dgraph-wrapper генерация полей во вложенных сущностях"/>
    <d v="2025-06-24T00:00:00"/>
    <m/>
    <n v="1247.7313973684211"/>
    <n v="7486.3883842105261"/>
    <x v="1"/>
  </r>
  <r>
    <n v="432438"/>
    <x v="1"/>
    <n v="13969"/>
    <x v="13"/>
    <s v="Внутренняя деятельность"/>
    <d v="2025-06-18T00:00:00"/>
    <n v="0.5"/>
    <n v="0.5"/>
    <s v="ежедейл"/>
    <d v="2025-06-29T00:00:00"/>
    <m/>
    <n v="1418"/>
    <n v="709"/>
    <x v="1"/>
  </r>
  <r>
    <n v="432512"/>
    <x v="6"/>
    <n v="54722"/>
    <x v="14"/>
    <s v="Работа"/>
    <d v="2025-06-18T00:00:00"/>
    <n v="8"/>
    <n v="8"/>
    <s v="Админка"/>
    <d v="2025-06-30T00:00:00"/>
    <m/>
    <n v="1871.5970960526315"/>
    <n v="14972.776768421052"/>
    <x v="1"/>
  </r>
  <r>
    <n v="430486"/>
    <x v="4"/>
    <n v="54975"/>
    <x v="3"/>
    <s v="Работа"/>
    <d v="2025-06-18T00:00:00"/>
    <n v="7"/>
    <n v="7"/>
    <s v="Развёртывание среды и анализ проекта"/>
    <d v="2025-06-24T00:00:00"/>
    <m/>
    <n v="1081.3672111842104"/>
    <n v="7569.5704782894727"/>
    <x v="1"/>
  </r>
  <r>
    <n v="429739"/>
    <x v="1"/>
    <n v="13970"/>
    <x v="7"/>
    <s v="Внутренняя деятельность"/>
    <d v="2025-06-18T00:00:00"/>
    <n v="8"/>
    <n v="8"/>
    <s v="работы связанные с аналитикой и спецификацией в проекте ЖКХ"/>
    <d v="2025-06-20T00:00:00"/>
    <m/>
    <n v="1996.3702361842106"/>
    <n v="15970.961889473685"/>
    <x v="1"/>
  </r>
  <r>
    <n v="428732"/>
    <x v="6"/>
    <n v="52109"/>
    <x v="16"/>
    <s v="Работа"/>
    <d v="2025-06-18T00:00:00"/>
    <n v="6.5"/>
    <n v="6.5"/>
    <s v="Оборудование. Детальный дизайн"/>
    <d v="2025-06-18T00:00:00"/>
    <m/>
    <n v="1247.7313973684211"/>
    <n v="8110.2540828947367"/>
    <x v="1"/>
  </r>
  <r>
    <n v="430559"/>
    <x v="4"/>
    <n v="54985"/>
    <x v="9"/>
    <s v="Работа"/>
    <d v="2025-06-18T00:00:00"/>
    <n v="6"/>
    <n v="6"/>
    <s v="#54985 - Изменение валидаторов и маппингов полей формы для отправки данных на сервер"/>
    <d v="2025-06-24T00:00:00"/>
    <m/>
    <n v="2079.5523289473686"/>
    <n v="12477.313973684211"/>
    <x v="1"/>
  </r>
  <r>
    <n v="430560"/>
    <x v="4"/>
    <n v="54986"/>
    <x v="9"/>
    <s v="Работа"/>
    <d v="2025-06-18T00:00:00"/>
    <n v="2"/>
    <n v="2"/>
    <s v="Отключение сервиса верификации персональных данных для нерезиденто фронт"/>
    <d v="2025-06-24T00:00:00"/>
    <m/>
    <n v="2079.5523289473686"/>
    <n v="4159.1046578947371"/>
    <x v="1"/>
  </r>
  <r>
    <n v="428324"/>
    <x v="9"/>
    <n v="51263"/>
    <x v="11"/>
    <s v="Работа"/>
    <d v="2025-06-17T00:00:00"/>
    <n v="2"/>
    <n v="2"/>
    <s v="Task 1932"/>
    <d v="2025-06-17T00:00:00"/>
    <m/>
    <n v="665.45674539473691"/>
    <n v="1330.9134907894738"/>
    <x v="1"/>
  </r>
  <r>
    <n v="428332"/>
    <x v="2"/>
    <n v="34"/>
    <x v="11"/>
    <s v="Внутренняя деятельность"/>
    <d v="2025-06-17T00:00:00"/>
    <n v="2"/>
    <n v="2"/>
    <s v="Обучение"/>
    <d v="2025-06-17T00:00:00"/>
    <m/>
    <n v="665.45674539473691"/>
    <n v="1330.9134907894738"/>
    <x v="1"/>
  </r>
  <r>
    <n v="430638"/>
    <x v="1"/>
    <n v="13969"/>
    <x v="8"/>
    <s v="Внутренняя деятельность"/>
    <d v="2025-06-17T00:00:00"/>
    <n v="2"/>
    <n v="2"/>
    <s v="(П): UC-2.70 Актуализировать описание сущности клиент в схеме БД"/>
    <d v="2025-06-24T00:00:00"/>
    <m/>
    <n v="1247.7313973684211"/>
    <n v="2495.4627947368422"/>
    <x v="1"/>
  </r>
  <r>
    <n v="430640"/>
    <x v="1"/>
    <n v="13969"/>
    <x v="8"/>
    <s v="Внутренняя деятельность"/>
    <d v="2025-06-17T00:00:00"/>
    <n v="0.5"/>
    <n v="0.5"/>
    <s v="Созвон с командой"/>
    <d v="2025-06-24T00:00:00"/>
    <m/>
    <n v="1247.7313973684211"/>
    <n v="623.86569868421054"/>
    <x v="1"/>
  </r>
  <r>
    <n v="430643"/>
    <x v="1"/>
    <n v="13969"/>
    <x v="8"/>
    <s v="Внутренняя деятельность"/>
    <d v="2025-06-17T00:00:00"/>
    <n v="5.5"/>
    <n v="5.5"/>
    <s v="backend: UC-2.34 доработка в dgraph-wrapper генерация полей во вложенных сущностях"/>
    <d v="2025-06-24T00:00:00"/>
    <m/>
    <n v="1247.7313973684211"/>
    <n v="6862.5226855263163"/>
    <x v="1"/>
  </r>
  <r>
    <n v="432437"/>
    <x v="1"/>
    <n v="13969"/>
    <x v="13"/>
    <s v="Внутренняя деятельность"/>
    <d v="2025-06-17T00:00:00"/>
    <n v="0.5"/>
    <n v="0.5"/>
    <s v="ежедейл"/>
    <d v="2025-06-29T00:00:00"/>
    <m/>
    <n v="1418"/>
    <n v="709"/>
    <x v="1"/>
  </r>
  <r>
    <n v="432457"/>
    <x v="6"/>
    <n v="54720"/>
    <x v="13"/>
    <s v="Работа"/>
    <d v="2025-06-17T00:00:00"/>
    <n v="3"/>
    <n v="3"/>
    <n v="2718"/>
    <d v="2025-06-29T00:00:00"/>
    <m/>
    <n v="1418"/>
    <n v="4254"/>
    <x v="1"/>
  </r>
  <r>
    <n v="432462"/>
    <x v="1"/>
    <n v="13969"/>
    <x v="13"/>
    <s v="Внутренняя деятельность"/>
    <d v="2025-06-17T00:00:00"/>
    <n v="0.5"/>
    <n v="0.5"/>
    <s v="Коннект.Дейл по проекту, уточнения БЛ"/>
    <d v="2025-06-29T00:00:00"/>
    <m/>
    <n v="1418"/>
    <n v="709"/>
    <x v="1"/>
  </r>
  <r>
    <n v="428389"/>
    <x v="1"/>
    <n v="13970"/>
    <x v="7"/>
    <s v="Внутренняя деятельность"/>
    <d v="2025-06-17T00:00:00"/>
    <n v="8"/>
    <n v="8"/>
    <s v="работы связанные с аналитикой и спецификацией в проекте ЖКХ"/>
    <d v="2025-06-17T00:00:00"/>
    <m/>
    <n v="1996.3702361842106"/>
    <n v="15970.961889473685"/>
    <x v="1"/>
  </r>
  <r>
    <n v="428407"/>
    <x v="4"/>
    <n v="54975"/>
    <x v="3"/>
    <s v="Работа"/>
    <d v="2025-06-17T00:00:00"/>
    <n v="7"/>
    <n v="7"/>
    <s v="Настройка проекта локально для разработки"/>
    <d v="2025-06-18T00:00:00"/>
    <m/>
    <n v="1081.3672111842104"/>
    <n v="7569.5704782894727"/>
    <x v="1"/>
  </r>
  <r>
    <n v="428446"/>
    <x v="6"/>
    <n v="52109"/>
    <x v="14"/>
    <s v="Работа"/>
    <d v="2025-06-17T00:00:00"/>
    <n v="0.5"/>
    <n v="0.5"/>
    <s v="Созвон по формату данных для фронта"/>
    <d v="2025-06-18T00:00:00"/>
    <m/>
    <n v="1871.5970960526315"/>
    <n v="935.79854802631576"/>
    <x v="1"/>
  </r>
  <r>
    <n v="428447"/>
    <x v="6"/>
    <n v="54722"/>
    <x v="14"/>
    <s v="Работа"/>
    <d v="2025-06-17T00:00:00"/>
    <n v="7"/>
    <n v="7"/>
    <s v="Тарифы закончил, оборудование"/>
    <d v="2025-06-18T00:00:00"/>
    <m/>
    <n v="1871.5970960526315"/>
    <n v="13101.17967236842"/>
    <x v="1"/>
  </r>
  <r>
    <n v="428720"/>
    <x v="6"/>
    <n v="52109"/>
    <x v="16"/>
    <s v="Работа"/>
    <d v="2025-06-17T00:00:00"/>
    <n v="8"/>
    <n v="8"/>
    <s v="Тарифы. Детальный дизайн."/>
    <d v="2025-06-18T00:00:00"/>
    <m/>
    <n v="1247.7313973684211"/>
    <n v="9981.8511789473687"/>
    <x v="1"/>
  </r>
  <r>
    <n v="430558"/>
    <x v="4"/>
    <n v="54984"/>
    <x v="9"/>
    <s v="Работа"/>
    <d v="2025-06-17T00:00:00"/>
    <n v="20"/>
    <n v="20"/>
    <s v="Внесение изменений в форму поиска лиц, для сбора отсутствующей информации (место рождения, пол)"/>
    <d v="2025-06-24T00:00:00"/>
    <m/>
    <n v="2079.5523289473686"/>
    <n v="41591.046578947367"/>
    <x v="1"/>
  </r>
  <r>
    <n v="428321"/>
    <x v="9"/>
    <n v="51263"/>
    <x v="11"/>
    <s v="Работа"/>
    <d v="2025-06-16T00:00:00"/>
    <n v="7"/>
    <n v="7"/>
    <s v="Tasks 1932, 2818"/>
    <d v="2025-06-17T00:00:00"/>
    <m/>
    <n v="665.45674539473691"/>
    <n v="4658.1972177631587"/>
    <x v="1"/>
  </r>
  <r>
    <n v="430635"/>
    <x v="1"/>
    <n v="13969"/>
    <x v="8"/>
    <s v="Внутренняя деятельность"/>
    <d v="2025-06-16T00:00:00"/>
    <n v="4"/>
    <n v="4"/>
    <s v="(П): UC-2.70 Актуализировать описание сущности клиент в схеме БД"/>
    <d v="2025-06-24T00:00:00"/>
    <m/>
    <n v="1247.7313973684211"/>
    <n v="4990.9255894736843"/>
    <x v="1"/>
  </r>
  <r>
    <n v="430636"/>
    <x v="1"/>
    <n v="13969"/>
    <x v="8"/>
    <s v="Внутренняя деятельность"/>
    <d v="2025-06-16T00:00:00"/>
    <n v="4"/>
    <n v="4"/>
    <s v="backend: UC-2.34 доработка в dgraph-wrapper генерация полей во вложенных сущностях"/>
    <d v="2025-06-24T00:00:00"/>
    <m/>
    <n v="1247.7313973684211"/>
    <n v="4990.9255894736843"/>
    <x v="1"/>
  </r>
  <r>
    <n v="432455"/>
    <x v="6"/>
    <n v="54720"/>
    <x v="13"/>
    <s v="Работа"/>
    <d v="2025-06-16T00:00:00"/>
    <n v="2"/>
    <n v="2"/>
    <n v="2711"/>
    <d v="2025-06-29T00:00:00"/>
    <m/>
    <n v="1418"/>
    <n v="2836"/>
    <x v="1"/>
  </r>
  <r>
    <n v="432456"/>
    <x v="6"/>
    <n v="54720"/>
    <x v="13"/>
    <s v="Работа"/>
    <d v="2025-06-16T00:00:00"/>
    <n v="5"/>
    <n v="5"/>
    <n v="2711"/>
    <d v="2025-06-29T00:00:00"/>
    <m/>
    <n v="1418"/>
    <n v="7090"/>
    <x v="1"/>
  </r>
  <r>
    <n v="428388"/>
    <x v="1"/>
    <n v="13970"/>
    <x v="7"/>
    <s v="Внутренняя деятельность"/>
    <d v="2025-06-16T00:00:00"/>
    <n v="8"/>
    <n v="8"/>
    <s v="работы связанные с аналитикой и спецификацией в проекте ЖКХ"/>
    <d v="2025-06-17T00:00:00"/>
    <m/>
    <n v="1996.3702361842106"/>
    <n v="15970.961889473685"/>
    <x v="1"/>
  </r>
  <r>
    <n v="428406"/>
    <x v="4"/>
    <n v="54975"/>
    <x v="3"/>
    <s v="Работа"/>
    <d v="2025-06-16T00:00:00"/>
    <n v="7"/>
    <n v="7"/>
    <s v="Настройка проекта локально для разработки"/>
    <d v="2025-06-18T00:00:00"/>
    <m/>
    <n v="1081.3672111842104"/>
    <n v="7569.5704782894727"/>
    <x v="1"/>
  </r>
  <r>
    <n v="428440"/>
    <x v="6"/>
    <n v="52109"/>
    <x v="14"/>
    <s v="Работа"/>
    <d v="2025-06-16T00:00:00"/>
    <n v="1"/>
    <n v="1"/>
    <s v="Созвон с фронтом"/>
    <d v="2025-06-18T00:00:00"/>
    <m/>
    <n v="1871.5970960526315"/>
    <n v="1871.5970960526315"/>
    <x v="1"/>
  </r>
  <r>
    <n v="428444"/>
    <x v="6"/>
    <n v="54722"/>
    <x v="14"/>
    <s v="Работа"/>
    <d v="2025-06-16T00:00:00"/>
    <n v="7"/>
    <n v="7"/>
    <s v="Тарифы, тарифные планы, доп услуги, управление админки"/>
    <d v="2025-06-18T00:00:00"/>
    <m/>
    <n v="1871.5970960526315"/>
    <n v="13101.17967236842"/>
    <x v="1"/>
  </r>
  <r>
    <n v="428719"/>
    <x v="6"/>
    <n v="52109"/>
    <x v="16"/>
    <s v="Работа"/>
    <d v="2025-06-16T00:00:00"/>
    <n v="8"/>
    <n v="8"/>
    <s v="Тарифы. Детальный дизайн. "/>
    <d v="2025-06-18T00:00:00"/>
    <m/>
    <n v="1247.7313973684211"/>
    <n v="9981.8511789473687"/>
    <x v="1"/>
  </r>
  <r>
    <n v="430548"/>
    <x v="12"/>
    <n v="54660"/>
    <x v="9"/>
    <s v="Работа"/>
    <d v="2025-06-16T00:00:00"/>
    <n v="1"/>
    <n v="1"/>
    <s v="Добавление переводов отображаемой информации о транзитном ТС"/>
    <d v="2025-06-24T00:00:00"/>
    <m/>
    <n v="2079.5523289473686"/>
    <n v="2079.5523289473686"/>
    <x v="1"/>
  </r>
  <r>
    <n v="430550"/>
    <x v="12"/>
    <n v="54659"/>
    <x v="9"/>
    <s v="Работа"/>
    <d v="2025-06-16T00:00:00"/>
    <n v="1"/>
    <n v="1"/>
    <s v=" Изменение логики отображения информации о ТС, при транзитном ТС вывод доп информации"/>
    <d v="2025-06-24T00:00:00"/>
    <m/>
    <n v="2079.5523289473686"/>
    <n v="2079.5523289473686"/>
    <x v="1"/>
  </r>
  <r>
    <n v="430552"/>
    <x v="12"/>
    <n v="54581"/>
    <x v="9"/>
    <s v="Работа"/>
    <d v="2025-06-16T00:00:00"/>
    <n v="2"/>
    <n v="2"/>
    <s v="Локальное тестирование и отладка изменений разработчиком -  FE"/>
    <d v="2025-06-24T00:00:00"/>
    <m/>
    <n v="2079.5523289473686"/>
    <n v="4159.1046578947371"/>
    <x v="1"/>
  </r>
  <r>
    <n v="430554"/>
    <x v="12"/>
    <n v="54665"/>
    <x v="9"/>
    <s v="Работа"/>
    <d v="2025-06-16T00:00:00"/>
    <n v="4"/>
    <n v="4"/>
    <s v="Деплой на прод и стейдж"/>
    <d v="2025-06-24T00:00:00"/>
    <m/>
    <n v="2079.5523289473686"/>
    <n v="8318.2093157894742"/>
    <x v="1"/>
  </r>
  <r>
    <n v="432454"/>
    <x v="6"/>
    <n v="54720"/>
    <x v="13"/>
    <s v="Работа"/>
    <d v="2025-06-15T00:00:00"/>
    <n v="4"/>
    <n v="4"/>
    <n v="2711"/>
    <d v="2025-06-29T00:00:00"/>
    <m/>
    <n v="1418"/>
    <n v="5672"/>
    <x v="1"/>
  </r>
  <r>
    <n v="432453"/>
    <x v="6"/>
    <n v="54720"/>
    <x v="13"/>
    <s v="Работа"/>
    <d v="2025-06-14T00:00:00"/>
    <n v="3"/>
    <n v="3"/>
    <n v="2711"/>
    <d v="2025-06-29T00:00:00"/>
    <m/>
    <n v="1418"/>
    <n v="4254"/>
    <x v="1"/>
  </r>
  <r>
    <n v="434525"/>
    <x v="8"/>
    <n v="54163"/>
    <x v="2"/>
    <s v="Работа"/>
    <d v="2025-06-14T00:00:00"/>
    <n v="88"/>
    <n v="88"/>
    <s v="Аналитика"/>
    <d v="2025-07-02T00:00:00"/>
    <m/>
    <n v="831.82093157894735"/>
    <n v="73200.241978947364"/>
    <x v="1"/>
  </r>
  <r>
    <n v="432452"/>
    <x v="6"/>
    <n v="54720"/>
    <x v="13"/>
    <s v="Работа"/>
    <d v="2025-06-13T00:00:00"/>
    <n v="3"/>
    <n v="3"/>
    <n v="2711"/>
    <d v="2025-06-29T00:00:00"/>
    <m/>
    <n v="1418"/>
    <n v="4254"/>
    <x v="1"/>
  </r>
  <r>
    <n v="434666"/>
    <x v="1"/>
    <n v="13969"/>
    <x v="8"/>
    <s v="Внутренняя деятельность"/>
    <d v="2025-06-13T00:00:00"/>
    <n v="12.5"/>
    <n v="12.5"/>
    <s v="backend: автоматизация подготовки схемы валидации параметров"/>
    <d v="2025-07-02T00:00:00"/>
    <m/>
    <n v="1247.7313973684211"/>
    <n v="15596.642467105263"/>
    <x v="1"/>
  </r>
  <r>
    <n v="430394"/>
    <x v="12"/>
    <n v="54665"/>
    <x v="10"/>
    <s v="Работа"/>
    <d v="2025-06-12T00:00:00"/>
    <n v="8"/>
    <n v="8"/>
    <s v="Деплой + решение проблем с билдом пайплайна"/>
    <d v="2025-06-23T00:00:00"/>
    <m/>
    <n v="1663.6418631578947"/>
    <n v="13309.134905263158"/>
    <x v="1"/>
  </r>
  <r>
    <n v="432436"/>
    <x v="1"/>
    <n v="13969"/>
    <x v="13"/>
    <s v="Внутренняя деятельность"/>
    <d v="2025-06-11T00:00:00"/>
    <n v="0.5"/>
    <n v="0.5"/>
    <s v="ежедейл"/>
    <d v="2025-06-29T00:00:00"/>
    <m/>
    <n v="1418"/>
    <n v="709"/>
    <x v="1"/>
  </r>
  <r>
    <n v="430393"/>
    <x v="12"/>
    <n v="54654"/>
    <x v="10"/>
    <s v="Работа"/>
    <d v="2025-06-11T00:00:00"/>
    <n v="8"/>
    <n v="8"/>
    <s v="Тестирование и отладка"/>
    <d v="2025-06-23T00:00:00"/>
    <m/>
    <n v="1663.6418631578947"/>
    <n v="13309.134905263158"/>
    <x v="1"/>
  </r>
  <r>
    <n v="432451"/>
    <x v="6"/>
    <n v="54720"/>
    <x v="13"/>
    <s v="Работа"/>
    <d v="2025-06-11T00:00:00"/>
    <n v="2.5"/>
    <n v="2.5"/>
    <n v="2711"/>
    <d v="2025-06-29T00:00:00"/>
    <m/>
    <n v="1418"/>
    <n v="3545"/>
    <x v="1"/>
  </r>
  <r>
    <n v="427371"/>
    <x v="1"/>
    <n v="13970"/>
    <x v="7"/>
    <s v="Внутренняя деятельность"/>
    <d v="2025-06-11T00:00:00"/>
    <n v="8"/>
    <n v="8"/>
    <s v="работы связанные с аналитикой и спецификацией в проекте ЖКХ"/>
    <d v="2025-06-11T00:00:00"/>
    <m/>
    <n v="1996.3702361842106"/>
    <n v="15970.961889473685"/>
    <x v="1"/>
  </r>
  <r>
    <n v="427375"/>
    <x v="9"/>
    <n v="51263"/>
    <x v="11"/>
    <s v="Работа"/>
    <d v="2025-06-11T00:00:00"/>
    <n v="8"/>
    <n v="8"/>
    <s v="Tasks 1932, 2402"/>
    <d v="2025-06-11T00:00:00"/>
    <m/>
    <n v="665.45674539473691"/>
    <n v="5323.6539631578953"/>
    <x v="1"/>
  </r>
  <r>
    <n v="428438"/>
    <x v="6"/>
    <n v="52109"/>
    <x v="14"/>
    <s v="Работа"/>
    <d v="2025-06-11T00:00:00"/>
    <n v="1"/>
    <n v="1"/>
    <s v="Созвон по тарифам"/>
    <d v="2025-06-18T00:00:00"/>
    <m/>
    <n v="1871.5970960526315"/>
    <n v="1871.5970960526315"/>
    <x v="1"/>
  </r>
  <r>
    <n v="428443"/>
    <x v="6"/>
    <n v="54722"/>
    <x v="14"/>
    <s v="Работа"/>
    <d v="2025-06-11T00:00:00"/>
    <n v="6.5"/>
    <n v="6.5"/>
    <s v="Тарифы, тарифные планы, доп услуги, управление админки"/>
    <d v="2025-06-18T00:00:00"/>
    <m/>
    <n v="1871.5970960526315"/>
    <n v="12165.381124342104"/>
    <x v="1"/>
  </r>
  <r>
    <n v="427189"/>
    <x v="11"/>
    <n v="7176"/>
    <x v="3"/>
    <s v="Работа"/>
    <d v="2025-06-11T00:00:00"/>
    <n v="0.5"/>
    <n v="0.5"/>
    <s v="Анализ апгрейда с Basic SKU до Standard SKU"/>
    <d v="2025-06-11T00:00:00"/>
    <m/>
    <n v="1081.3672111842104"/>
    <n v="540.68360559210521"/>
    <x v="1"/>
  </r>
  <r>
    <n v="430540"/>
    <x v="12"/>
    <n v="54659"/>
    <x v="9"/>
    <s v="Работа"/>
    <d v="2025-06-11T00:00:00"/>
    <n v="2"/>
    <n v="2"/>
    <s v="Изменение логики отображения информации о ТС, при транзитном ТС вывод доп информации"/>
    <d v="2025-06-24T00:00:00"/>
    <m/>
    <n v="2079.5523289473686"/>
    <n v="4159.1046578947371"/>
    <x v="1"/>
  </r>
  <r>
    <n v="430541"/>
    <x v="12"/>
    <n v="54656"/>
    <x v="9"/>
    <s v="Работа"/>
    <d v="2025-06-11T00:00:00"/>
    <n v="2"/>
    <n v="2"/>
    <s v="Изменение логики отображения информации о ТС, при транзитном ТС вывод доп информации"/>
    <d v="2025-06-24T00:00:00"/>
    <m/>
    <n v="2079.5523289473686"/>
    <n v="4159.1046578947371"/>
    <x v="1"/>
  </r>
  <r>
    <n v="427982"/>
    <x v="1"/>
    <n v="13969"/>
    <x v="8"/>
    <s v="Внутренняя деятельность"/>
    <d v="2025-06-11T00:00:00"/>
    <n v="3"/>
    <n v="3"/>
    <s v="(П): UC-2.70 Актуализировать описание сущности клиент в схеме БД"/>
    <d v="2025-06-16T00:00:00"/>
    <m/>
    <n v="1247.7313973684211"/>
    <n v="3743.194192105263"/>
    <x v="1"/>
  </r>
  <r>
    <n v="430542"/>
    <x v="12"/>
    <n v="54657"/>
    <x v="9"/>
    <s v="Работа"/>
    <d v="2025-06-11T00:00:00"/>
    <n v="2"/>
    <n v="2"/>
    <s v="Локальное тестирование и отладка изменений разработчиком"/>
    <d v="2025-06-24T00:00:00"/>
    <m/>
    <n v="2079.5523289473686"/>
    <n v="4159.1046578947371"/>
    <x v="1"/>
  </r>
  <r>
    <n v="430543"/>
    <x v="9"/>
    <n v="51251"/>
    <x v="9"/>
    <s v="Работа"/>
    <d v="2025-06-11T00:00:00"/>
    <n v="1"/>
    <n v="1"/>
    <s v="Feature #2796 деплой"/>
    <d v="2025-06-24T00:00:00"/>
    <m/>
    <n v="2079.5523289473686"/>
    <n v="2079.5523289473686"/>
    <x v="1"/>
  </r>
  <r>
    <n v="427984"/>
    <x v="1"/>
    <n v="13969"/>
    <x v="8"/>
    <s v="Внутренняя деятельность"/>
    <d v="2025-06-11T00:00:00"/>
    <n v="0.5"/>
    <n v="0.5"/>
    <s v="Созвон с командой"/>
    <d v="2025-06-16T00:00:00"/>
    <m/>
    <n v="1247.7313973684211"/>
    <n v="623.86569868421054"/>
    <x v="1"/>
  </r>
  <r>
    <n v="430544"/>
    <x v="9"/>
    <n v="51251"/>
    <x v="9"/>
    <s v="Работа"/>
    <d v="2025-06-11T00:00:00"/>
    <n v="1"/>
    <n v="1"/>
    <s v="Feature #2383 деплой"/>
    <d v="2025-06-24T00:00:00"/>
    <m/>
    <n v="2079.5523289473686"/>
    <n v="2079.5523289473686"/>
    <x v="1"/>
  </r>
  <r>
    <n v="427985"/>
    <x v="1"/>
    <n v="13969"/>
    <x v="8"/>
    <s v="Внутренняя деятельность"/>
    <d v="2025-06-11T00:00:00"/>
    <n v="3.5"/>
    <n v="3.5"/>
    <s v="backend: UC-2.34 доработка в dgraph-wrapper генерация полей во вложенных сущностях"/>
    <d v="2025-06-16T00:00:00"/>
    <m/>
    <n v="1247.7313973684211"/>
    <n v="4367.0598907894737"/>
    <x v="1"/>
  </r>
  <r>
    <n v="432868"/>
    <x v="8"/>
    <n v="54433"/>
    <x v="16"/>
    <s v="Работа"/>
    <d v="2025-06-11T00:00:00"/>
    <n v="1.5"/>
    <n v="1.5"/>
    <s v="Подробности в ОР"/>
    <d v="2025-06-30T00:00:00"/>
    <m/>
    <n v="1247.7313973684211"/>
    <n v="1871.5970960526315"/>
    <x v="1"/>
  </r>
  <r>
    <n v="432870"/>
    <x v="6"/>
    <n v="52109"/>
    <x v="16"/>
    <s v="Работа"/>
    <d v="2025-06-11T00:00:00"/>
    <n v="6.5"/>
    <n v="6.5"/>
    <s v="Подробности в ОР"/>
    <d v="2025-06-30T00:00:00"/>
    <m/>
    <n v="1247.7313973684211"/>
    <n v="8110.2540828947367"/>
    <x v="1"/>
  </r>
  <r>
    <n v="426773"/>
    <x v="6"/>
    <n v="52109"/>
    <x v="14"/>
    <s v="Работа"/>
    <d v="2025-06-10T00:00:00"/>
    <n v="1"/>
    <n v="1"/>
    <s v="Демонстрация админка"/>
    <d v="2025-06-10T00:00:00"/>
    <m/>
    <n v="1871.5970960526315"/>
    <n v="1871.5970960526315"/>
    <x v="1"/>
  </r>
  <r>
    <n v="432435"/>
    <x v="1"/>
    <n v="13969"/>
    <x v="13"/>
    <s v="Внутренняя деятельность"/>
    <d v="2025-06-10T00:00:00"/>
    <n v="0.5"/>
    <n v="0.5"/>
    <s v="ежедейл"/>
    <d v="2025-06-29T00:00:00"/>
    <m/>
    <n v="1418"/>
    <n v="709"/>
    <x v="1"/>
  </r>
  <r>
    <n v="430392"/>
    <x v="12"/>
    <n v="54654"/>
    <x v="10"/>
    <s v="Работа"/>
    <d v="2025-06-10T00:00:00"/>
    <n v="8"/>
    <n v="8"/>
    <s v="Тестирование и отладка"/>
    <d v="2025-06-23T00:00:00"/>
    <m/>
    <n v="1663.6418631578947"/>
    <n v="13309.134905263158"/>
    <x v="1"/>
  </r>
  <r>
    <n v="427370"/>
    <x v="1"/>
    <n v="13970"/>
    <x v="7"/>
    <s v="Внутренняя деятельность"/>
    <d v="2025-06-10T00:00:00"/>
    <n v="8"/>
    <n v="8"/>
    <s v="работы связанные с аналитикой и спецификацией в проекте ЖКХ"/>
    <d v="2025-06-11T00:00:00"/>
    <m/>
    <n v="1996.3702361842106"/>
    <n v="15970.961889473685"/>
    <x v="1"/>
  </r>
  <r>
    <n v="428401"/>
    <x v="6"/>
    <n v="54460"/>
    <x v="3"/>
    <s v="Работа"/>
    <d v="2025-06-10T00:00:00"/>
    <n v="7"/>
    <n v="7"/>
    <s v="Мёрж бэкенда и инфраструктуры"/>
    <d v="2025-06-18T00:00:00"/>
    <m/>
    <n v="1081.3672111842104"/>
    <n v="7569.5704782894727"/>
    <x v="1"/>
  </r>
  <r>
    <n v="428441"/>
    <x v="6"/>
    <n v="54722"/>
    <x v="14"/>
    <s v="Работа"/>
    <d v="2025-06-10T00:00:00"/>
    <n v="6.5"/>
    <n v="6.5"/>
    <s v="Спутники, проектирование тарифов, бд"/>
    <d v="2025-06-18T00:00:00"/>
    <m/>
    <n v="1871.5970960526315"/>
    <n v="12165.381124342104"/>
    <x v="1"/>
  </r>
  <r>
    <n v="428711"/>
    <x v="6"/>
    <n v="52109"/>
    <x v="16"/>
    <s v="Работа"/>
    <d v="2025-06-10T00:00:00"/>
    <n v="6"/>
    <n v="6"/>
    <s v="Карта покрытия. Детальный дизайн"/>
    <d v="2025-06-18T00:00:00"/>
    <m/>
    <n v="1247.7313973684211"/>
    <n v="7486.3883842105261"/>
    <x v="1"/>
  </r>
  <r>
    <n v="428712"/>
    <x v="6"/>
    <n v="54721"/>
    <x v="16"/>
    <s v="Работа"/>
    <d v="2025-06-10T00:00:00"/>
    <n v="1"/>
    <n v="1"/>
    <s v="Звонок с заказчиком. Промежуточное демо"/>
    <d v="2025-06-18T00:00:00"/>
    <m/>
    <n v="1247.7313973684211"/>
    <n v="1247.7313973684211"/>
    <x v="1"/>
  </r>
  <r>
    <n v="426944"/>
    <x v="9"/>
    <n v="51263"/>
    <x v="11"/>
    <s v="Работа"/>
    <d v="2025-06-10T00:00:00"/>
    <n v="7.5"/>
    <n v="7.5"/>
    <s v="Tasks 2402, 1932"/>
    <d v="2025-06-10T00:00:00"/>
    <m/>
    <n v="665.45674539473691"/>
    <n v="4990.925590460527"/>
    <x v="1"/>
  </r>
  <r>
    <n v="430532"/>
    <x v="12"/>
    <n v="54656"/>
    <x v="9"/>
    <s v="Работа"/>
    <d v="2025-06-10T00:00:00"/>
    <n v="1"/>
    <n v="1"/>
    <s v="Изменение логики отображения информации о транспортном средстве, при транзитном ТС вывод доп информации."/>
    <d v="2025-06-24T00:00:00"/>
    <m/>
    <n v="2079.5523289473686"/>
    <n v="2079.5523289473686"/>
    <x v="1"/>
  </r>
  <r>
    <n v="430533"/>
    <x v="12"/>
    <n v="54660"/>
    <x v="9"/>
    <s v="Работа"/>
    <d v="2025-06-10T00:00:00"/>
    <n v="1"/>
    <n v="1"/>
    <s v=" Добавление переводов отображаемой информации о транзитном ТС"/>
    <d v="2025-06-24T00:00:00"/>
    <m/>
    <n v="2079.5523289473686"/>
    <n v="2079.5523289473686"/>
    <x v="1"/>
  </r>
  <r>
    <n v="430534"/>
    <x v="12"/>
    <n v="54648"/>
    <x v="9"/>
    <s v="Работа"/>
    <d v="2025-06-10T00:00:00"/>
    <n v="2"/>
    <n v="2"/>
    <s v="Доработка бизнес логики сервиса анкет для приема информации о транзитном ТС на сервере"/>
    <d v="2025-06-24T00:00:00"/>
    <m/>
    <n v="2079.5523289473686"/>
    <n v="4159.1046578947371"/>
    <x v="1"/>
  </r>
  <r>
    <n v="430538"/>
    <x v="12"/>
    <n v="54581"/>
    <x v="9"/>
    <s v="Работа"/>
    <d v="2025-06-10T00:00:00"/>
    <n v="4"/>
    <n v="4"/>
    <s v="Локальное тестирование и отладка изменений разработчиком -  FE "/>
    <d v="2025-06-24T00:00:00"/>
    <m/>
    <n v="2079.5523289473686"/>
    <n v="8318.2093157894742"/>
    <x v="1"/>
  </r>
  <r>
    <n v="427981"/>
    <x v="1"/>
    <n v="13969"/>
    <x v="8"/>
    <s v="Внутренняя деятельность"/>
    <d v="2025-06-10T00:00:00"/>
    <n v="8"/>
    <n v="8"/>
    <s v="(П): UC-2.70 Актуализировать описание сущности клиент в схеме БД"/>
    <d v="2025-06-16T00:00:00"/>
    <m/>
    <n v="1247.7313973684211"/>
    <n v="9981.8511789473687"/>
    <x v="1"/>
  </r>
  <r>
    <n v="432432"/>
    <x v="1"/>
    <n v="13969"/>
    <x v="13"/>
    <s v="Внутренняя деятельность"/>
    <d v="2025-06-09T00:00:00"/>
    <n v="0.5"/>
    <n v="0.5"/>
    <s v="ежедейл"/>
    <d v="2025-06-29T00:00:00"/>
    <m/>
    <n v="1418"/>
    <n v="709"/>
    <x v="1"/>
  </r>
  <r>
    <n v="430391"/>
    <x v="12"/>
    <n v="54647"/>
    <x v="10"/>
    <s v="Работа"/>
    <d v="2025-06-09T00:00:00"/>
    <n v="8"/>
    <n v="8"/>
    <s v="Новая логика содания полиса"/>
    <d v="2025-06-23T00:00:00"/>
    <m/>
    <n v="1663.6418631578947"/>
    <n v="13309.134905263158"/>
    <x v="1"/>
  </r>
  <r>
    <n v="432449"/>
    <x v="6"/>
    <n v="54720"/>
    <x v="13"/>
    <s v="Работа"/>
    <d v="2025-06-09T00:00:00"/>
    <n v="4"/>
    <n v="4"/>
    <n v="2715"/>
    <d v="2025-06-29T00:00:00"/>
    <m/>
    <n v="1418"/>
    <n v="5672"/>
    <x v="1"/>
  </r>
  <r>
    <n v="432450"/>
    <x v="6"/>
    <n v="54720"/>
    <x v="13"/>
    <s v="Работа"/>
    <d v="2025-06-09T00:00:00"/>
    <n v="1"/>
    <n v="1"/>
    <n v="2727"/>
    <d v="2025-06-29T00:00:00"/>
    <m/>
    <n v="1418"/>
    <n v="1418"/>
    <x v="1"/>
  </r>
  <r>
    <n v="426619"/>
    <x v="1"/>
    <n v="13970"/>
    <x v="7"/>
    <s v="Внутренняя деятельность"/>
    <d v="2025-06-09T00:00:00"/>
    <n v="16"/>
    <n v="16"/>
    <s v="работы связанные с аналитикой и спецификацией в проекте ЖКХ"/>
    <d v="2025-06-09T00:00:00"/>
    <m/>
    <n v="1996.3702361842106"/>
    <n v="31941.92377894737"/>
    <x v="1"/>
  </r>
  <r>
    <n v="426644"/>
    <x v="9"/>
    <n v="51263"/>
    <x v="11"/>
    <s v="Работа"/>
    <d v="2025-06-09T00:00:00"/>
    <n v="5.5"/>
    <n v="5.5"/>
    <s v="Tasks 2775, 1932, 2802"/>
    <d v="2025-06-09T00:00:00"/>
    <m/>
    <n v="665.45674539473691"/>
    <n v="3660.012099671053"/>
    <x v="1"/>
  </r>
  <r>
    <n v="428706"/>
    <x v="6"/>
    <n v="52109"/>
    <x v="16"/>
    <s v="Работа"/>
    <d v="2025-06-09T00:00:00"/>
    <n v="8"/>
    <n v="8"/>
    <s v="Главная страница. Детальный анализ согласно бренд-буку"/>
    <d v="2025-06-18T00:00:00"/>
    <m/>
    <n v="1247.7313973684211"/>
    <n v="9981.8511789473687"/>
    <x v="1"/>
  </r>
  <r>
    <n v="430529"/>
    <x v="12"/>
    <n v="54578"/>
    <x v="9"/>
    <s v="Работа"/>
    <d v="2025-06-09T00:00:00"/>
    <n v="1"/>
    <n v="1"/>
    <s v="Разработка нового контрола для сбора информации о транзитном транспортном средстве"/>
    <d v="2025-06-24T00:00:00"/>
    <m/>
    <n v="2079.5523289473686"/>
    <n v="2079.5523289473686"/>
    <x v="1"/>
  </r>
  <r>
    <n v="430530"/>
    <x v="12"/>
    <n v="54579"/>
    <x v="9"/>
    <s v="Работа"/>
    <d v="2025-06-09T00:00:00"/>
    <n v="6"/>
    <n v="6"/>
    <s v="Доработка бизнес логики передачи информации о передаче информации о тразитном транспортном средстве на серверную часть анкеты"/>
    <d v="2025-06-24T00:00:00"/>
    <m/>
    <n v="2079.5523289473686"/>
    <n v="12477.313973684211"/>
    <x v="1"/>
  </r>
  <r>
    <n v="430531"/>
    <x v="9"/>
    <n v="51251"/>
    <x v="9"/>
    <s v="Работа"/>
    <d v="2025-06-09T00:00:00"/>
    <n v="1"/>
    <n v="1"/>
    <s v="деплой 2383 - Настроить просмотр фото каталога, не открывая карточку товара"/>
    <d v="2025-06-24T00:00:00"/>
    <m/>
    <n v="2079.5523289473686"/>
    <n v="2079.5523289473686"/>
    <x v="1"/>
  </r>
  <r>
    <n v="427980"/>
    <x v="1"/>
    <n v="13969"/>
    <x v="8"/>
    <s v="Внутренняя деятельность"/>
    <d v="2025-06-09T00:00:00"/>
    <n v="7.5"/>
    <n v="7.5"/>
    <s v="(П): UC-2.70 Актуализировать описание сущности клиент в схеме БД"/>
    <d v="2025-06-16T00:00:00"/>
    <m/>
    <n v="1247.7313973684211"/>
    <n v="9357.985480263158"/>
    <x v="1"/>
  </r>
  <r>
    <n v="427983"/>
    <x v="1"/>
    <n v="13969"/>
    <x v="8"/>
    <s v="Внутренняя деятельность"/>
    <d v="2025-06-09T00:00:00"/>
    <n v="0.5"/>
    <n v="0.5"/>
    <s v="Созвон с командой"/>
    <d v="2025-06-16T00:00:00"/>
    <m/>
    <n v="1247.7313973684211"/>
    <n v="623.86569868421054"/>
    <x v="1"/>
  </r>
  <r>
    <n v="426493"/>
    <x v="6"/>
    <n v="54722"/>
    <x v="14"/>
    <s v="Работа"/>
    <d v="2025-06-09T00:00:00"/>
    <n v="4"/>
    <n v="4"/>
    <s v="Админка, прикрутил к блокам федеральные округа, разный контент в зависимости от блока"/>
    <d v="2025-06-09T00:00:00"/>
    <m/>
    <n v="1871.5970960526315"/>
    <n v="7486.3883842105261"/>
    <x v="1"/>
  </r>
  <r>
    <n v="430390"/>
    <x v="12"/>
    <n v="54647"/>
    <x v="10"/>
    <s v="Работа"/>
    <d v="2025-06-06T00:00:00"/>
    <n v="8"/>
    <n v="8"/>
    <s v="Новая логика содания полиса"/>
    <d v="2025-06-23T00:00:00"/>
    <m/>
    <n v="1663.6418631578947"/>
    <n v="13309.134905263158"/>
    <x v="1"/>
  </r>
  <r>
    <n v="426055"/>
    <x v="1"/>
    <n v="13970"/>
    <x v="8"/>
    <s v="Внутренняя деятельность"/>
    <d v="2025-06-06T00:00:00"/>
    <n v="1.5"/>
    <n v="1.5"/>
    <s v="Созвон с командой"/>
    <d v="2025-06-06T00:00:00"/>
    <m/>
    <n v="1247.7313973684211"/>
    <n v="1871.5970960526315"/>
    <x v="1"/>
  </r>
  <r>
    <n v="426062"/>
    <x v="1"/>
    <n v="13969"/>
    <x v="8"/>
    <s v="Внутренняя деятельность"/>
    <d v="2025-06-06T00:00:00"/>
    <n v="6.5"/>
    <n v="6.5"/>
    <s v="(П): UC-2.70 Актуализировать описание сущности клиент в схеме БД"/>
    <d v="2025-06-06T00:00:00"/>
    <m/>
    <n v="1247.7313973684211"/>
    <n v="8110.2540828947367"/>
    <x v="1"/>
  </r>
  <r>
    <n v="428705"/>
    <x v="6"/>
    <n v="52109"/>
    <x v="16"/>
    <s v="Работа"/>
    <d v="2025-06-06T00:00:00"/>
    <n v="8"/>
    <n v="8"/>
    <s v="Главная страница. Детальный дизайн согласно бренд-буку"/>
    <d v="2025-06-18T00:00:00"/>
    <m/>
    <n v="1247.7313973684211"/>
    <n v="9981.8511789473687"/>
    <x v="1"/>
  </r>
  <r>
    <n v="426166"/>
    <x v="1"/>
    <n v="13970"/>
    <x v="7"/>
    <s v="Внутренняя деятельность"/>
    <d v="2025-06-06T00:00:00"/>
    <n v="8"/>
    <n v="8"/>
    <s v="работы связанные с аналитикой и спецификацией в проекте ЖКХ"/>
    <d v="2025-06-06T00:00:00"/>
    <m/>
    <n v="1996.3702361842106"/>
    <n v="15970.961889473685"/>
    <x v="1"/>
  </r>
  <r>
    <n v="430527"/>
    <x v="12"/>
    <n v="54578"/>
    <x v="9"/>
    <s v="Работа"/>
    <d v="2025-06-06T00:00:00"/>
    <n v="5"/>
    <n v="5"/>
    <s v="Разработка нового контрола для сбора информации о транзитном транспортном средстве"/>
    <d v="2025-06-24T00:00:00"/>
    <m/>
    <n v="2079.5523289473686"/>
    <n v="10397.761644736842"/>
    <x v="1"/>
  </r>
  <r>
    <n v="430528"/>
    <x v="12"/>
    <n v="54576"/>
    <x v="9"/>
    <s v="Работа"/>
    <d v="2025-06-06T00:00:00"/>
    <n v="3"/>
    <n v="3"/>
    <s v="Аналитика и проектирование нового решения"/>
    <d v="2025-06-24T00:00:00"/>
    <m/>
    <n v="2079.5523289473686"/>
    <n v="6238.6569868421057"/>
    <x v="1"/>
  </r>
  <r>
    <n v="432430"/>
    <x v="1"/>
    <n v="13969"/>
    <x v="13"/>
    <s v="Внутренняя деятельность"/>
    <d v="2025-06-05T00:00:00"/>
    <n v="0.5"/>
    <n v="0.5"/>
    <s v="ежедейл"/>
    <d v="2025-06-29T00:00:00"/>
    <m/>
    <n v="1418"/>
    <n v="709"/>
    <x v="1"/>
  </r>
  <r>
    <n v="432447"/>
    <x v="1"/>
    <n v="13969"/>
    <x v="13"/>
    <s v="Внутренняя деятельность"/>
    <d v="2025-06-05T00:00:00"/>
    <n v="1"/>
    <n v="1"/>
    <s v="коннект, внутреннее демо"/>
    <d v="2025-06-29T00:00:00"/>
    <m/>
    <n v="1418"/>
    <n v="1418"/>
    <x v="1"/>
  </r>
  <r>
    <n v="426060"/>
    <x v="1"/>
    <n v="13969"/>
    <x v="8"/>
    <s v="Внутренняя деятельность"/>
    <d v="2025-06-05T00:00:00"/>
    <n v="3.5"/>
    <n v="3.5"/>
    <s v="(П): UC-2.70 Актуализировать описание сущности клиент в схеме БД"/>
    <d v="2025-06-06T00:00:00"/>
    <m/>
    <n v="1247.7313973684211"/>
    <n v="4367.0598907894737"/>
    <x v="1"/>
  </r>
  <r>
    <n v="434520"/>
    <x v="1"/>
    <n v="13969"/>
    <x v="6"/>
    <s v="Внутренняя деятельность"/>
    <d v="2025-06-05T00:00:00"/>
    <n v="152"/>
    <n v="152"/>
    <s v="CustomDev Admin"/>
    <d v="2025-07-02T00:00:00"/>
    <m/>
    <n v="998.1851177631579"/>
    <n v="151724.1379"/>
    <x v="1"/>
  </r>
  <r>
    <n v="425829"/>
    <x v="5"/>
    <n v="54819"/>
    <x v="10"/>
    <s v="Работа"/>
    <d v="2025-06-05T00:00:00"/>
    <n v="6"/>
    <n v="6"/>
    <s v="Заявки не отображались, т.к полисы для них не были созданы из-за недоступности есбд. Пришлось перезапускать создание полисов для первых 2-х заявок. Для 3 заявки не удалось перезапустить создание полиса, т.к там не хватает данных. 4 заявку не нашел ни в БД, ни в ЛК"/>
    <d v="2025-06-06T00:00:00"/>
    <m/>
    <n v="1663.6418631578947"/>
    <n v="9981.8511789473687"/>
    <x v="1"/>
  </r>
  <r>
    <n v="428704"/>
    <x v="6"/>
    <n v="52109"/>
    <x v="16"/>
    <s v="Работа"/>
    <d v="2025-06-05T00:00:00"/>
    <n v="8"/>
    <n v="8"/>
    <s v="Адаптация старого UI Kit под бренд-бук заказчика. Доработка компонентов."/>
    <d v="2025-06-18T00:00:00"/>
    <m/>
    <n v="1247.7313973684211"/>
    <n v="9981.8511789473687"/>
    <x v="1"/>
  </r>
  <r>
    <n v="426165"/>
    <x v="1"/>
    <n v="13970"/>
    <x v="7"/>
    <s v="Внутренняя деятельность"/>
    <d v="2025-06-05T00:00:00"/>
    <n v="8"/>
    <n v="8"/>
    <s v="работы связанные с аналитикой и спецификацией в проекте ЖКХ"/>
    <d v="2025-06-06T00:00:00"/>
    <m/>
    <n v="1996.3702361842106"/>
    <n v="15970.961889473685"/>
    <x v="1"/>
  </r>
  <r>
    <n v="425675"/>
    <x v="1"/>
    <n v="13969"/>
    <x v="8"/>
    <s v="Внутренняя деятельность"/>
    <d v="2025-06-05T00:00:00"/>
    <n v="4"/>
    <n v="4"/>
    <s v="backend: UC-2.30 реализовать прокси-сервис для работы с dadata для получения информации об организациях. Исправление комментов по МР, поиск и внедрение более оптимальной библиотеки для работы с датами"/>
    <d v="2025-06-05T00:00:00"/>
    <m/>
    <n v="1247.7313973684211"/>
    <n v="4990.9255894736843"/>
    <x v="1"/>
  </r>
  <r>
    <n v="425679"/>
    <x v="1"/>
    <n v="13969"/>
    <x v="8"/>
    <s v="Внутренняя деятельность"/>
    <d v="2025-06-05T00:00:00"/>
    <n v="0.5"/>
    <n v="0.5"/>
    <s v="Созвон с командой"/>
    <d v="2025-06-05T00:00:00"/>
    <m/>
    <n v="1247.7313973684211"/>
    <n v="623.86569868421054"/>
    <x v="1"/>
  </r>
  <r>
    <n v="432427"/>
    <x v="1"/>
    <n v="13969"/>
    <x v="13"/>
    <s v="Внутренняя деятельность"/>
    <d v="2025-06-04T00:00:00"/>
    <n v="0.5"/>
    <n v="0.5"/>
    <s v="ежедейл"/>
    <d v="2025-06-29T00:00:00"/>
    <m/>
    <n v="1418"/>
    <n v="709"/>
    <x v="1"/>
  </r>
  <r>
    <n v="430389"/>
    <x v="12"/>
    <n v="54647"/>
    <x v="10"/>
    <s v="Работа"/>
    <d v="2025-06-04T00:00:00"/>
    <n v="8"/>
    <n v="8"/>
    <s v="API для добавления/обновления транзитного ТС"/>
    <d v="2025-06-23T00:00:00"/>
    <m/>
    <n v="1663.6418631578947"/>
    <n v="13309.134905263158"/>
    <x v="1"/>
  </r>
  <r>
    <n v="432446"/>
    <x v="6"/>
    <n v="54722"/>
    <x v="13"/>
    <s v="Работа"/>
    <d v="2025-06-04T00:00:00"/>
    <n v="3"/>
    <n v="3"/>
    <s v="строка формы, шаред компоненты для формы"/>
    <d v="2025-06-29T00:00:00"/>
    <m/>
    <n v="1418"/>
    <n v="4254"/>
    <x v="1"/>
  </r>
  <r>
    <n v="432448"/>
    <x v="6"/>
    <n v="54720"/>
    <x v="13"/>
    <s v="Работа"/>
    <d v="2025-06-04T00:00:00"/>
    <n v="3"/>
    <n v="3"/>
    <s v="2710,блок формы, адаптив.БЛ"/>
    <d v="2025-06-29T00:00:00"/>
    <m/>
    <n v="1418"/>
    <n v="4254"/>
    <x v="1"/>
  </r>
  <r>
    <n v="425306"/>
    <x v="1"/>
    <n v="13970"/>
    <x v="7"/>
    <s v="Внутренняя деятельность"/>
    <d v="2025-06-04T00:00:00"/>
    <n v="8"/>
    <n v="8"/>
    <s v="работы связанные с аналитикой и спецификацией в проекте ЖКХ"/>
    <d v="2025-06-04T00:00:00"/>
    <m/>
    <n v="1996.3702361842106"/>
    <n v="15970.961889473685"/>
    <x v="1"/>
  </r>
  <r>
    <n v="428697"/>
    <x v="8"/>
    <n v="54433"/>
    <x v="16"/>
    <s v="Работа"/>
    <d v="2025-06-04T00:00:00"/>
    <n v="6.5"/>
    <n v="6.5"/>
    <s v="Подробности в ОР"/>
    <d v="2025-06-18T00:00:00"/>
    <m/>
    <n v="1247.7313973684211"/>
    <n v="8110.2540828947367"/>
    <x v="1"/>
  </r>
  <r>
    <n v="425400"/>
    <x v="9"/>
    <n v="51263"/>
    <x v="11"/>
    <s v="Работа"/>
    <d v="2025-06-04T00:00:00"/>
    <n v="1"/>
    <n v="1"/>
    <s v="Поднимали у Альберта сервер"/>
    <d v="2025-06-04T00:00:00"/>
    <m/>
    <n v="665.45674539473691"/>
    <n v="665.45674539473691"/>
    <x v="1"/>
  </r>
  <r>
    <n v="425401"/>
    <x v="9"/>
    <n v="51263"/>
    <x v="11"/>
    <s v="Работа"/>
    <d v="2025-06-04T00:00:00"/>
    <n v="0.5"/>
    <n v="0.5"/>
    <s v="Поднимал сервер на wsl, тестировал деплой на тестовый стенд"/>
    <d v="2025-06-04T00:00:00"/>
    <m/>
    <n v="665.45674539473691"/>
    <n v="332.72837269736846"/>
    <x v="1"/>
  </r>
  <r>
    <n v="430522"/>
    <x v="3"/>
    <n v="21152"/>
    <x v="9"/>
    <s v="Внутренняя деятельность"/>
    <d v="2025-06-04T00:00:00"/>
    <n v="2"/>
    <n v="2"/>
    <s v="Подготовка предложений и встречи по не резидентам виктории"/>
    <d v="2025-06-24T00:00:00"/>
    <m/>
    <n v="2079.5523289473686"/>
    <n v="4159.1046578947371"/>
    <x v="1"/>
  </r>
  <r>
    <n v="425403"/>
    <x v="9"/>
    <n v="51263"/>
    <x v="11"/>
    <s v="Работа"/>
    <d v="2025-06-04T00:00:00"/>
    <n v="1"/>
    <n v="1"/>
    <s v="Task 1420"/>
    <d v="2025-06-04T00:00:00"/>
    <m/>
    <n v="665.45674539473691"/>
    <n v="665.45674539473691"/>
    <x v="1"/>
  </r>
  <r>
    <n v="425406"/>
    <x v="9"/>
    <n v="51263"/>
    <x v="11"/>
    <s v="Работа"/>
    <d v="2025-06-04T00:00:00"/>
    <n v="3.5"/>
    <n v="3.5"/>
    <s v="Task2775"/>
    <d v="2025-06-04T00:00:00"/>
    <m/>
    <n v="665.45674539473691"/>
    <n v="2329.0986088815794"/>
    <x v="1"/>
  </r>
  <r>
    <n v="425673"/>
    <x v="1"/>
    <n v="13969"/>
    <x v="8"/>
    <s v="Внутренняя деятельность"/>
    <d v="2025-06-04T00:00:00"/>
    <n v="2"/>
    <n v="2"/>
    <s v="backend: UC-2.30 реализовать прокси-сервис для работы с dadata для получения информации об организациях. Разработка"/>
    <d v="2025-06-05T00:00:00"/>
    <m/>
    <n v="1247.7313973684211"/>
    <n v="2495.4627947368422"/>
    <x v="1"/>
  </r>
  <r>
    <n v="425674"/>
    <x v="1"/>
    <n v="13969"/>
    <x v="8"/>
    <s v="Внутренняя деятельность"/>
    <d v="2025-06-04T00:00:00"/>
    <n v="5"/>
    <n v="5"/>
    <s v="backend: UC-2.30 реализовать прокси-сервис для работы с dadata для получения информации об организациях. Тестирование и написание тестов"/>
    <d v="2025-06-05T00:00:00"/>
    <m/>
    <n v="1247.7313973684211"/>
    <n v="6238.6569868421057"/>
    <x v="1"/>
  </r>
  <r>
    <n v="425678"/>
    <x v="1"/>
    <n v="13969"/>
    <x v="8"/>
    <s v="Внутренняя деятельность"/>
    <d v="2025-06-04T00:00:00"/>
    <n v="1"/>
    <n v="1"/>
    <s v="Созвон с командой"/>
    <d v="2025-06-05T00:00:00"/>
    <m/>
    <n v="1247.7313973684211"/>
    <n v="1247.7313973684211"/>
    <x v="1"/>
  </r>
  <r>
    <n v="430575"/>
    <x v="6"/>
    <n v="54721"/>
    <x v="9"/>
    <s v="Работа"/>
    <d v="2025-06-04T00:00:00"/>
    <n v="22"/>
    <n v="22"/>
    <s v="ревью"/>
    <d v="2025-06-24T00:00:00"/>
    <m/>
    <n v="2079.5523289473686"/>
    <n v="45750.15123684211"/>
    <x v="1"/>
  </r>
  <r>
    <n v="430388"/>
    <x v="12"/>
    <n v="54647"/>
    <x v="10"/>
    <s v="Работа"/>
    <d v="2025-06-03T00:00:00"/>
    <n v="8"/>
    <n v="8"/>
    <s v="API для добавления/обновления транзитного ТС"/>
    <d v="2025-06-23T00:00:00"/>
    <m/>
    <n v="1663.6418631578947"/>
    <n v="13309.134905263158"/>
    <x v="1"/>
  </r>
  <r>
    <n v="432444"/>
    <x v="6"/>
    <n v="54720"/>
    <x v="13"/>
    <s v="Работа"/>
    <d v="2025-06-03T00:00:00"/>
    <n v="0.5"/>
    <n v="0.5"/>
    <s v="Карта покрытия - Вводный блок с текстом и картинкой"/>
    <d v="2025-06-29T00:00:00"/>
    <m/>
    <n v="1418"/>
    <n v="709"/>
    <x v="1"/>
  </r>
  <r>
    <n v="432445"/>
    <x v="6"/>
    <n v="54720"/>
    <x v="13"/>
    <s v="Работа"/>
    <d v="2025-06-03T00:00:00"/>
    <n v="2"/>
    <n v="2"/>
    <s v="Блок поиска/добавления спутников"/>
    <d v="2025-06-29T00:00:00"/>
    <m/>
    <n v="1418"/>
    <n v="2836"/>
    <x v="1"/>
  </r>
  <r>
    <n v="425305"/>
    <x v="1"/>
    <n v="13970"/>
    <x v="7"/>
    <s v="Внутренняя деятельность"/>
    <d v="2025-06-03T00:00:00"/>
    <n v="8"/>
    <n v="8"/>
    <s v="работы связанные с аналитикой и спецификацией в проекте ЖКХ"/>
    <d v="2025-06-04T00:00:00"/>
    <m/>
    <n v="1996.3702361842106"/>
    <n v="15970.961889473685"/>
    <x v="1"/>
  </r>
  <r>
    <n v="424827"/>
    <x v="6"/>
    <n v="54460"/>
    <x v="3"/>
    <s v="Работа"/>
    <d v="2025-06-03T00:00:00"/>
    <n v="3"/>
    <n v="3"/>
    <s v="Фикс проблем с докером и зависимостями, запуск проекта"/>
    <d v="2025-06-03T00:00:00"/>
    <m/>
    <n v="1081.3672111842104"/>
    <n v="3244.101633552631"/>
    <x v="1"/>
  </r>
  <r>
    <n v="428692"/>
    <x v="8"/>
    <n v="54433"/>
    <x v="16"/>
    <s v="Работа"/>
    <d v="2025-06-03T00:00:00"/>
    <n v="8"/>
    <n v="8"/>
    <s v="Подробности в ОР"/>
    <d v="2025-06-18T00:00:00"/>
    <m/>
    <n v="1247.7313973684211"/>
    <n v="9981.8511789473687"/>
    <x v="1"/>
  </r>
  <r>
    <n v="430519"/>
    <x v="3"/>
    <n v="21152"/>
    <x v="9"/>
    <s v="Внутренняя деятельность"/>
    <d v="2025-06-03T00:00:00"/>
    <n v="2"/>
    <n v="2"/>
    <s v="Подготовка предложений и встречи по не резидентам виктории"/>
    <d v="2025-06-24T00:00:00"/>
    <m/>
    <n v="2079.5523289473686"/>
    <n v="4159.1046578947371"/>
    <x v="1"/>
  </r>
  <r>
    <n v="425671"/>
    <x v="1"/>
    <n v="13969"/>
    <x v="8"/>
    <s v="Внутренняя деятельность"/>
    <d v="2025-06-03T00:00:00"/>
    <n v="4.5"/>
    <n v="4.5"/>
    <s v="backend: UC-2.30 реализовать прокси-сервис для работы с dadata для получения информации об организациях. Разработка"/>
    <d v="2025-06-05T00:00:00"/>
    <m/>
    <n v="1247.7313973684211"/>
    <n v="5614.791288157895"/>
    <x v="1"/>
  </r>
  <r>
    <n v="425672"/>
    <x v="1"/>
    <n v="13969"/>
    <x v="8"/>
    <s v="Внутренняя деятельность"/>
    <d v="2025-06-03T00:00:00"/>
    <n v="3"/>
    <n v="3"/>
    <s v="Попытка решить проблему с dns в wsl2"/>
    <d v="2025-06-05T00:00:00"/>
    <m/>
    <n v="1247.7313973684211"/>
    <n v="3743.194192105263"/>
    <x v="1"/>
  </r>
  <r>
    <n v="425677"/>
    <x v="1"/>
    <n v="13969"/>
    <x v="8"/>
    <s v="Внутренняя деятельность"/>
    <d v="2025-06-03T00:00:00"/>
    <n v="0.5"/>
    <n v="0.5"/>
    <s v="Созвон с командой"/>
    <d v="2025-06-05T00:00:00"/>
    <m/>
    <n v="1247.7313973684211"/>
    <n v="623.86569868421054"/>
    <x v="1"/>
  </r>
  <r>
    <n v="424936"/>
    <x v="9"/>
    <n v="51263"/>
    <x v="11"/>
    <s v="Работа"/>
    <d v="2025-06-03T00:00:00"/>
    <n v="4"/>
    <n v="4"/>
    <s v="Tasks 1420, 2774"/>
    <d v="2025-06-03T00:00:00"/>
    <m/>
    <n v="665.45674539473691"/>
    <n v="2661.8269815789477"/>
    <x v="1"/>
  </r>
  <r>
    <n v="424699"/>
    <x v="10"/>
    <n v="52828"/>
    <x v="14"/>
    <s v="Работа"/>
    <d v="2025-06-03T00:00:00"/>
    <n v="2"/>
    <n v="2"/>
    <s v="Системное администрирование"/>
    <d v="2025-06-03T00:00:00"/>
    <m/>
    <n v="1871.5970960526315"/>
    <n v="3743.194192105263"/>
    <x v="1"/>
  </r>
  <r>
    <n v="432426"/>
    <x v="1"/>
    <n v="13969"/>
    <x v="13"/>
    <s v="Внутренняя деятельность"/>
    <d v="2025-06-02T00:00:00"/>
    <n v="0.5"/>
    <n v="0.5"/>
    <s v="ежедейл"/>
    <d v="2025-06-29T00:00:00"/>
    <m/>
    <n v="1418"/>
    <n v="709"/>
    <x v="1"/>
  </r>
  <r>
    <n v="424257"/>
    <x v="9"/>
    <n v="51263"/>
    <x v="11"/>
    <s v="Работа"/>
    <d v="2025-06-02T00:00:00"/>
    <n v="5.5"/>
    <n v="5.5"/>
    <s v="Task 2402"/>
    <d v="2025-06-02T00:00:00"/>
    <m/>
    <n v="665.45674539473691"/>
    <n v="3660.012099671053"/>
    <x v="1"/>
  </r>
  <r>
    <n v="425304"/>
    <x v="1"/>
    <n v="13970"/>
    <x v="7"/>
    <s v="Внутренняя деятельность"/>
    <d v="2025-06-02T00:00:00"/>
    <n v="8"/>
    <n v="8"/>
    <s v="работы связанные с аналитикой и спецификацией в проекте ЖКХ"/>
    <d v="2025-06-04T00:00:00"/>
    <m/>
    <n v="1996.3702361842106"/>
    <n v="15970.961889473685"/>
    <x v="1"/>
  </r>
  <r>
    <n v="429196"/>
    <x v="12"/>
    <n v="54647"/>
    <x v="10"/>
    <s v="Работа"/>
    <d v="2025-06-02T00:00:00"/>
    <n v="34"/>
    <n v="34"/>
    <s v="API для добавления/обновления транзитного ТС"/>
    <d v="2025-06-19T00:00:00"/>
    <m/>
    <n v="1663.6418631578947"/>
    <n v="56563.823347368423"/>
    <x v="1"/>
  </r>
  <r>
    <n v="428688"/>
    <x v="8"/>
    <n v="54160"/>
    <x v="16"/>
    <s v="Работа"/>
    <d v="2025-06-02T00:00:00"/>
    <n v="5.5"/>
    <n v="5.5"/>
    <s v="Подробности в ОР"/>
    <d v="2025-06-18T00:00:00"/>
    <m/>
    <n v="1247.7313973684211"/>
    <n v="6862.5226855263163"/>
    <x v="1"/>
  </r>
  <r>
    <n v="430517"/>
    <x v="3"/>
    <n v="21152"/>
    <x v="9"/>
    <s v="Внутренняя деятельность"/>
    <d v="2025-06-02T00:00:00"/>
    <n v="10"/>
    <n v="10"/>
    <s v="Подготовка предложений и встречи по не резидентам виктории"/>
    <d v="2025-06-24T00:00:00"/>
    <m/>
    <n v="2079.5523289473686"/>
    <n v="20795.523289473684"/>
    <x v="1"/>
  </r>
  <r>
    <n v="423877"/>
    <x v="1"/>
    <n v="46387"/>
    <x v="1"/>
    <s v="Внутренняя деятельность"/>
    <d v="2025-06-02T00:00:00"/>
    <n v="16"/>
    <n v="16"/>
    <s v="R&amp;amp;D, Task planning, Tech. support of users and etc."/>
    <d v="2025-06-02T00:00:00"/>
    <m/>
    <n v="2495.4627947368422"/>
    <n v="39927.404715789475"/>
    <x v="1"/>
  </r>
  <r>
    <n v="425670"/>
    <x v="1"/>
    <n v="13969"/>
    <x v="8"/>
    <s v="Внутренняя деятельность"/>
    <d v="2025-06-02T00:00:00"/>
    <n v="4.5"/>
    <n v="4.5"/>
    <s v="backend: UC-2.30 реализовать прокси-сервис для работы с dadata для получения информации об организациях. Разработка"/>
    <d v="2025-06-05T00:00:00"/>
    <m/>
    <n v="1247.7313973684211"/>
    <n v="5614.791288157895"/>
    <x v="1"/>
  </r>
  <r>
    <n v="425676"/>
    <x v="1"/>
    <n v="13969"/>
    <x v="8"/>
    <s v="Внутренняя деятельность"/>
    <d v="2025-06-02T00:00:00"/>
    <n v="0.5"/>
    <n v="0.5"/>
    <s v="Созвон с командой"/>
    <d v="2025-06-05T00:00:00"/>
    <m/>
    <n v="1247.7313973684211"/>
    <n v="623.86569868421054"/>
    <x v="1"/>
  </r>
  <r>
    <n v="425680"/>
    <x v="1"/>
    <n v="13969"/>
    <x v="8"/>
    <s v="Внутренняя деятельность"/>
    <d v="2025-06-02T00:00:00"/>
    <n v="3"/>
    <n v="3"/>
    <s v="backend: автоматизация подготовки схемы валидации параметров. Изменение спецификации в рамках задачи"/>
    <d v="2025-06-05T00:00:00"/>
    <m/>
    <n v="1247.7313973684211"/>
    <n v="3743.194192105263"/>
    <x v="1"/>
  </r>
  <r>
    <n v="434662"/>
    <x v="3"/>
    <n v="21152"/>
    <x v="0"/>
    <s v="Внутренняя деятельность"/>
    <d v="2025-06-02T00:00:00"/>
    <n v="123"/>
    <n v="123"/>
    <s v="Подготовка предложений и встречи по не резидентам виктории"/>
    <d v="2025-07-02T00:00:00"/>
    <m/>
    <n v="2329.0986085526315"/>
    <n v="286479.12885197368"/>
    <x v="1"/>
  </r>
  <r>
    <n v="434663"/>
    <x v="3"/>
    <n v="21152"/>
    <x v="1"/>
    <s v="Внутренняя деятельность"/>
    <d v="2025-06-02T00:00:00"/>
    <n v="88"/>
    <n v="88"/>
    <s v="Подготовка предложений и встречи по не резидентам виктории"/>
    <d v="2025-07-02T00:00:00"/>
    <m/>
    <n v="2495.4627947368422"/>
    <n v="219600.72593684212"/>
    <x v="1"/>
  </r>
  <r>
    <n v="424938"/>
    <x v="9"/>
    <n v="51263"/>
    <x v="11"/>
    <s v="Работа"/>
    <d v="2025-06-02T00:00:00"/>
    <n v="2"/>
    <n v="2"/>
    <s v="Task 1420"/>
    <d v="2025-06-03T00:00:00"/>
    <m/>
    <n v="665.45674539473691"/>
    <n v="1330.9134907894738"/>
    <x v="1"/>
  </r>
  <r>
    <n v="432271"/>
    <x v="2"/>
    <n v="29"/>
    <x v="5"/>
    <s v="Внутренняя деятельность"/>
    <d v="2025-05-31T00:00:00"/>
    <n v="24"/>
    <n v="24"/>
    <s v="-"/>
    <d v="2025-06-28T00:00:00"/>
    <m/>
    <n v="526.81992361111111"/>
    <n v="12643.678166666667"/>
    <x v="2"/>
  </r>
  <r>
    <n v="432293"/>
    <x v="6"/>
    <n v="54722"/>
    <x v="14"/>
    <s v="Работа"/>
    <d v="2025-05-31T00:00:00"/>
    <n v="36"/>
    <n v="36"/>
    <s v="R&amp;amp;D"/>
    <d v="2025-06-28T00:00:00"/>
    <m/>
    <n v="1975.5747125"/>
    <n v="71120.68965"/>
    <x v="2"/>
  </r>
  <r>
    <n v="423915"/>
    <x v="6"/>
    <n v="54720"/>
    <x v="13"/>
    <s v="Работа"/>
    <d v="2025-05-31T00:00:00"/>
    <n v="2"/>
    <n v="2"/>
    <s v="https://projects-customdev.wone-it.ru/projects/konnect-website/work_packages/2706"/>
    <d v="2025-06-02T00:00:00"/>
    <m/>
    <n v="1418"/>
    <n v="2836"/>
    <x v="2"/>
  </r>
  <r>
    <n v="422401"/>
    <x v="0"/>
    <n v="53433"/>
    <x v="6"/>
    <s v="Работа"/>
    <d v="2025-05-30T00:00:00"/>
    <n v="3"/>
    <n v="3"/>
    <s v="поправки и локальное тестирование"/>
    <d v="2025-05-30T00:00:00"/>
    <m/>
    <n v="1053.6398465277778"/>
    <n v="3160.9195395833331"/>
    <x v="2"/>
  </r>
  <r>
    <n v="422402"/>
    <x v="0"/>
    <n v="52587"/>
    <x v="6"/>
    <s v="Работа"/>
    <d v="2025-05-30T00:00:00"/>
    <n v="3"/>
    <n v="3"/>
    <s v="поправки"/>
    <d v="2025-05-30T00:00:00"/>
    <m/>
    <n v="1053.6398465277778"/>
    <n v="3160.9195395833331"/>
    <x v="2"/>
  </r>
  <r>
    <n v="433691"/>
    <x v="1"/>
    <n v="13969"/>
    <x v="9"/>
    <s v="Внутренняя деятельность"/>
    <d v="2025-05-30T00:00:00"/>
    <n v="44"/>
    <n v="44"/>
    <s v="R&amp;amp;D"/>
    <d v="2025-07-01T00:00:00"/>
    <m/>
    <n v="2195.0830138888891"/>
    <n v="96583.652611111116"/>
    <x v="2"/>
  </r>
  <r>
    <n v="433693"/>
    <x v="3"/>
    <n v="21152"/>
    <x v="9"/>
    <s v="Внутренняя деятельность"/>
    <d v="2025-05-30T00:00:00"/>
    <n v="17"/>
    <n v="17"/>
    <s v="R&amp;amp;D"/>
    <d v="2025-07-01T00:00:00"/>
    <m/>
    <n v="2195.0830138888891"/>
    <n v="37316.411236111118"/>
    <x v="2"/>
  </r>
  <r>
    <n v="433697"/>
    <x v="2"/>
    <n v="29236"/>
    <x v="9"/>
    <s v="Внутренняя деятельность"/>
    <d v="2025-05-30T00:00:00"/>
    <n v="16"/>
    <n v="16"/>
    <s v="R&amp;amp;D"/>
    <d v="2025-07-01T00:00:00"/>
    <m/>
    <n v="2195.0830138888891"/>
    <n v="35121.328222222226"/>
    <x v="2"/>
  </r>
  <r>
    <n v="422949"/>
    <x v="9"/>
    <n v="51263"/>
    <x v="11"/>
    <s v="Работа"/>
    <d v="2025-05-30T00:00:00"/>
    <n v="2"/>
    <n v="2"/>
    <s v="Тестирование и написание wiki. Task 1932"/>
    <d v="2025-05-30T00:00:00"/>
    <m/>
    <n v="702.4265645833334"/>
    <n v="1404.8531291666668"/>
    <x v="2"/>
  </r>
  <r>
    <n v="422950"/>
    <x v="9"/>
    <n v="51263"/>
    <x v="11"/>
    <s v="Работа"/>
    <d v="2025-05-30T00:00:00"/>
    <n v="5"/>
    <n v="5"/>
    <s v="Task 1932"/>
    <d v="2025-05-30T00:00:00"/>
    <m/>
    <n v="702.4265645833334"/>
    <n v="3512.132822916667"/>
    <x v="2"/>
  </r>
  <r>
    <n v="422468"/>
    <x v="0"/>
    <n v="54687"/>
    <x v="0"/>
    <s v="Работа"/>
    <d v="2025-05-30T00:00:00"/>
    <n v="5"/>
    <n v="5"/>
    <s v="Предварительный анализ ТЗ"/>
    <d v="2025-05-30T00:00:00"/>
    <m/>
    <n v="2458.4929756944443"/>
    <n v="12292.464878472221"/>
    <x v="2"/>
  </r>
  <r>
    <n v="428676"/>
    <x v="8"/>
    <n v="54431"/>
    <x v="16"/>
    <s v="Работа"/>
    <d v="2025-05-30T00:00:00"/>
    <n v="4.5"/>
    <n v="4.5"/>
    <s v="Подробности в ОР"/>
    <d v="2025-06-18T00:00:00"/>
    <m/>
    <n v="1317.0498083333334"/>
    <n v="5926.7241375000003"/>
    <x v="2"/>
  </r>
  <r>
    <n v="432261"/>
    <x v="6"/>
    <n v="54460"/>
    <x v="3"/>
    <s v="Работа"/>
    <d v="2025-05-30T00:00:00"/>
    <n v="24"/>
    <n v="24"/>
    <s v="Развёртывание проекта, мёрж бэкенда и докер-файлов"/>
    <d v="2025-06-28T00:00:00"/>
    <m/>
    <n v="1141.4431673611111"/>
    <n v="27394.636016666667"/>
    <x v="2"/>
  </r>
  <r>
    <n v="422549"/>
    <x v="9"/>
    <n v="53305"/>
    <x v="11"/>
    <s v="Работа"/>
    <d v="2025-05-30T00:00:00"/>
    <n v="1"/>
    <n v="1"/>
    <s v="Оценки задачам на июнь"/>
    <d v="2025-05-30T00:00:00"/>
    <m/>
    <n v="702.4265645833334"/>
    <n v="702.4265645833334"/>
    <x v="2"/>
  </r>
  <r>
    <n v="432278"/>
    <x v="6"/>
    <n v="54720"/>
    <x v="12"/>
    <s v="Работа"/>
    <d v="2025-05-30T00:00:00"/>
    <n v="18"/>
    <n v="18"/>
    <s v="R&amp;amp;D"/>
    <d v="2025-06-28T00:00:00"/>
    <m/>
    <n v="1380"/>
    <n v="24840"/>
    <x v="2"/>
  </r>
  <r>
    <n v="432279"/>
    <x v="9"/>
    <n v="51251"/>
    <x v="12"/>
    <s v="Работа"/>
    <d v="2025-05-30T00:00:00"/>
    <n v="42"/>
    <n v="42"/>
    <s v="R&amp;amp;D"/>
    <d v="2025-06-28T00:00:00"/>
    <m/>
    <n v="1380"/>
    <n v="57960"/>
    <x v="2"/>
  </r>
  <r>
    <n v="432304"/>
    <x v="9"/>
    <n v="51251"/>
    <x v="15"/>
    <s v="Работа"/>
    <d v="2025-05-30T00:00:00"/>
    <n v="24"/>
    <n v="24"/>
    <s v="R&amp;amp;D"/>
    <d v="2025-06-28T00:00:00"/>
    <m/>
    <n v="439.01660277777779"/>
    <n v="10536.398466666667"/>
    <x v="2"/>
  </r>
  <r>
    <n v="432308"/>
    <x v="8"/>
    <n v="55472"/>
    <x v="4"/>
    <s v="Работа"/>
    <d v="2025-05-30T00:00:00"/>
    <n v="128"/>
    <n v="128"/>
    <s v="R&amp;amp;D"/>
    <d v="2025-06-28T00:00:00"/>
    <m/>
    <n v="1317.0498083333334"/>
    <n v="168582.37546666668"/>
    <x v="2"/>
  </r>
  <r>
    <n v="422839"/>
    <x v="1"/>
    <n v="13970"/>
    <x v="7"/>
    <s v="Внутренняя деятельность"/>
    <d v="2025-05-30T00:00:00"/>
    <n v="8"/>
    <n v="8"/>
    <s v="ЖКХ, ревью работы аналитиков по формальному описанию юз кейсов, проектирование"/>
    <d v="2025-05-30T00:00:00"/>
    <m/>
    <n v="2107.2796937500002"/>
    <n v="16858.237550000002"/>
    <x v="2"/>
  </r>
  <r>
    <n v="436680"/>
    <x v="14"/>
    <n v="53766"/>
    <x v="10"/>
    <s v="Работа"/>
    <d v="2025-05-30T00:00:00"/>
    <n v="40"/>
    <n v="40"/>
    <s v="-"/>
    <d v="2025-07-08T00:00:00"/>
    <m/>
    <n v="1756.0664111111112"/>
    <n v="70242.656444444452"/>
    <x v="2"/>
  </r>
  <r>
    <n v="422867"/>
    <x v="1"/>
    <n v="13969"/>
    <x v="8"/>
    <s v="Внутренняя деятельность"/>
    <d v="2025-05-30T00:00:00"/>
    <n v="7.5"/>
    <n v="7.5"/>
    <s v="backend: UC-2.30 реализовать прокси-сервис для работы с dadata для получения информации об организациях"/>
    <d v="2025-05-30T00:00:00"/>
    <m/>
    <n v="1317.0498083333334"/>
    <n v="9877.8735625000008"/>
    <x v="2"/>
  </r>
  <r>
    <n v="422868"/>
    <x v="1"/>
    <n v="13969"/>
    <x v="8"/>
    <s v="Внутренняя деятельность"/>
    <d v="2025-05-30T00:00:00"/>
    <n v="0.5"/>
    <n v="0.5"/>
    <s v="Созвон с командой"/>
    <d v="2025-05-30T00:00:00"/>
    <m/>
    <n v="1317.0498083333334"/>
    <n v="658.52490416666672"/>
    <x v="2"/>
  </r>
  <r>
    <n v="422360"/>
    <x v="9"/>
    <n v="51263"/>
    <x v="11"/>
    <s v="Работа"/>
    <d v="2025-05-30T00:00:00"/>
    <n v="1"/>
    <n v="1"/>
    <s v="Task: 1932"/>
    <d v="2025-05-30T00:00:00"/>
    <m/>
    <n v="702.4265645833334"/>
    <n v="702.4265645833334"/>
    <x v="2"/>
  </r>
  <r>
    <n v="423914"/>
    <x v="6"/>
    <n v="54720"/>
    <x v="13"/>
    <s v="Работа"/>
    <d v="2025-05-30T00:00:00"/>
    <n v="4"/>
    <n v="4"/>
    <s v="https://projects-customdev.wone-it.ru/projects/konnect-website/work_packages/2706"/>
    <d v="2025-06-02T00:00:00"/>
    <m/>
    <n v="1418"/>
    <n v="5672"/>
    <x v="2"/>
  </r>
  <r>
    <n v="421978"/>
    <x v="2"/>
    <n v="32"/>
    <x v="11"/>
    <s v="Внутренняя деятельность"/>
    <d v="2025-05-29T00:00:00"/>
    <n v="0.5"/>
    <n v="0.5"/>
    <s v="Daily"/>
    <d v="2025-05-29T00:00:00"/>
    <m/>
    <n v="702.4265645833334"/>
    <n v="351.2132822916667"/>
    <x v="2"/>
  </r>
  <r>
    <n v="428670"/>
    <x v="8"/>
    <n v="54431"/>
    <x v="16"/>
    <s v="Работа"/>
    <d v="2025-05-29T00:00:00"/>
    <n v="7.5"/>
    <n v="7.5"/>
    <s v="Подробности в ОР"/>
    <d v="2025-06-18T00:00:00"/>
    <m/>
    <n v="1317.0498083333334"/>
    <n v="9877.8735625000008"/>
    <x v="2"/>
  </r>
  <r>
    <n v="422837"/>
    <x v="1"/>
    <n v="13970"/>
    <x v="7"/>
    <s v="Внутренняя деятельность"/>
    <d v="2025-05-29T00:00:00"/>
    <n v="8"/>
    <n v="8"/>
    <s v="ЖКХ, ревью работы аналитиков по формальному описанию юз кейсов, проектирование"/>
    <d v="2025-05-30T00:00:00"/>
    <m/>
    <n v="2107.2796937500002"/>
    <n v="16858.237550000002"/>
    <x v="2"/>
  </r>
  <r>
    <n v="422342"/>
    <x v="9"/>
    <n v="51263"/>
    <x v="11"/>
    <s v="Работа"/>
    <d v="2025-05-29T00:00:00"/>
    <n v="2"/>
    <n v="2"/>
    <s v="написание документации и пополнение постмана"/>
    <d v="2025-05-30T00:00:00"/>
    <m/>
    <n v="702.4265645833334"/>
    <n v="1404.8531291666668"/>
    <x v="2"/>
  </r>
  <r>
    <n v="423881"/>
    <x v="0"/>
    <n v="52508"/>
    <x v="0"/>
    <s v="Работа"/>
    <d v="2025-05-29T00:00:00"/>
    <n v="8"/>
    <n v="8"/>
    <s v="Изучение системы"/>
    <d v="2025-06-02T00:00:00"/>
    <m/>
    <n v="2458.4929756944443"/>
    <n v="19667.943805555555"/>
    <x v="2"/>
  </r>
  <r>
    <n v="422863"/>
    <x v="1"/>
    <n v="13969"/>
    <x v="8"/>
    <s v="Внутренняя деятельность"/>
    <d v="2025-05-29T00:00:00"/>
    <n v="0.75"/>
    <n v="0.75"/>
    <s v="Созвон с командой"/>
    <d v="2025-05-30T00:00:00"/>
    <m/>
    <n v="1317.0498083333334"/>
    <n v="987.78735625000013"/>
    <x v="2"/>
  </r>
  <r>
    <n v="422864"/>
    <x v="1"/>
    <n v="13969"/>
    <x v="8"/>
    <s v="Внутренняя деятельность"/>
    <d v="2025-05-29T00:00:00"/>
    <n v="3"/>
    <n v="3"/>
    <s v="Добавить api contract tests на проект"/>
    <d v="2025-05-30T00:00:00"/>
    <m/>
    <n v="1317.0498083333334"/>
    <n v="3951.1494250000005"/>
    <x v="2"/>
  </r>
  <r>
    <n v="422865"/>
    <x v="1"/>
    <n v="13969"/>
    <x v="8"/>
    <s v="Внутренняя деятельность"/>
    <d v="2025-05-29T00:00:00"/>
    <n v="1.5"/>
    <n v="1.5"/>
    <s v="backend: UC-2.30 реализовать прокси-сервис для работы с dadata для получения информации об организациях"/>
    <d v="2025-05-30T00:00:00"/>
    <m/>
    <n v="1317.0498083333334"/>
    <n v="1975.5747125000003"/>
    <x v="2"/>
  </r>
  <r>
    <n v="423889"/>
    <x v="6"/>
    <n v="54720"/>
    <x v="13"/>
    <s v="Работа"/>
    <d v="2025-05-29T00:00:00"/>
    <n v="4"/>
    <n v="4"/>
    <s v="https://projects-customdev.wone-it.ru/projects/konnect-website/work_packages/2617"/>
    <d v="2025-06-02T00:00:00"/>
    <m/>
    <n v="1418"/>
    <n v="5672"/>
    <x v="2"/>
  </r>
  <r>
    <n v="422866"/>
    <x v="1"/>
    <n v="13969"/>
    <x v="8"/>
    <s v="Внутренняя деятельность"/>
    <d v="2025-05-29T00:00:00"/>
    <n v="2.75"/>
    <n v="2.75"/>
    <s v="backend: обновить версию dgraph и dgraph-js"/>
    <d v="2025-05-30T00:00:00"/>
    <m/>
    <n v="1317.0498083333334"/>
    <n v="3621.8869729166668"/>
    <x v="2"/>
  </r>
  <r>
    <n v="423379"/>
    <x v="1"/>
    <n v="13969"/>
    <x v="13"/>
    <s v="Внутренняя деятельность"/>
    <d v="2025-05-29T00:00:00"/>
    <n v="0.5"/>
    <n v="0.5"/>
    <s v="ежедейл"/>
    <d v="2025-06-01T00:00:00"/>
    <m/>
    <n v="1418"/>
    <n v="709"/>
    <x v="2"/>
  </r>
  <r>
    <n v="423891"/>
    <x v="6"/>
    <n v="54720"/>
    <x v="13"/>
    <s v="Работа"/>
    <d v="2025-05-29T00:00:00"/>
    <n v="1"/>
    <n v="1"/>
    <s v="https://projects-customdev.wone-it.ru/projects/konnect-website/work_packages/2618/"/>
    <d v="2025-06-02T00:00:00"/>
    <m/>
    <n v="1418"/>
    <n v="1418"/>
    <x v="2"/>
  </r>
  <r>
    <n v="422358"/>
    <x v="9"/>
    <n v="51263"/>
    <x v="11"/>
    <s v="Работа"/>
    <d v="2025-05-29T00:00:00"/>
    <n v="43"/>
    <n v="43"/>
    <s v="Task: 1932"/>
    <d v="2025-05-30T00:00:00"/>
    <m/>
    <n v="702.4265645833334"/>
    <n v="30204.342277083335"/>
    <x v="2"/>
  </r>
  <r>
    <n v="422399"/>
    <x v="0"/>
    <n v="53433"/>
    <x v="6"/>
    <s v="Работа"/>
    <d v="2025-05-29T00:00:00"/>
    <n v="8"/>
    <n v="8"/>
    <s v="доработки"/>
    <d v="2025-05-30T00:00:00"/>
    <m/>
    <n v="1053.6398465277778"/>
    <n v="8429.1187722222221"/>
    <x v="2"/>
  </r>
  <r>
    <n v="421976"/>
    <x v="9"/>
    <n v="51263"/>
    <x v="11"/>
    <s v="Работа"/>
    <d v="2025-05-28T00:00:00"/>
    <n v="3.5"/>
    <n v="3.5"/>
    <s v="Task 1932"/>
    <d v="2025-05-29T00:00:00"/>
    <m/>
    <n v="702.4265645833334"/>
    <n v="2458.4929760416671"/>
    <x v="2"/>
  </r>
  <r>
    <n v="421466"/>
    <x v="1"/>
    <n v="13969"/>
    <x v="8"/>
    <s v="Внутренняя деятельность"/>
    <d v="2025-05-28T00:00:00"/>
    <n v="2"/>
    <n v="2"/>
    <s v="Созвон с командой + встреча сотрудников компании"/>
    <d v="2025-05-28T00:00:00"/>
    <m/>
    <n v="1317.0498083333334"/>
    <n v="2634.0996166666669"/>
    <x v="2"/>
  </r>
  <r>
    <n v="421469"/>
    <x v="1"/>
    <n v="13969"/>
    <x v="8"/>
    <s v="Внутренняя деятельность"/>
    <d v="2025-05-28T00:00:00"/>
    <n v="7"/>
    <n v="7"/>
    <s v="Добавить api contract tests на проект"/>
    <d v="2025-05-28T00:00:00"/>
    <m/>
    <n v="1317.0498083333334"/>
    <n v="9219.3486583333342"/>
    <x v="2"/>
  </r>
  <r>
    <n v="421523"/>
    <x v="8"/>
    <n v="54434"/>
    <x v="16"/>
    <s v="Работа"/>
    <d v="2025-05-28T00:00:00"/>
    <n v="10"/>
    <n v="10"/>
    <s v="UC 2.183, 2.153, 2.154"/>
    <d v="2025-05-28T00:00:00"/>
    <m/>
    <n v="1317.0498083333334"/>
    <n v="13170.498083333334"/>
    <x v="2"/>
  </r>
  <r>
    <n v="422835"/>
    <x v="1"/>
    <n v="13970"/>
    <x v="7"/>
    <s v="Внутренняя деятельность"/>
    <d v="2025-05-28T00:00:00"/>
    <n v="8"/>
    <n v="8"/>
    <s v="ЖКХ, ревью работы аналитиков по формальному описанию юз кейсов, проектирование"/>
    <d v="2025-05-30T00:00:00"/>
    <m/>
    <n v="2107.2796937500002"/>
    <n v="16858.237550000002"/>
    <x v="2"/>
  </r>
  <r>
    <n v="423378"/>
    <x v="1"/>
    <n v="13969"/>
    <x v="13"/>
    <s v="Внутренняя деятельность"/>
    <d v="2025-05-28T00:00:00"/>
    <n v="0.5"/>
    <n v="0.5"/>
    <s v="ежедейд"/>
    <d v="2025-06-01T00:00:00"/>
    <m/>
    <n v="1418"/>
    <n v="709"/>
    <x v="2"/>
  </r>
  <r>
    <n v="423900"/>
    <x v="6"/>
    <n v="54720"/>
    <x v="13"/>
    <s v="Работа"/>
    <d v="2025-05-28T00:00:00"/>
    <n v="3"/>
    <n v="3"/>
    <s v="https://projects-customdev.wone-it.ru/projects/konnect-website/work_packages/2608"/>
    <d v="2025-06-02T00:00:00"/>
    <m/>
    <n v="1418"/>
    <n v="4254"/>
    <x v="2"/>
  </r>
  <r>
    <n v="423913"/>
    <x v="6"/>
    <n v="54720"/>
    <x v="13"/>
    <s v="Работа"/>
    <d v="2025-05-28T00:00:00"/>
    <n v="3"/>
    <n v="3"/>
    <s v="https://projects-customdev.wone-it.ru/projects/konnect-website/work_packages/2623"/>
    <d v="2025-06-02T00:00:00"/>
    <m/>
    <n v="1418"/>
    <n v="4254"/>
    <x v="2"/>
  </r>
  <r>
    <n v="422398"/>
    <x v="0"/>
    <n v="52587"/>
    <x v="6"/>
    <s v="Работа"/>
    <d v="2025-05-28T00:00:00"/>
    <n v="8"/>
    <n v="8"/>
    <s v="поправки и анализ ошибки"/>
    <d v="2025-05-30T00:00:00"/>
    <m/>
    <n v="1053.6398465277778"/>
    <n v="8429.1187722222221"/>
    <x v="2"/>
  </r>
  <r>
    <n v="423946"/>
    <x v="6"/>
    <n v="54720"/>
    <x v="13"/>
    <s v="Работа"/>
    <d v="2025-05-27T00:00:00"/>
    <n v="1"/>
    <n v="1"/>
    <s v="https://projects-customdev.wone-it.ru/projects/konnect-website/work_packages/2603"/>
    <d v="2025-06-02T00:00:00"/>
    <m/>
    <n v="1418"/>
    <n v="1418"/>
    <x v="2"/>
  </r>
  <r>
    <n v="421975"/>
    <x v="9"/>
    <n v="51263"/>
    <x v="11"/>
    <s v="Работа"/>
    <d v="2025-05-27T00:00:00"/>
    <n v="9"/>
    <n v="9"/>
    <s v="Task 1932"/>
    <d v="2025-05-29T00:00:00"/>
    <m/>
    <n v="702.4265645833334"/>
    <n v="6321.8390812500002"/>
    <x v="2"/>
  </r>
  <r>
    <n v="421465"/>
    <x v="1"/>
    <n v="13969"/>
    <x v="8"/>
    <s v="Внутренняя деятельность"/>
    <d v="2025-05-27T00:00:00"/>
    <n v="0.5"/>
    <n v="0.5"/>
    <s v="Созвон с командой"/>
    <d v="2025-05-28T00:00:00"/>
    <m/>
    <n v="1317.0498083333334"/>
    <n v="658.52490416666672"/>
    <x v="2"/>
  </r>
  <r>
    <n v="421468"/>
    <x v="1"/>
    <n v="13969"/>
    <x v="8"/>
    <s v="Внутренняя деятельность"/>
    <d v="2025-05-27T00:00:00"/>
    <n v="7.5"/>
    <n v="7.5"/>
    <s v="Добавить api contract tests на проект"/>
    <d v="2025-05-28T00:00:00"/>
    <m/>
    <n v="1317.0498083333334"/>
    <n v="9877.8735625000008"/>
    <x v="2"/>
  </r>
  <r>
    <n v="427170"/>
    <x v="13"/>
    <n v="54426"/>
    <x v="10"/>
    <s v="Работа"/>
    <d v="2025-05-27T00:00:00"/>
    <n v="8"/>
    <n v="8"/>
    <s v="Выкладка на стейдж"/>
    <d v="2025-06-11T00:00:00"/>
    <m/>
    <n v="1756.0664111111112"/>
    <n v="14048.531288888889"/>
    <x v="2"/>
  </r>
  <r>
    <n v="422834"/>
    <x v="1"/>
    <n v="13970"/>
    <x v="7"/>
    <s v="Внутренняя деятельность"/>
    <d v="2025-05-27T00:00:00"/>
    <n v="8"/>
    <n v="8"/>
    <s v="ЖКХ, ревью работы аналитиков по формальному описанию юз кейсов, проектирование"/>
    <d v="2025-05-30T00:00:00"/>
    <m/>
    <n v="2107.2796937500002"/>
    <n v="16858.237550000002"/>
    <x v="2"/>
  </r>
  <r>
    <n v="423886"/>
    <x v="6"/>
    <n v="54720"/>
    <x v="13"/>
    <s v="Работа"/>
    <d v="2025-05-27T00:00:00"/>
    <n v="3"/>
    <n v="3"/>
    <s v="https://projects-customdev.wone-it.ru/projects/konnect-website/work_packages/2602"/>
    <d v="2025-06-02T00:00:00"/>
    <m/>
    <n v="1418"/>
    <n v="4254"/>
    <x v="2"/>
  </r>
  <r>
    <n v="422395"/>
    <x v="0"/>
    <n v="53433"/>
    <x v="6"/>
    <s v="Работа"/>
    <d v="2025-05-27T00:00:00"/>
    <n v="8"/>
    <n v="8"/>
    <s v="траблшутинг"/>
    <d v="2025-05-30T00:00:00"/>
    <m/>
    <n v="1053.6398465277778"/>
    <n v="8429.1187722222221"/>
    <x v="2"/>
  </r>
  <r>
    <n v="421463"/>
    <x v="1"/>
    <n v="13969"/>
    <x v="8"/>
    <s v="Внутренняя деятельность"/>
    <d v="2025-05-26T00:00:00"/>
    <n v="1"/>
    <n v="1"/>
    <s v="Созвон с командой"/>
    <d v="2025-05-28T00:00:00"/>
    <m/>
    <n v="1317.0498083333334"/>
    <n v="1317.0498083333334"/>
    <x v="2"/>
  </r>
  <r>
    <n v="421467"/>
    <x v="1"/>
    <n v="13969"/>
    <x v="8"/>
    <s v="Внутренняя деятельность"/>
    <d v="2025-05-26T00:00:00"/>
    <n v="7"/>
    <n v="7"/>
    <s v="Добавить api contract tests на проект"/>
    <d v="2025-05-28T00:00:00"/>
    <m/>
    <n v="1317.0498083333334"/>
    <n v="9219.3486583333342"/>
    <x v="2"/>
  </r>
  <r>
    <n v="420497"/>
    <x v="1"/>
    <n v="13970"/>
    <x v="7"/>
    <s v="Внутренняя деятельность"/>
    <d v="2025-05-26T00:00:00"/>
    <n v="1.5"/>
    <n v="1.5"/>
    <s v="синк с  Тимофеем - АПИ контракт тестинг"/>
    <d v="2025-05-26T00:00:00"/>
    <m/>
    <n v="2107.2796937500002"/>
    <n v="3160.9195406250001"/>
    <x v="2"/>
  </r>
  <r>
    <n v="420498"/>
    <x v="1"/>
    <n v="13970"/>
    <x v="7"/>
    <s v="Внутренняя деятельность"/>
    <d v="2025-05-26T00:00:00"/>
    <n v="1"/>
    <n v="1"/>
    <s v="декомпозиция задач в бэклоге ЖКХ"/>
    <d v="2025-05-26T00:00:00"/>
    <m/>
    <n v="2107.2796937500002"/>
    <n v="2107.2796937500002"/>
    <x v="2"/>
  </r>
  <r>
    <n v="420500"/>
    <x v="1"/>
    <n v="46387"/>
    <x v="7"/>
    <s v="Внутренняя деятельность"/>
    <d v="2025-05-26T00:00:00"/>
    <n v="5.5"/>
    <n v="5.5"/>
    <s v="ЖКХ, ревью работы аналитиков по формальному описанию юз кейсов"/>
    <d v="2025-05-26T00:00:00"/>
    <m/>
    <n v="2107.2796937500002"/>
    <n v="11590.038315625001"/>
    <x v="2"/>
  </r>
  <r>
    <n v="427169"/>
    <x v="13"/>
    <n v="54425"/>
    <x v="10"/>
    <s v="Работа"/>
    <d v="2025-05-26T00:00:00"/>
    <n v="8"/>
    <n v="8"/>
    <s v="Тестирование и отладка"/>
    <d v="2025-06-11T00:00:00"/>
    <m/>
    <n v="1756.0664111111112"/>
    <n v="14048.531288888889"/>
    <x v="2"/>
  </r>
  <r>
    <n v="423885"/>
    <x v="6"/>
    <n v="54720"/>
    <x v="13"/>
    <s v="Работа"/>
    <d v="2025-05-26T00:00:00"/>
    <n v="3"/>
    <n v="3"/>
    <s v="https://projects-customdev.wone-it.ru/projects/konnect-website/work_packages/2614"/>
    <d v="2025-06-02T00:00:00"/>
    <m/>
    <n v="1418"/>
    <n v="4254"/>
    <x v="2"/>
  </r>
  <r>
    <n v="423375"/>
    <x v="1"/>
    <n v="13969"/>
    <x v="13"/>
    <s v="Внутренняя деятельность"/>
    <d v="2025-05-26T00:00:00"/>
    <n v="0.5"/>
    <n v="0.5"/>
    <s v="ежедейл"/>
    <d v="2025-06-01T00:00:00"/>
    <m/>
    <n v="1418"/>
    <n v="709"/>
    <x v="2"/>
  </r>
  <r>
    <n v="423908"/>
    <x v="6"/>
    <n v="54720"/>
    <x v="13"/>
    <s v="Работа"/>
    <d v="2025-05-26T00:00:00"/>
    <n v="2"/>
    <n v="2"/>
    <s v="https://projects-customdev.wone-it.ru/projects/konnect-website/work_packages/2605"/>
    <d v="2025-06-02T00:00:00"/>
    <m/>
    <n v="1418"/>
    <n v="2836"/>
    <x v="2"/>
  </r>
  <r>
    <n v="422393"/>
    <x v="0"/>
    <n v="53433"/>
    <x v="6"/>
    <s v="Работа"/>
    <d v="2025-05-26T00:00:00"/>
    <n v="8"/>
    <n v="8"/>
    <s v="поправки"/>
    <d v="2025-05-30T00:00:00"/>
    <m/>
    <n v="1053.6398465277778"/>
    <n v="8429.1187722222221"/>
    <x v="2"/>
  </r>
  <r>
    <n v="420606"/>
    <x v="9"/>
    <n v="51263"/>
    <x v="11"/>
    <s v="Работа"/>
    <d v="2025-05-26T00:00:00"/>
    <n v="8"/>
    <n v="8"/>
    <s v="Разработка и тестирование"/>
    <d v="2025-05-26T00:00:00"/>
    <m/>
    <n v="702.4265645833334"/>
    <n v="5619.4125166666672"/>
    <x v="2"/>
  </r>
  <r>
    <n v="423883"/>
    <x v="6"/>
    <n v="54720"/>
    <x v="13"/>
    <s v="Работа"/>
    <d v="2025-05-25T00:00:00"/>
    <n v="28"/>
    <n v="28"/>
    <s v="https://projects-customdev.wone-it.ru/projects/konnect-website/work_packages/2620"/>
    <d v="2025-06-02T00:00:00"/>
    <m/>
    <n v="1418"/>
    <n v="39704"/>
    <x v="2"/>
  </r>
  <r>
    <n v="421979"/>
    <x v="2"/>
    <n v="32"/>
    <x v="11"/>
    <s v="Внутренняя деятельность"/>
    <d v="2025-05-23T00:00:00"/>
    <n v="0.5"/>
    <n v="0.5"/>
    <s v="Daily"/>
    <d v="2025-05-29T00:00:00"/>
    <m/>
    <n v="702.4265645833334"/>
    <n v="351.2132822916667"/>
    <x v="2"/>
  </r>
  <r>
    <n v="419696"/>
    <x v="1"/>
    <n v="13969"/>
    <x v="13"/>
    <s v="Внутренняя деятельность"/>
    <d v="2025-05-23T00:00:00"/>
    <n v="0.5"/>
    <n v="0.5"/>
    <s v="ежедейл"/>
    <d v="2025-05-23T00:00:00"/>
    <m/>
    <n v="1418"/>
    <n v="709"/>
    <x v="2"/>
  </r>
  <r>
    <n v="419698"/>
    <x v="8"/>
    <n v="54431"/>
    <x v="2"/>
    <s v="Работа"/>
    <d v="2025-05-23T00:00:00"/>
    <n v="2"/>
    <n v="2"/>
    <s v="Аналитика"/>
    <d v="2025-05-23T00:00:00"/>
    <m/>
    <n v="878.03320555555558"/>
    <n v="1756.0664111111112"/>
    <x v="2"/>
  </r>
  <r>
    <n v="419216"/>
    <x v="0"/>
    <n v="52587"/>
    <x v="6"/>
    <s v="Работа"/>
    <d v="2025-05-23T00:00:00"/>
    <n v="4"/>
    <n v="4"/>
    <s v="анализ ошибки в запросах"/>
    <d v="2025-05-22T00:00:00"/>
    <m/>
    <n v="1053.6398465277778"/>
    <n v="4214.5593861111111"/>
    <x v="2"/>
  </r>
  <r>
    <n v="423828"/>
    <x v="6"/>
    <n v="54720"/>
    <x v="15"/>
    <s v="Работа"/>
    <d v="2025-05-23T00:00:00"/>
    <n v="104"/>
    <n v="104"/>
    <s v="Разработка футера."/>
    <d v="2025-06-02T00:00:00"/>
    <m/>
    <n v="439.01660277777779"/>
    <n v="45657.726688888892"/>
    <x v="2"/>
  </r>
  <r>
    <n v="418968"/>
    <x v="0"/>
    <n v="52585"/>
    <x v="2"/>
    <s v="Работа"/>
    <d v="2025-05-23T00:00:00"/>
    <n v="4"/>
    <n v="4"/>
    <s v="Изучение материалов, документации, систем"/>
    <d v="2025-05-21T00:00:00"/>
    <m/>
    <n v="878.03320555555558"/>
    <n v="3512.1328222222223"/>
    <x v="2"/>
  </r>
  <r>
    <n v="427166"/>
    <x v="13"/>
    <n v="54422"/>
    <x v="10"/>
    <s v="Работа"/>
    <d v="2025-05-23T00:00:00"/>
    <n v="8"/>
    <n v="8"/>
    <s v="Интеграция нового клиента(ГБД)"/>
    <d v="2025-06-11T00:00:00"/>
    <m/>
    <n v="1756.0664111111112"/>
    <n v="14048.531288888889"/>
    <x v="2"/>
  </r>
  <r>
    <n v="420255"/>
    <x v="8"/>
    <n v="54434"/>
    <x v="16"/>
    <s v="Работа"/>
    <d v="2025-05-23T00:00:00"/>
    <n v="82"/>
    <n v="82"/>
    <s v="Создание подробной карточки ЛС"/>
    <d v="2025-05-26T00:00:00"/>
    <m/>
    <n v="1317.0498083333334"/>
    <n v="107998.08428333334"/>
    <x v="2"/>
  </r>
  <r>
    <n v="419814"/>
    <x v="1"/>
    <n v="13970"/>
    <x v="7"/>
    <s v="Внутренняя деятельность"/>
    <d v="2025-05-23T00:00:00"/>
    <n v="8"/>
    <n v="8"/>
    <s v="работа с требованиями  ФТ клиенты, ревью, проектирование"/>
    <d v="2025-05-23T00:00:00"/>
    <m/>
    <n v="2107.2796937500002"/>
    <n v="16858.237550000002"/>
    <x v="2"/>
  </r>
  <r>
    <n v="420605"/>
    <x v="9"/>
    <n v="51263"/>
    <x v="11"/>
    <s v="Работа"/>
    <d v="2025-05-23T00:00:00"/>
    <n v="4"/>
    <n v="4"/>
    <s v="Разработка"/>
    <d v="2025-05-26T00:00:00"/>
    <m/>
    <n v="702.4265645833334"/>
    <n v="2809.7062583333336"/>
    <x v="2"/>
  </r>
  <r>
    <n v="420350"/>
    <x v="1"/>
    <n v="13969"/>
    <x v="8"/>
    <s v="Внутренняя деятельность"/>
    <d v="2025-05-23T00:00:00"/>
    <n v="1"/>
    <n v="1"/>
    <s v="Созвон с командой"/>
    <d v="2025-05-26T00:00:00"/>
    <m/>
    <n v="1317.0498083333334"/>
    <n v="1317.0498083333334"/>
    <x v="2"/>
  </r>
  <r>
    <n v="420351"/>
    <x v="1"/>
    <n v="13969"/>
    <x v="8"/>
    <s v="Внутренняя деятельность"/>
    <d v="2025-05-23T00:00:00"/>
    <n v="7"/>
    <n v="7"/>
    <s v="Добавить api contract tests на проект"/>
    <d v="2025-05-26T00:00:00"/>
    <m/>
    <n v="1317.0498083333334"/>
    <n v="9219.3486583333342"/>
    <x v="2"/>
  </r>
  <r>
    <n v="419637"/>
    <x v="0"/>
    <n v="53433"/>
    <x v="6"/>
    <s v="Работа"/>
    <d v="2025-05-22T00:00:00"/>
    <n v="4"/>
    <n v="4"/>
    <s v="*"/>
    <d v="2025-05-23T00:00:00"/>
    <m/>
    <n v="1053.6398465277778"/>
    <n v="4214.5593861111111"/>
    <x v="2"/>
  </r>
  <r>
    <n v="419639"/>
    <x v="0"/>
    <n v="52587"/>
    <x v="6"/>
    <s v="Работа"/>
    <d v="2025-05-22T00:00:00"/>
    <n v="4"/>
    <n v="4"/>
    <s v="доработки"/>
    <d v="2025-05-23T00:00:00"/>
    <m/>
    <n v="1053.6398465277778"/>
    <n v="4214.5593861111111"/>
    <x v="2"/>
  </r>
  <r>
    <n v="421998"/>
    <x v="2"/>
    <n v="34"/>
    <x v="11"/>
    <s v="Внутренняя деятельность"/>
    <d v="2025-05-22T00:00:00"/>
    <n v="2"/>
    <n v="2"/>
    <s v="Изучение материалов и технологий, необходимых для работы в проекте"/>
    <d v="2025-05-29T00:00:00"/>
    <m/>
    <n v="702.4265645833334"/>
    <n v="1404.8531291666668"/>
    <x v="2"/>
  </r>
  <r>
    <n v="419695"/>
    <x v="1"/>
    <n v="13969"/>
    <x v="13"/>
    <s v="Внутренняя деятельность"/>
    <d v="2025-05-22T00:00:00"/>
    <n v="0.5"/>
    <n v="0.5"/>
    <s v="вводный мит в коннект с командой фронтов"/>
    <d v="2025-05-23T00:00:00"/>
    <m/>
    <n v="1418"/>
    <n v="709"/>
    <x v="2"/>
  </r>
  <r>
    <n v="419699"/>
    <x v="8"/>
    <n v="54431"/>
    <x v="2"/>
    <s v="Работа"/>
    <d v="2025-05-22T00:00:00"/>
    <n v="2"/>
    <n v="2"/>
    <s v="Аналитика"/>
    <d v="2025-05-23T00:00:00"/>
    <m/>
    <n v="878.03320555555558"/>
    <n v="1756.0664111111112"/>
    <x v="2"/>
  </r>
  <r>
    <n v="432250"/>
    <x v="2"/>
    <n v="29"/>
    <x v="10"/>
    <s v="Внутренняя деятельность"/>
    <d v="2025-05-22T00:00:00"/>
    <n v="3"/>
    <n v="3"/>
    <s v="-"/>
    <d v="2025-06-28T00:00:00"/>
    <m/>
    <n v="1756.0664111111112"/>
    <n v="5268.1992333333337"/>
    <x v="2"/>
  </r>
  <r>
    <n v="419713"/>
    <x v="8"/>
    <n v="54435"/>
    <x v="2"/>
    <s v="Работа"/>
    <d v="2025-05-22T00:00:00"/>
    <n v="4"/>
    <n v="4"/>
    <s v="Аналитика"/>
    <d v="2025-05-23T00:00:00"/>
    <m/>
    <n v="878.03320555555558"/>
    <n v="3512.1328222222223"/>
    <x v="2"/>
  </r>
  <r>
    <n v="432272"/>
    <x v="8"/>
    <n v="55465"/>
    <x v="5"/>
    <s v="Работа"/>
    <d v="2025-05-22T00:00:00"/>
    <n v="56"/>
    <n v="56"/>
    <s v="analitics"/>
    <d v="2025-06-28T00:00:00"/>
    <m/>
    <n v="526.81992361111111"/>
    <n v="29501.91572222222"/>
    <x v="2"/>
  </r>
  <r>
    <n v="432273"/>
    <x v="2"/>
    <n v="34"/>
    <x v="5"/>
    <s v="Внутренняя деятельность"/>
    <d v="2025-05-22T00:00:00"/>
    <n v="64"/>
    <n v="64"/>
    <s v="-"/>
    <d v="2025-06-28T00:00:00"/>
    <m/>
    <n v="526.81992361111111"/>
    <n v="33716.475111111111"/>
    <x v="2"/>
  </r>
  <r>
    <n v="418967"/>
    <x v="0"/>
    <n v="52585"/>
    <x v="2"/>
    <s v="Работа"/>
    <d v="2025-05-22T00:00:00"/>
    <n v="4"/>
    <n v="4"/>
    <s v="Изучение материалов, документации, систем"/>
    <d v="2025-05-21T00:00:00"/>
    <m/>
    <n v="878.03320555555558"/>
    <n v="3512.1328222222223"/>
    <x v="2"/>
  </r>
  <r>
    <n v="427161"/>
    <x v="13"/>
    <n v="54422"/>
    <x v="10"/>
    <s v="Работа"/>
    <d v="2025-05-22T00:00:00"/>
    <n v="8"/>
    <n v="8"/>
    <s v="Добавление нового клиента для работы с ГБД"/>
    <d v="2025-06-11T00:00:00"/>
    <m/>
    <n v="1756.0664111111112"/>
    <n v="14048.531288888889"/>
    <x v="2"/>
  </r>
  <r>
    <n v="419258"/>
    <x v="0"/>
    <n v="54373"/>
    <x v="0"/>
    <s v="Работа"/>
    <d v="2025-05-22T00:00:00"/>
    <n v="6"/>
    <n v="6"/>
    <s v="Обработка данных с аудита"/>
    <d v="2025-05-22T00:00:00"/>
    <m/>
    <n v="2458.4929756944443"/>
    <n v="14750.957854166667"/>
    <x v="2"/>
  </r>
  <r>
    <n v="419265"/>
    <x v="9"/>
    <n v="51262"/>
    <x v="0"/>
    <s v="Работа"/>
    <d v="2025-05-22T00:00:00"/>
    <n v="5"/>
    <n v="5"/>
    <s v="Поддержка клиента и работа над задачами"/>
    <d v="2025-05-22T00:00:00"/>
    <m/>
    <n v="2458.4929756944443"/>
    <n v="12292.464878472221"/>
    <x v="2"/>
  </r>
  <r>
    <n v="419813"/>
    <x v="1"/>
    <n v="13970"/>
    <x v="7"/>
    <s v="Внутренняя деятельность"/>
    <d v="2025-05-22T00:00:00"/>
    <n v="8"/>
    <n v="8"/>
    <s v="Анализ ФТ клиенты, подготовка схем, проектирование"/>
    <d v="2025-05-23T00:00:00"/>
    <m/>
    <n v="2107.2796937500002"/>
    <n v="16858.237550000002"/>
    <x v="2"/>
  </r>
  <r>
    <n v="420348"/>
    <x v="1"/>
    <n v="13969"/>
    <x v="8"/>
    <s v="Внутренняя деятельность"/>
    <d v="2025-05-22T00:00:00"/>
    <n v="1"/>
    <n v="1"/>
    <s v="Созвон с командой"/>
    <d v="2025-05-26T00:00:00"/>
    <m/>
    <n v="1317.0498083333334"/>
    <n v="1317.0498083333334"/>
    <x v="2"/>
  </r>
  <r>
    <n v="420604"/>
    <x v="9"/>
    <n v="51263"/>
    <x v="11"/>
    <s v="Работа"/>
    <d v="2025-05-22T00:00:00"/>
    <n v="1"/>
    <n v="1"/>
    <s v="Разработка"/>
    <d v="2025-05-26T00:00:00"/>
    <m/>
    <n v="702.4265645833334"/>
    <n v="702.4265645833334"/>
    <x v="2"/>
  </r>
  <r>
    <n v="420349"/>
    <x v="1"/>
    <n v="13969"/>
    <x v="8"/>
    <s v="Внутренняя деятельность"/>
    <d v="2025-05-22T00:00:00"/>
    <n v="7"/>
    <n v="7"/>
    <s v="backend: автоматизация подготовки схемы валидации параметров"/>
    <d v="2025-05-26T00:00:00"/>
    <m/>
    <n v="1317.0498083333334"/>
    <n v="9219.3486583333342"/>
    <x v="2"/>
  </r>
  <r>
    <n v="419693"/>
    <x v="1"/>
    <n v="13969"/>
    <x v="13"/>
    <s v="Внутренняя деятельность"/>
    <d v="2025-05-21T00:00:00"/>
    <n v="0.5"/>
    <n v="0.5"/>
    <s v="ежедейл"/>
    <d v="2025-05-23T00:00:00"/>
    <m/>
    <n v="1418"/>
    <n v="709"/>
    <x v="2"/>
  </r>
  <r>
    <n v="419694"/>
    <x v="1"/>
    <n v="13969"/>
    <x v="13"/>
    <s v="Внутренняя деятельность"/>
    <d v="2025-05-21T00:00:00"/>
    <n v="0.5"/>
    <n v="0.5"/>
    <s v="Дейл вводная в &quot;коннект&quot;, предоставление ресурсов с ТЗ"/>
    <d v="2025-05-23T00:00:00"/>
    <m/>
    <n v="1418"/>
    <n v="709"/>
    <x v="2"/>
  </r>
  <r>
    <n v="419700"/>
    <x v="8"/>
    <n v="54431"/>
    <x v="2"/>
    <s v="Работа"/>
    <d v="2025-05-21T00:00:00"/>
    <n v="2"/>
    <n v="2"/>
    <s v="Аналитика"/>
    <d v="2025-05-23T00:00:00"/>
    <m/>
    <n v="878.03320555555558"/>
    <n v="1756.0664111111112"/>
    <x v="2"/>
  </r>
  <r>
    <n v="419714"/>
    <x v="8"/>
    <n v="54434"/>
    <x v="2"/>
    <s v="Работа"/>
    <d v="2025-05-21T00:00:00"/>
    <n v="4"/>
    <n v="4"/>
    <s v="Аналитика"/>
    <d v="2025-05-23T00:00:00"/>
    <m/>
    <n v="878.03320555555558"/>
    <n v="3512.1328222222223"/>
    <x v="2"/>
  </r>
  <r>
    <n v="419215"/>
    <x v="0"/>
    <n v="53433"/>
    <x v="6"/>
    <s v="Работа"/>
    <d v="2025-05-21T00:00:00"/>
    <n v="8"/>
    <n v="8"/>
    <s v="разработка"/>
    <d v="2025-05-22T00:00:00"/>
    <m/>
    <n v="1053.6398465277778"/>
    <n v="8429.1187722222221"/>
    <x v="2"/>
  </r>
  <r>
    <n v="427158"/>
    <x v="13"/>
    <n v="54423"/>
    <x v="10"/>
    <s v="Работа"/>
    <d v="2025-05-21T00:00:00"/>
    <n v="8"/>
    <n v="8"/>
    <s v="Интеграция нового клиента(кеш) в сущ. функционал"/>
    <d v="2025-06-11T00:00:00"/>
    <m/>
    <n v="1756.0664111111112"/>
    <n v="14048.531288888889"/>
    <x v="2"/>
  </r>
  <r>
    <n v="418970"/>
    <x v="0"/>
    <n v="53332"/>
    <x v="2"/>
    <s v="Работа"/>
    <d v="2025-05-21T00:00:00"/>
    <n v="2"/>
    <n v="2"/>
    <s v="Обсуждение"/>
    <d v="2025-05-21T00:00:00"/>
    <m/>
    <n v="878.03320555555558"/>
    <n v="1756.0664111111112"/>
    <x v="2"/>
  </r>
  <r>
    <n v="419264"/>
    <x v="9"/>
    <n v="51262"/>
    <x v="0"/>
    <s v="Работа"/>
    <d v="2025-05-21T00:00:00"/>
    <n v="5"/>
    <n v="5"/>
    <s v="Поддержка клиента и работа над задачами"/>
    <d v="2025-05-22T00:00:00"/>
    <m/>
    <n v="2458.4929756944443"/>
    <n v="12292.464878472221"/>
    <x v="2"/>
  </r>
  <r>
    <n v="419810"/>
    <x v="1"/>
    <n v="13970"/>
    <x v="7"/>
    <s v="Внутренняя деятельность"/>
    <d v="2025-05-21T00:00:00"/>
    <n v="8"/>
    <n v="8"/>
    <s v="Анализ ФТ клиенты, ревью сервисы мониторинга асинхронных задач"/>
    <d v="2025-05-23T00:00:00"/>
    <m/>
    <n v="2107.2796937500002"/>
    <n v="16858.237550000002"/>
    <x v="2"/>
  </r>
  <r>
    <n v="419052"/>
    <x v="1"/>
    <n v="13969"/>
    <x v="8"/>
    <s v="Внутренняя деятельность"/>
    <d v="2025-05-21T00:00:00"/>
    <n v="1"/>
    <n v="1"/>
    <s v="Созвон с командой"/>
    <d v="2025-05-21T00:00:00"/>
    <m/>
    <n v="1317.0498083333334"/>
    <n v="1317.0498083333334"/>
    <x v="2"/>
  </r>
  <r>
    <n v="419053"/>
    <x v="1"/>
    <n v="13969"/>
    <x v="8"/>
    <s v="Внутренняя деятельность"/>
    <d v="2025-05-21T00:00:00"/>
    <n v="4"/>
    <n v="4"/>
    <s v="backend: автоматизация подготовки схемы валидации параметров"/>
    <d v="2025-05-21T00:00:00"/>
    <m/>
    <n v="1317.0498083333334"/>
    <n v="5268.1992333333337"/>
    <x v="2"/>
  </r>
  <r>
    <n v="419054"/>
    <x v="1"/>
    <n v="13969"/>
    <x v="8"/>
    <s v="Внутренняя деятельность"/>
    <d v="2025-05-21T00:00:00"/>
    <n v="3"/>
    <n v="3"/>
    <s v="Добавить api contract tests на проект, поиск библиотек и решений"/>
    <d v="2025-05-21T00:00:00"/>
    <m/>
    <n v="1317.0498083333334"/>
    <n v="3951.1494250000005"/>
    <x v="2"/>
  </r>
  <r>
    <n v="431938"/>
    <x v="1"/>
    <n v="46387"/>
    <x v="1"/>
    <s v="Внутренняя деятельность"/>
    <d v="2025-05-20T00:00:00"/>
    <n v="105"/>
    <n v="105"/>
    <s v="R&amp;amp;D, Task planning, Tech. support of users and etc."/>
    <d v="2025-06-27T00:00:00"/>
    <m/>
    <n v="2634.0996166666669"/>
    <n v="276580.45975000004"/>
    <x v="2"/>
  </r>
  <r>
    <n v="419701"/>
    <x v="8"/>
    <n v="54431"/>
    <x v="2"/>
    <s v="Работа"/>
    <d v="2025-05-20T00:00:00"/>
    <n v="2"/>
    <n v="2"/>
    <s v="Аналитика"/>
    <d v="2025-05-23T00:00:00"/>
    <m/>
    <n v="878.03320555555558"/>
    <n v="1756.0664111111112"/>
    <x v="2"/>
  </r>
  <r>
    <n v="419716"/>
    <x v="8"/>
    <n v="54433"/>
    <x v="2"/>
    <s v="Работа"/>
    <d v="2025-05-20T00:00:00"/>
    <n v="4"/>
    <n v="4"/>
    <s v="Аналитика"/>
    <d v="2025-05-23T00:00:00"/>
    <m/>
    <n v="878.03320555555558"/>
    <n v="3512.1328222222223"/>
    <x v="2"/>
  </r>
  <r>
    <n v="418693"/>
    <x v="1"/>
    <n v="13969"/>
    <x v="8"/>
    <s v="Внутренняя деятельность"/>
    <d v="2025-05-20T00:00:00"/>
    <n v="0.5"/>
    <n v="0.5"/>
    <s v="Созвон с командой"/>
    <d v="2025-05-20T00:00:00"/>
    <m/>
    <n v="1317.0498083333334"/>
    <n v="658.52490416666672"/>
    <x v="2"/>
  </r>
  <r>
    <n v="418694"/>
    <x v="1"/>
    <n v="13969"/>
    <x v="8"/>
    <s v="Внутренняя деятельность"/>
    <d v="2025-05-20T00:00:00"/>
    <n v="6"/>
    <n v="6"/>
    <s v="backend: автоматизация подготовки схемы валидации параметров, тестирование"/>
    <d v="2025-05-20T00:00:00"/>
    <m/>
    <n v="1317.0498083333334"/>
    <n v="7902.298850000001"/>
    <x v="2"/>
  </r>
  <r>
    <n v="418695"/>
    <x v="1"/>
    <n v="13969"/>
    <x v="8"/>
    <s v="Внутренняя деятельность"/>
    <d v="2025-05-20T00:00:00"/>
    <n v="1.5"/>
    <n v="1.5"/>
    <s v="Добавить api contract tests на проект"/>
    <d v="2025-05-20T00:00:00"/>
    <m/>
    <n v="1317.0498083333334"/>
    <n v="1975.5747125000003"/>
    <x v="2"/>
  </r>
  <r>
    <n v="432521"/>
    <x v="10"/>
    <n v="46185"/>
    <x v="14"/>
    <s v="Работа"/>
    <d v="2025-05-20T00:00:00"/>
    <n v="3.5"/>
    <n v="3.5"/>
    <s v="ОШибка с привязкой диктанта"/>
    <d v="2025-06-30T00:00:00"/>
    <m/>
    <n v="1975.5747125"/>
    <n v="6914.5114937500002"/>
    <x v="2"/>
  </r>
  <r>
    <n v="419214"/>
    <x v="0"/>
    <n v="53433"/>
    <x v="6"/>
    <s v="Работа"/>
    <d v="2025-05-20T00:00:00"/>
    <n v="8"/>
    <n v="8"/>
    <s v="разработка"/>
    <d v="2025-05-22T00:00:00"/>
    <m/>
    <n v="1053.6398465277778"/>
    <n v="8429.1187722222221"/>
    <x v="2"/>
  </r>
  <r>
    <n v="427157"/>
    <x v="13"/>
    <n v="54423"/>
    <x v="10"/>
    <s v="Работа"/>
    <d v="2025-05-20T00:00:00"/>
    <n v="5"/>
    <n v="5"/>
    <s v="-"/>
    <d v="2025-06-11T00:00:00"/>
    <m/>
    <n v="1756.0664111111112"/>
    <n v="8780.3320555555565"/>
    <x v="2"/>
  </r>
  <r>
    <n v="418971"/>
    <x v="0"/>
    <n v="53333"/>
    <x v="2"/>
    <s v="Работа"/>
    <d v="2025-05-20T00:00:00"/>
    <n v="2"/>
    <n v="2"/>
    <s v="Обсуждение"/>
    <d v="2025-05-21T00:00:00"/>
    <m/>
    <n v="878.03320555555558"/>
    <n v="1756.0664111111112"/>
    <x v="2"/>
  </r>
  <r>
    <n v="432286"/>
    <x v="0"/>
    <n v="53426"/>
    <x v="0"/>
    <s v="Работа"/>
    <d v="2025-05-20T00:00:00"/>
    <n v="8.5"/>
    <n v="8.5"/>
    <s v="R&amp;amp;D"/>
    <d v="2025-06-28T00:00:00"/>
    <m/>
    <n v="2458.4929756944443"/>
    <n v="20897.190293402778"/>
    <x v="2"/>
  </r>
  <r>
    <n v="432287"/>
    <x v="2"/>
    <n v="49304"/>
    <x v="0"/>
    <s v="Внутренняя деятельность"/>
    <d v="2025-05-20T00:00:00"/>
    <n v="38"/>
    <n v="38"/>
    <s v="R&amp;amp;D"/>
    <d v="2025-06-28T00:00:00"/>
    <m/>
    <n v="2458.4929756944443"/>
    <n v="93422.733076388889"/>
    <x v="2"/>
  </r>
  <r>
    <n v="432290"/>
    <x v="2"/>
    <n v="32"/>
    <x v="8"/>
    <s v="Внутренняя деятельность"/>
    <d v="2025-05-20T00:00:00"/>
    <n v="16"/>
    <n v="16"/>
    <s v="-"/>
    <d v="2025-06-28T00:00:00"/>
    <m/>
    <n v="1317.0498083333334"/>
    <n v="21072.796933333335"/>
    <x v="2"/>
  </r>
  <r>
    <n v="419263"/>
    <x v="9"/>
    <n v="51262"/>
    <x v="0"/>
    <s v="Работа"/>
    <d v="2025-05-20T00:00:00"/>
    <n v="5"/>
    <n v="5"/>
    <s v="Поддержка клиента и работа над задачами"/>
    <d v="2025-05-22T00:00:00"/>
    <m/>
    <n v="2458.4929756944443"/>
    <n v="12292.464878472221"/>
    <x v="2"/>
  </r>
  <r>
    <n v="423875"/>
    <x v="8"/>
    <n v="54431"/>
    <x v="1"/>
    <s v="Работа"/>
    <d v="2025-05-20T00:00:00"/>
    <n v="32"/>
    <n v="32"/>
    <s v="Task planning and estimates"/>
    <d v="2025-06-02T00:00:00"/>
    <m/>
    <n v="2634.0996166666669"/>
    <n v="84291.18773333334"/>
    <x v="2"/>
  </r>
  <r>
    <n v="419807"/>
    <x v="1"/>
    <n v="13970"/>
    <x v="7"/>
    <s v="Внутренняя деятельность"/>
    <d v="2025-05-20T00:00:00"/>
    <n v="8"/>
    <n v="8"/>
    <s v="ревью сервисы мониторинга асинхронных задач,  анализ генерации тестов для АПИ "/>
    <d v="2025-05-23T00:00:00"/>
    <m/>
    <n v="2107.2796937500002"/>
    <n v="16858.237550000002"/>
    <x v="2"/>
  </r>
  <r>
    <n v="418337"/>
    <x v="1"/>
    <n v="13969"/>
    <x v="8"/>
    <s v="Внутренняя деятельность"/>
    <d v="2025-05-19T00:00:00"/>
    <n v="8.5"/>
    <n v="8.5"/>
    <s v="Созвон с командой"/>
    <d v="2025-05-19T00:00:00"/>
    <m/>
    <n v="1317.0498083333334"/>
    <n v="11194.923370833334"/>
    <x v="2"/>
  </r>
  <r>
    <n v="418338"/>
    <x v="1"/>
    <n v="13969"/>
    <x v="8"/>
    <s v="Внутренняя деятельность"/>
    <d v="2025-05-19T00:00:00"/>
    <n v="5"/>
    <n v="5"/>
    <s v="backend: автоматизация подготовки схемы валидации параметров, внесение валидаторов в сервисы"/>
    <d v="2025-05-19T00:00:00"/>
    <m/>
    <n v="1317.0498083333334"/>
    <n v="6585.2490416666669"/>
    <x v="2"/>
  </r>
  <r>
    <n v="418339"/>
    <x v="1"/>
    <n v="13969"/>
    <x v="8"/>
    <s v="Внутренняя деятельность"/>
    <d v="2025-05-19T00:00:00"/>
    <n v="17"/>
    <n v="17"/>
    <s v="доработка ПР сервиса мониторинга"/>
    <d v="2025-05-19T00:00:00"/>
    <m/>
    <n v="1317.0498083333334"/>
    <n v="22389.846741666668"/>
    <x v="2"/>
  </r>
  <r>
    <n v="418372"/>
    <x v="9"/>
    <n v="51263"/>
    <x v="11"/>
    <s v="Работа"/>
    <d v="2025-05-19T00:00:00"/>
    <n v="4"/>
    <n v="4"/>
    <s v="Задачи 1932, 2383"/>
    <d v="2025-05-19T00:00:00"/>
    <m/>
    <n v="702.4265645833334"/>
    <n v="2809.7062583333336"/>
    <x v="2"/>
  </r>
  <r>
    <n v="421980"/>
    <x v="2"/>
    <n v="32"/>
    <x v="11"/>
    <s v="Внутренняя деятельность"/>
    <d v="2025-05-19T00:00:00"/>
    <n v="0.5"/>
    <n v="0.5"/>
    <s v="Daily"/>
    <d v="2025-05-29T00:00:00"/>
    <m/>
    <n v="702.4265645833334"/>
    <n v="351.2132822916667"/>
    <x v="2"/>
  </r>
  <r>
    <n v="419702"/>
    <x v="8"/>
    <n v="54431"/>
    <x v="2"/>
    <s v="Работа"/>
    <d v="2025-05-19T00:00:00"/>
    <n v="2"/>
    <n v="2"/>
    <s v="Аналитика"/>
    <d v="2025-05-23T00:00:00"/>
    <m/>
    <n v="878.03320555555558"/>
    <n v="1756.0664111111112"/>
    <x v="2"/>
  </r>
  <r>
    <n v="419717"/>
    <x v="8"/>
    <n v="54164"/>
    <x v="2"/>
    <s v="Работа"/>
    <d v="2025-05-19T00:00:00"/>
    <n v="4"/>
    <n v="4"/>
    <s v="Аналитика"/>
    <d v="2025-05-23T00:00:00"/>
    <m/>
    <n v="878.03320555555558"/>
    <n v="3512.1328222222223"/>
    <x v="2"/>
  </r>
  <r>
    <n v="419213"/>
    <x v="0"/>
    <n v="53433"/>
    <x v="6"/>
    <s v="Работа"/>
    <d v="2025-05-19T00:00:00"/>
    <n v="8"/>
    <n v="8"/>
    <s v="разработка"/>
    <d v="2025-05-22T00:00:00"/>
    <m/>
    <n v="1053.6398465277778"/>
    <n v="8429.1187722222221"/>
    <x v="2"/>
  </r>
  <r>
    <n v="423566"/>
    <x v="10"/>
    <n v="52828"/>
    <x v="14"/>
    <s v="Работа"/>
    <d v="2025-05-19T00:00:00"/>
    <n v="7.5"/>
    <n v="7.5"/>
    <s v="Системное администрирование за май"/>
    <d v="2025-06-02T00:00:00"/>
    <m/>
    <n v="1975.5747125"/>
    <n v="14816.810343749999"/>
    <x v="2"/>
  </r>
  <r>
    <n v="423569"/>
    <x v="10"/>
    <n v="46185"/>
    <x v="14"/>
    <s v="Работа"/>
    <d v="2025-05-19T00:00:00"/>
    <n v="0.5"/>
    <n v="0.5"/>
    <s v="Исправление ошибки с привязкой диктанта"/>
    <d v="2025-06-02T00:00:00"/>
    <m/>
    <n v="1975.5747125"/>
    <n v="987.78735625000002"/>
    <x v="2"/>
  </r>
  <r>
    <n v="418972"/>
    <x v="0"/>
    <n v="53333"/>
    <x v="2"/>
    <s v="Работа"/>
    <d v="2025-05-19T00:00:00"/>
    <n v="8"/>
    <n v="8"/>
    <s v="Обсуждение"/>
    <d v="2025-05-21T00:00:00"/>
    <m/>
    <n v="878.03320555555558"/>
    <n v="7024.2656444444447"/>
    <x v="2"/>
  </r>
  <r>
    <n v="427177"/>
    <x v="14"/>
    <n v="53948"/>
    <x v="10"/>
    <s v="Работа"/>
    <d v="2025-05-19T00:00:00"/>
    <n v="8"/>
    <n v="8"/>
    <s v="Решение проблем с пайплайнами и деплой"/>
    <d v="2025-06-11T00:00:00"/>
    <m/>
    <n v="1756.0664111111112"/>
    <n v="14048.531288888889"/>
    <x v="2"/>
  </r>
  <r>
    <n v="420273"/>
    <x v="6"/>
    <n v="54460"/>
    <x v="9"/>
    <s v="Работа"/>
    <d v="2025-05-19T00:00:00"/>
    <n v="22.5"/>
    <n v="22.5"/>
    <s v="подготовка фронтового приложения"/>
    <d v="2025-05-26T00:00:00"/>
    <m/>
    <n v="2195.0830138888891"/>
    <n v="49389.367812500008"/>
    <x v="2"/>
  </r>
  <r>
    <n v="419262"/>
    <x v="9"/>
    <n v="51262"/>
    <x v="0"/>
    <s v="Работа"/>
    <d v="2025-05-19T00:00:00"/>
    <n v="3"/>
    <n v="3"/>
    <s v="Поддержка клиента и работа над задачами"/>
    <d v="2025-05-22T00:00:00"/>
    <m/>
    <n v="2458.4929756944443"/>
    <n v="7375.4789270833335"/>
    <x v="2"/>
  </r>
  <r>
    <n v="419804"/>
    <x v="1"/>
    <n v="13970"/>
    <x v="7"/>
    <s v="Внутренняя деятельность"/>
    <d v="2025-05-19T00:00:00"/>
    <n v="8"/>
    <n v="8"/>
    <s v="Анализ ФТ клиенты, ревью сервисы мониторинга асинхронных задач"/>
    <d v="2025-05-23T00:00:00"/>
    <m/>
    <n v="2107.2796937500002"/>
    <n v="16858.237550000002"/>
    <x v="2"/>
  </r>
  <r>
    <n v="418370"/>
    <x v="9"/>
    <n v="51263"/>
    <x v="11"/>
    <s v="Работа"/>
    <d v="2025-05-16T00:00:00"/>
    <n v="5"/>
    <n v="5"/>
    <s v="Задачи 1932, 2401"/>
    <d v="2025-05-19T00:00:00"/>
    <m/>
    <n v="702.4265645833334"/>
    <n v="3512.132822916667"/>
    <x v="2"/>
  </r>
  <r>
    <n v="417608"/>
    <x v="1"/>
    <n v="13969"/>
    <x v="8"/>
    <s v="Внутренняя деятельность"/>
    <d v="2025-05-16T00:00:00"/>
    <n v="0.5"/>
    <n v="0.5"/>
    <s v="Созвон с командой"/>
    <d v="2025-05-16T00:00:00"/>
    <m/>
    <n v="1317.0498083333334"/>
    <n v="658.52490416666672"/>
    <x v="2"/>
  </r>
  <r>
    <n v="417610"/>
    <x v="1"/>
    <n v="13969"/>
    <x v="8"/>
    <s v="Внутренняя деятельность"/>
    <d v="2025-05-16T00:00:00"/>
    <n v="7.5"/>
    <n v="7.5"/>
    <s v="backend: автоматизация подготовки схемы валидации параметров"/>
    <d v="2025-05-16T00:00:00"/>
    <m/>
    <n v="1317.0498083333334"/>
    <n v="9877.8735625000008"/>
    <x v="2"/>
  </r>
  <r>
    <n v="421205"/>
    <x v="2"/>
    <n v="17"/>
    <x v="14"/>
    <s v="Внутренняя деятельность"/>
    <d v="2025-05-16T00:00:00"/>
    <n v="8"/>
    <n v="8"/>
    <s v="Отпуск"/>
    <d v="2025-05-28T00:00:00"/>
    <m/>
    <n v="1975.5747125"/>
    <n v="15804.5977"/>
    <x v="2"/>
  </r>
  <r>
    <n v="421981"/>
    <x v="2"/>
    <n v="32"/>
    <x v="11"/>
    <s v="Внутренняя деятельность"/>
    <d v="2025-05-16T00:00:00"/>
    <n v="0.5"/>
    <n v="0.5"/>
    <s v="Daily"/>
    <d v="2025-05-29T00:00:00"/>
    <m/>
    <n v="702.4265645833334"/>
    <n v="351.2132822916667"/>
    <x v="2"/>
  </r>
  <r>
    <n v="419691"/>
    <x v="1"/>
    <n v="13969"/>
    <x v="13"/>
    <s v="Внутренняя деятельность"/>
    <d v="2025-05-16T00:00:00"/>
    <n v="0.5"/>
    <n v="0.5"/>
    <s v="Дейл, ввод в курс дела по новым технологиям в коннект"/>
    <d v="2025-05-23T00:00:00"/>
    <m/>
    <n v="1418"/>
    <n v="709"/>
    <x v="2"/>
  </r>
  <r>
    <n v="417391"/>
    <x v="0"/>
    <n v="53425"/>
    <x v="2"/>
    <s v="Работа"/>
    <d v="2025-05-16T00:00:00"/>
    <n v="4"/>
    <n v="4"/>
    <s v="Настройка печати"/>
    <d v="2025-05-16T00:00:00"/>
    <m/>
    <n v="878.03320555555558"/>
    <n v="3512.1328222222223"/>
    <x v="2"/>
  </r>
  <r>
    <n v="417417"/>
    <x v="2"/>
    <n v="31"/>
    <x v="2"/>
    <s v="Внутренняя деятельность"/>
    <d v="2025-05-16T00:00:00"/>
    <n v="12"/>
    <n v="12"/>
    <s v="Обсуждение"/>
    <d v="2025-05-16T00:00:00"/>
    <m/>
    <n v="878.03320555555558"/>
    <n v="10536.398466666667"/>
    <x v="2"/>
  </r>
  <r>
    <n v="419212"/>
    <x v="0"/>
    <n v="53433"/>
    <x v="6"/>
    <s v="Работа"/>
    <d v="2025-05-16T00:00:00"/>
    <n v="8"/>
    <n v="8"/>
    <s v="разработка"/>
    <d v="2025-05-22T00:00:00"/>
    <m/>
    <n v="1053.6398465277778"/>
    <n v="8429.1187722222221"/>
    <x v="2"/>
  </r>
  <r>
    <n v="427175"/>
    <x v="14"/>
    <n v="53949"/>
    <x v="10"/>
    <s v="Работа"/>
    <d v="2025-05-16T00:00:00"/>
    <n v="8"/>
    <n v="8"/>
    <s v="Тестирование"/>
    <d v="2025-06-11T00:00:00"/>
    <m/>
    <n v="1756.0664111111112"/>
    <n v="14048.531288888889"/>
    <x v="2"/>
  </r>
  <r>
    <n v="417293"/>
    <x v="1"/>
    <n v="13969"/>
    <x v="8"/>
    <s v="Внутренняя деятельность"/>
    <d v="2025-05-15T00:00:00"/>
    <n v="0.5"/>
    <n v="0.5"/>
    <s v="Созвон с командой"/>
    <d v="2025-05-16T00:00:00"/>
    <m/>
    <n v="1317.0498083333334"/>
    <n v="658.52490416666672"/>
    <x v="2"/>
  </r>
  <r>
    <n v="417296"/>
    <x v="1"/>
    <n v="13969"/>
    <x v="8"/>
    <s v="Внутренняя деятельность"/>
    <d v="2025-05-15T00:00:00"/>
    <n v="7.5"/>
    <n v="7.5"/>
    <s v="backend: автоматизация подготовки схемы валидации параметров"/>
    <d v="2025-05-16T00:00:00"/>
    <m/>
    <n v="1317.0498083333334"/>
    <n v="9877.8735625000008"/>
    <x v="2"/>
  </r>
  <r>
    <n v="431933"/>
    <x v="10"/>
    <n v="52830"/>
    <x v="1"/>
    <s v="Работа"/>
    <d v="2025-05-15T00:00:00"/>
    <n v="7"/>
    <n v="7"/>
    <s v="Task planning, meetings with client"/>
    <d v="2025-06-27T00:00:00"/>
    <m/>
    <n v="2634.0996166666669"/>
    <n v="18438.697316666668"/>
    <x v="2"/>
  </r>
  <r>
    <n v="418368"/>
    <x v="9"/>
    <n v="51263"/>
    <x v="11"/>
    <s v="Работа"/>
    <d v="2025-05-15T00:00:00"/>
    <n v="7.5"/>
    <n v="7.5"/>
    <s v="Задача 2398, 1932"/>
    <d v="2025-05-19T00:00:00"/>
    <m/>
    <n v="702.4265645833334"/>
    <n v="5268.1992343750007"/>
    <x v="2"/>
  </r>
  <r>
    <n v="442443"/>
    <x v="15"/>
    <n v="54696"/>
    <x v="9"/>
    <s v="Работа"/>
    <d v="2025-05-15T00:00:00"/>
    <n v="1"/>
    <n v="1"/>
    <s v="1 ч - Публикация на прод сервере &quot;Анкет страхования&quot;"/>
    <d v="2025-07-24T00:00:00"/>
    <m/>
    <n v="2195.0830138888891"/>
    <n v="2195.0830138888891"/>
    <x v="2"/>
  </r>
  <r>
    <n v="442444"/>
    <x v="15"/>
    <n v="54696"/>
    <x v="9"/>
    <s v="Работа"/>
    <d v="2025-05-15T00:00:00"/>
    <n v="1"/>
    <n v="1"/>
    <s v="1 - ч Тестирование работоспособности &quot;Анкет страхования&quot;"/>
    <d v="2025-07-24T00:00:00"/>
    <m/>
    <n v="2195.0830138888891"/>
    <n v="2195.0830138888891"/>
    <x v="2"/>
  </r>
  <r>
    <n v="442445"/>
    <x v="15"/>
    <n v="54696"/>
    <x v="9"/>
    <s v="Работа"/>
    <d v="2025-05-15T00:00:00"/>
    <n v="1"/>
    <n v="1"/>
    <s v="1ч - Публикация на стейдж сервере &quot;Анкет страхования&quot;"/>
    <d v="2025-07-24T00:00:00"/>
    <m/>
    <n v="2195.0830138888891"/>
    <n v="2195.0830138888891"/>
    <x v="2"/>
  </r>
  <r>
    <n v="421204"/>
    <x v="2"/>
    <n v="17"/>
    <x v="14"/>
    <s v="Внутренняя деятельность"/>
    <d v="2025-05-15T00:00:00"/>
    <n v="8"/>
    <n v="8"/>
    <s v="Отпуск"/>
    <d v="2025-05-28T00:00:00"/>
    <m/>
    <n v="1975.5747125"/>
    <n v="15804.5977"/>
    <x v="2"/>
  </r>
  <r>
    <n v="421982"/>
    <x v="2"/>
    <n v="32"/>
    <x v="11"/>
    <s v="Внутренняя деятельность"/>
    <d v="2025-05-15T00:00:00"/>
    <n v="0.5"/>
    <n v="0.5"/>
    <s v="Daily"/>
    <d v="2025-05-29T00:00:00"/>
    <m/>
    <n v="702.4265645833334"/>
    <n v="351.2132822916667"/>
    <x v="2"/>
  </r>
  <r>
    <n v="432244"/>
    <x v="6"/>
    <n v="54720"/>
    <x v="16"/>
    <s v="Работа"/>
    <d v="2025-05-15T00:00:00"/>
    <n v="25"/>
    <n v="25"/>
    <s v="R&amp;amp;D"/>
    <d v="2025-06-28T00:00:00"/>
    <m/>
    <n v="1317.0498083333334"/>
    <n v="32926.245208333334"/>
    <x v="2"/>
  </r>
  <r>
    <n v="417409"/>
    <x v="8"/>
    <n v="54166"/>
    <x v="2"/>
    <s v="Работа"/>
    <d v="2025-05-15T00:00:00"/>
    <n v="2"/>
    <n v="2"/>
    <s v="Аналитика"/>
    <d v="2025-05-16T00:00:00"/>
    <m/>
    <n v="878.03320555555558"/>
    <n v="1756.0664111111112"/>
    <x v="2"/>
  </r>
  <r>
    <n v="417410"/>
    <x v="8"/>
    <n v="54165"/>
    <x v="2"/>
    <s v="Работа"/>
    <d v="2025-05-15T00:00:00"/>
    <n v="2"/>
    <n v="2"/>
    <s v="Аналитика"/>
    <d v="2025-05-16T00:00:00"/>
    <m/>
    <n v="878.03320555555558"/>
    <n v="1756.0664111111112"/>
    <x v="2"/>
  </r>
  <r>
    <n v="417411"/>
    <x v="0"/>
    <n v="44211"/>
    <x v="2"/>
    <s v="Работа"/>
    <d v="2025-05-15T00:00:00"/>
    <n v="4"/>
    <n v="4"/>
    <s v="Изучение материалов, документации, систем"/>
    <d v="2025-05-16T00:00:00"/>
    <m/>
    <n v="878.03320555555558"/>
    <n v="3512.1328222222223"/>
    <x v="2"/>
  </r>
  <r>
    <n v="417416"/>
    <x v="2"/>
    <n v="31"/>
    <x v="2"/>
    <s v="Внутренняя деятельность"/>
    <d v="2025-05-15T00:00:00"/>
    <n v="1"/>
    <n v="1"/>
    <s v="Обсуждение"/>
    <d v="2025-05-16T00:00:00"/>
    <m/>
    <n v="878.03320555555558"/>
    <n v="878.03320555555558"/>
    <x v="2"/>
  </r>
  <r>
    <n v="419211"/>
    <x v="0"/>
    <n v="53433"/>
    <x v="6"/>
    <s v="Работа"/>
    <d v="2025-05-15T00:00:00"/>
    <n v="8"/>
    <n v="8"/>
    <s v="разработка"/>
    <d v="2025-05-22T00:00:00"/>
    <m/>
    <n v="1053.6398465277778"/>
    <n v="8429.1187722222221"/>
    <x v="2"/>
  </r>
  <r>
    <n v="427174"/>
    <x v="14"/>
    <n v="53943"/>
    <x v="10"/>
    <s v="Работа"/>
    <d v="2025-05-15T00:00:00"/>
    <n v="8"/>
    <n v="8"/>
    <s v="Изменения в Submission.API"/>
    <d v="2025-06-11T00:00:00"/>
    <m/>
    <n v="1756.0664111111112"/>
    <n v="14048.531288888889"/>
    <x v="2"/>
  </r>
  <r>
    <n v="419257"/>
    <x v="0"/>
    <n v="54373"/>
    <x v="0"/>
    <s v="Работа"/>
    <d v="2025-05-15T00:00:00"/>
    <n v="8"/>
    <n v="8"/>
    <s v="Участие в аудите на складе"/>
    <d v="2025-05-22T00:00:00"/>
    <m/>
    <n v="2458.4929756944443"/>
    <n v="19667.943805555555"/>
    <x v="2"/>
  </r>
  <r>
    <n v="417292"/>
    <x v="1"/>
    <n v="13969"/>
    <x v="8"/>
    <s v="Внутренняя деятельность"/>
    <d v="2025-05-14T00:00:00"/>
    <n v="0.5"/>
    <n v="0.5"/>
    <s v="Созвон с командой"/>
    <d v="2025-05-16T00:00:00"/>
    <m/>
    <n v="1317.0498083333334"/>
    <n v="658.52490416666672"/>
    <x v="2"/>
  </r>
  <r>
    <n v="417295"/>
    <x v="1"/>
    <n v="13969"/>
    <x v="8"/>
    <s v="Внутренняя деятельность"/>
    <d v="2025-05-14T00:00:00"/>
    <n v="7.5"/>
    <n v="7.5"/>
    <s v="backend: автоматизация подготовки схемы валидации параметров"/>
    <d v="2025-05-16T00:00:00"/>
    <m/>
    <n v="1317.0498083333334"/>
    <n v="9877.8735625000008"/>
    <x v="2"/>
  </r>
  <r>
    <n v="416829"/>
    <x v="9"/>
    <n v="51263"/>
    <x v="11"/>
    <s v="Работа"/>
    <d v="2025-05-14T00:00:00"/>
    <n v="9"/>
    <n v="9"/>
    <s v="Задача по новому статусу и авторизацию через телефон"/>
    <d v="2025-05-14T00:00:00"/>
    <m/>
    <n v="702.4265645833334"/>
    <n v="6321.8390812500002"/>
    <x v="2"/>
  </r>
  <r>
    <n v="421203"/>
    <x v="2"/>
    <n v="17"/>
    <x v="14"/>
    <s v="Внутренняя деятельность"/>
    <d v="2025-05-14T00:00:00"/>
    <n v="8"/>
    <n v="8"/>
    <s v="Отпуск"/>
    <d v="2025-05-28T00:00:00"/>
    <m/>
    <n v="1975.5747125"/>
    <n v="15804.5977"/>
    <x v="2"/>
  </r>
  <r>
    <n v="421992"/>
    <x v="2"/>
    <n v="32"/>
    <x v="11"/>
    <s v="Внутренняя деятельность"/>
    <d v="2025-05-14T00:00:00"/>
    <n v="0.5"/>
    <n v="0.5"/>
    <s v="Daily"/>
    <d v="2025-05-29T00:00:00"/>
    <m/>
    <n v="702.4265645833334"/>
    <n v="351.2132822916667"/>
    <x v="2"/>
  </r>
  <r>
    <n v="417404"/>
    <x v="8"/>
    <n v="54162"/>
    <x v="2"/>
    <s v="Работа"/>
    <d v="2025-05-14T00:00:00"/>
    <n v="1"/>
    <n v="1"/>
    <s v="Аналитика"/>
    <d v="2025-05-16T00:00:00"/>
    <m/>
    <n v="878.03320555555558"/>
    <n v="878.03320555555558"/>
    <x v="2"/>
  </r>
  <r>
    <n v="417407"/>
    <x v="8"/>
    <n v="54163"/>
    <x v="2"/>
    <s v="Работа"/>
    <d v="2025-05-14T00:00:00"/>
    <n v="32"/>
    <n v="32"/>
    <s v="Аналитика"/>
    <d v="2025-05-16T00:00:00"/>
    <m/>
    <n v="878.03320555555558"/>
    <n v="28097.062577777779"/>
    <x v="2"/>
  </r>
  <r>
    <n v="417408"/>
    <x v="8"/>
    <n v="54164"/>
    <x v="2"/>
    <s v="Работа"/>
    <d v="2025-05-14T00:00:00"/>
    <n v="1"/>
    <n v="1"/>
    <s v="Аналитика"/>
    <d v="2025-05-16T00:00:00"/>
    <m/>
    <n v="878.03320555555558"/>
    <n v="878.03320555555558"/>
    <x v="2"/>
  </r>
  <r>
    <n v="417414"/>
    <x v="2"/>
    <n v="31"/>
    <x v="2"/>
    <s v="Внутренняя деятельность"/>
    <d v="2025-05-14T00:00:00"/>
    <n v="1"/>
    <n v="1"/>
    <s v="Обсуждение"/>
    <d v="2025-05-16T00:00:00"/>
    <m/>
    <n v="878.03320555555558"/>
    <n v="878.03320555555558"/>
    <x v="2"/>
  </r>
  <r>
    <n v="419210"/>
    <x v="0"/>
    <n v="53433"/>
    <x v="6"/>
    <s v="Работа"/>
    <d v="2025-05-14T00:00:00"/>
    <n v="8"/>
    <n v="8"/>
    <s v="разработка"/>
    <d v="2025-05-22T00:00:00"/>
    <m/>
    <n v="1053.6398465277778"/>
    <n v="8429.1187722222221"/>
    <x v="2"/>
  </r>
  <r>
    <n v="432267"/>
    <x v="2"/>
    <n v="34"/>
    <x v="3"/>
    <s v="Внутренняя деятельность"/>
    <d v="2025-05-14T00:00:00"/>
    <n v="32"/>
    <n v="32"/>
    <s v="Изучение Entaxy"/>
    <d v="2025-06-28T00:00:00"/>
    <m/>
    <n v="1141.4431673611111"/>
    <n v="36526.181355555556"/>
    <x v="2"/>
  </r>
  <r>
    <n v="419256"/>
    <x v="0"/>
    <n v="54373"/>
    <x v="0"/>
    <s v="Работа"/>
    <d v="2025-05-14T00:00:00"/>
    <n v="8"/>
    <n v="8"/>
    <s v="Участие в аудите на складе"/>
    <d v="2025-05-22T00:00:00"/>
    <m/>
    <n v="2458.4929756944443"/>
    <n v="19667.943805555555"/>
    <x v="2"/>
  </r>
  <r>
    <n v="416974"/>
    <x v="5"/>
    <n v="53172"/>
    <x v="10"/>
    <s v="Работа"/>
    <d v="2025-05-14T00:00:00"/>
    <n v="8"/>
    <n v="8"/>
    <s v="В ходе анализа некорректного расчета премии, была выяснина причина. Начиная с апреля месяца внешний метод расчета предоставляемый сервисом ЕСБД начал выдавать не корректную сумму страхового полиса. На данный момент используется другой метод расчета страховой премии, сделано также как у 1С заказчика. Ждем информации от ЕСБД, когда будет произведена корректировка расчета, чтобы вернуться к использованию старого метода расчета. "/>
    <d v="2025-05-15T00:00:00"/>
    <m/>
    <n v="1756.0664111111112"/>
    <n v="14048.531288888889"/>
    <x v="2"/>
  </r>
  <r>
    <n v="417291"/>
    <x v="1"/>
    <n v="13969"/>
    <x v="8"/>
    <s v="Внутренняя деятельность"/>
    <d v="2025-05-13T00:00:00"/>
    <n v="0.5"/>
    <n v="0.5"/>
    <s v="Созвон с командой"/>
    <d v="2025-05-16T00:00:00"/>
    <m/>
    <n v="1317.0498083333334"/>
    <n v="658.52490416666672"/>
    <x v="2"/>
  </r>
  <r>
    <n v="421202"/>
    <x v="2"/>
    <n v="17"/>
    <x v="14"/>
    <s v="Внутренняя деятельность"/>
    <d v="2025-05-13T00:00:00"/>
    <n v="8"/>
    <n v="8"/>
    <s v="Отпуск"/>
    <d v="2025-05-28T00:00:00"/>
    <m/>
    <n v="1975.5747125"/>
    <n v="15804.5977"/>
    <x v="2"/>
  </r>
  <r>
    <n v="417390"/>
    <x v="0"/>
    <n v="52585"/>
    <x v="2"/>
    <s v="Работа"/>
    <d v="2025-05-13T00:00:00"/>
    <n v="4"/>
    <n v="4"/>
    <s v="Изучение материалов, документации, систем"/>
    <d v="2025-05-16T00:00:00"/>
    <m/>
    <n v="878.03320555555558"/>
    <n v="3512.1328222222223"/>
    <x v="2"/>
  </r>
  <r>
    <n v="417403"/>
    <x v="8"/>
    <n v="54161"/>
    <x v="2"/>
    <s v="Работа"/>
    <d v="2025-05-13T00:00:00"/>
    <n v="5"/>
    <n v="5"/>
    <s v="Аналитика"/>
    <d v="2025-05-16T00:00:00"/>
    <m/>
    <n v="878.03320555555558"/>
    <n v="4390.1660277777783"/>
    <x v="2"/>
  </r>
  <r>
    <n v="417413"/>
    <x v="2"/>
    <n v="31"/>
    <x v="2"/>
    <s v="Внутренняя деятельность"/>
    <d v="2025-05-13T00:00:00"/>
    <n v="1"/>
    <n v="1"/>
    <s v="Обсуждение"/>
    <d v="2025-05-16T00:00:00"/>
    <m/>
    <n v="878.03320555555558"/>
    <n v="878.03320555555558"/>
    <x v="2"/>
  </r>
  <r>
    <n v="419208"/>
    <x v="0"/>
    <n v="53433"/>
    <x v="6"/>
    <s v="Работа"/>
    <d v="2025-05-13T00:00:00"/>
    <n v="8"/>
    <n v="8"/>
    <s v="разработка"/>
    <d v="2025-05-22T00:00:00"/>
    <m/>
    <n v="1053.6398465277778"/>
    <n v="8429.1187722222221"/>
    <x v="2"/>
  </r>
  <r>
    <n v="427173"/>
    <x v="14"/>
    <n v="53943"/>
    <x v="10"/>
    <s v="Работа"/>
    <d v="2025-05-13T00:00:00"/>
    <n v="8"/>
    <n v="8"/>
    <s v="Изменения в ESBD.API"/>
    <d v="2025-06-11T00:00:00"/>
    <m/>
    <n v="1756.0664111111112"/>
    <n v="14048.531288888889"/>
    <x v="2"/>
  </r>
  <r>
    <n v="416437"/>
    <x v="9"/>
    <n v="51263"/>
    <x v="11"/>
    <s v="Работа"/>
    <d v="2025-05-13T00:00:00"/>
    <n v="10"/>
    <n v="10"/>
    <s v="Development"/>
    <d v="2025-05-13T00:00:00"/>
    <m/>
    <n v="702.4265645833334"/>
    <n v="7024.265645833334"/>
    <x v="2"/>
  </r>
  <r>
    <n v="419255"/>
    <x v="0"/>
    <n v="54373"/>
    <x v="0"/>
    <s v="Работа"/>
    <d v="2025-05-13T00:00:00"/>
    <n v="16"/>
    <n v="16"/>
    <s v="Встреча в офисе с Константином"/>
    <d v="2025-05-22T00:00:00"/>
    <m/>
    <n v="2458.4929756944443"/>
    <n v="39335.887611111109"/>
    <x v="2"/>
  </r>
  <r>
    <n v="421201"/>
    <x v="2"/>
    <n v="17"/>
    <x v="14"/>
    <s v="Внутренняя деятельность"/>
    <d v="2025-05-12T00:00:00"/>
    <n v="8"/>
    <n v="8"/>
    <s v="Отпуск"/>
    <d v="2025-05-28T00:00:00"/>
    <m/>
    <n v="1975.5747125"/>
    <n v="15804.5977"/>
    <x v="2"/>
  </r>
  <r>
    <n v="421984"/>
    <x v="2"/>
    <n v="32"/>
    <x v="11"/>
    <s v="Внутренняя деятельность"/>
    <d v="2025-05-12T00:00:00"/>
    <n v="0.5"/>
    <n v="0.5"/>
    <s v="Daily"/>
    <d v="2025-05-29T00:00:00"/>
    <m/>
    <n v="702.4265645833334"/>
    <n v="351.2132822916667"/>
    <x v="2"/>
  </r>
  <r>
    <n v="417379"/>
    <x v="0"/>
    <n v="52585"/>
    <x v="2"/>
    <s v="Работа"/>
    <d v="2025-05-12T00:00:00"/>
    <n v="4"/>
    <n v="4"/>
    <s v="Изучение материалов, документации, систем"/>
    <d v="2025-05-16T00:00:00"/>
    <m/>
    <n v="878.03320555555558"/>
    <n v="3512.1328222222223"/>
    <x v="2"/>
  </r>
  <r>
    <n v="421990"/>
    <x v="2"/>
    <n v="34"/>
    <x v="11"/>
    <s v="Внутренняя деятельность"/>
    <d v="2025-05-12T00:00:00"/>
    <n v="3"/>
    <n v="3"/>
    <s v="Изучение материалов и технологий, необходимых для работы в проекте"/>
    <d v="2025-05-29T00:00:00"/>
    <m/>
    <n v="702.4265645833334"/>
    <n v="2107.2796937500002"/>
    <x v="2"/>
  </r>
  <r>
    <n v="417402"/>
    <x v="8"/>
    <n v="54160"/>
    <x v="2"/>
    <s v="Работа"/>
    <d v="2025-05-12T00:00:00"/>
    <n v="3"/>
    <n v="3"/>
    <s v="Аналитика"/>
    <d v="2025-05-16T00:00:00"/>
    <m/>
    <n v="878.03320555555558"/>
    <n v="2634.0996166666669"/>
    <x v="2"/>
  </r>
  <r>
    <n v="417412"/>
    <x v="2"/>
    <n v="31"/>
    <x v="2"/>
    <s v="Внутренняя деятельность"/>
    <d v="2025-05-12T00:00:00"/>
    <n v="1"/>
    <n v="1"/>
    <s v="Обсуждение"/>
    <d v="2025-05-16T00:00:00"/>
    <m/>
    <n v="878.03320555555558"/>
    <n v="878.03320555555558"/>
    <x v="2"/>
  </r>
  <r>
    <n v="419207"/>
    <x v="0"/>
    <n v="53433"/>
    <x v="6"/>
    <s v="Работа"/>
    <d v="2025-05-12T00:00:00"/>
    <n v="8"/>
    <n v="8"/>
    <s v="разработка"/>
    <d v="2025-05-22T00:00:00"/>
    <m/>
    <n v="1053.6398465277778"/>
    <n v="8429.1187722222221"/>
    <x v="2"/>
  </r>
  <r>
    <n v="427172"/>
    <x v="14"/>
    <n v="53943"/>
    <x v="10"/>
    <s v="Работа"/>
    <d v="2025-05-12T00:00:00"/>
    <n v="8"/>
    <n v="8"/>
    <s v="Изменения в ESBD.API"/>
    <d v="2025-06-11T00:00:00"/>
    <m/>
    <n v="1756.0664111111112"/>
    <n v="14048.531288888889"/>
    <x v="2"/>
  </r>
  <r>
    <n v="416438"/>
    <x v="9"/>
    <n v="51263"/>
    <x v="11"/>
    <s v="Работа"/>
    <d v="2025-05-12T00:00:00"/>
    <n v="3"/>
    <n v="3"/>
    <s v="Reseach"/>
    <d v="2025-05-13T00:00:00"/>
    <m/>
    <n v="702.4265645833334"/>
    <n v="2107.2796937500002"/>
    <x v="2"/>
  </r>
  <r>
    <n v="415561"/>
    <x v="5"/>
    <n v="53893"/>
    <x v="9"/>
    <s v="Работа"/>
    <d v="2025-05-08T00:00:00"/>
    <n v="19"/>
    <n v="19"/>
    <s v="Выяснение причин и устранения сбоя деплоя на прод. Было выяснено, что на работу влияло состояние инфраструктуры заказчика, при прохождении билда появлялась ошибка. Спустя устранения ппроблем с инфраструктурой, выяснилось, что есть ограничение доступа к реестру контейнеров с машин на которых развернут бэк. Это является блокером для продолжения выяснения и устранения причин сбоя деплоя."/>
    <d v="2025-05-08T00:00:00"/>
    <m/>
    <n v="2195.0830138888891"/>
    <n v="41706.577263888896"/>
    <x v="2"/>
  </r>
  <r>
    <n v="416271"/>
    <x v="5"/>
    <n v="53172"/>
    <x v="10"/>
    <s v="Работа"/>
    <d v="2025-05-07T00:00:00"/>
    <n v="4"/>
    <n v="4"/>
    <s v="Изменения поля из которого берем данные для запроса в ЕСБД"/>
    <d v="2025-05-13T00:00:00"/>
    <m/>
    <n v="1756.0664111111112"/>
    <n v="7024.2656444444447"/>
    <x v="2"/>
  </r>
  <r>
    <n v="415577"/>
    <x v="5"/>
    <n v="53893"/>
    <x v="9"/>
    <s v="Работа"/>
    <d v="2025-05-07T00:00:00"/>
    <n v="21.5"/>
    <n v="21.5"/>
    <s v="Выяснение причин не работоспособности деплоя"/>
    <d v="2025-05-09T00:00:00"/>
    <m/>
    <n v="2195.0830138888891"/>
    <n v="47194.284798611116"/>
    <x v="2"/>
  </r>
  <r>
    <n v="417376"/>
    <x v="0"/>
    <n v="53425"/>
    <x v="2"/>
    <s v="Работа"/>
    <d v="2025-05-07T00:00:00"/>
    <n v="8"/>
    <n v="8"/>
    <s v="Настройка печати"/>
    <d v="2025-05-16T00:00:00"/>
    <m/>
    <n v="878.03320555555558"/>
    <n v="7024.2656444444447"/>
    <x v="2"/>
  </r>
  <r>
    <n v="423553"/>
    <x v="10"/>
    <n v="52830"/>
    <x v="14"/>
    <s v="Работа"/>
    <d v="2025-05-07T00:00:00"/>
    <n v="1"/>
    <n v="1"/>
    <s v="Смета по основным модулям готово"/>
    <d v="2025-06-02T00:00:00"/>
    <m/>
    <n v="1975.5747125"/>
    <n v="1975.5747125"/>
    <x v="2"/>
  </r>
  <r>
    <n v="423554"/>
    <x v="10"/>
    <n v="52830"/>
    <x v="14"/>
    <s v="Работа"/>
    <d v="2025-05-07T00:00:00"/>
    <n v="1"/>
    <n v="1"/>
    <s v="Созвон по гранту"/>
    <d v="2025-06-02T00:00:00"/>
    <m/>
    <n v="1975.5747125"/>
    <n v="1975.5747125"/>
    <x v="2"/>
  </r>
  <r>
    <n v="423557"/>
    <x v="10"/>
    <n v="52830"/>
    <x v="14"/>
    <s v="Работа"/>
    <d v="2025-05-07T00:00:00"/>
    <n v="3"/>
    <n v="3"/>
    <s v="По гранту, проверка текстов и подсчет часов"/>
    <d v="2025-06-02T00:00:00"/>
    <m/>
    <n v="1975.5747125"/>
    <n v="5926.7241375000003"/>
    <x v="2"/>
  </r>
  <r>
    <n v="416444"/>
    <x v="9"/>
    <n v="51263"/>
    <x v="11"/>
    <s v="Работа"/>
    <d v="2025-05-07T00:00:00"/>
    <n v="5"/>
    <n v="5"/>
    <s v="Development"/>
    <d v="2025-05-13T00:00:00"/>
    <m/>
    <n v="702.4265645833334"/>
    <n v="3512.132822916667"/>
    <x v="2"/>
  </r>
  <r>
    <n v="416447"/>
    <x v="2"/>
    <n v="34"/>
    <x v="11"/>
    <s v="Внутренняя деятельность"/>
    <d v="2025-05-07T00:00:00"/>
    <n v="3"/>
    <n v="3"/>
    <s v="Изучение материалов и технологий, необходимых для работы в проекте"/>
    <d v="2025-05-13T00:00:00"/>
    <m/>
    <n v="702.4265645833334"/>
    <n v="2107.2796937500002"/>
    <x v="2"/>
  </r>
  <r>
    <n v="423880"/>
    <x v="0"/>
    <n v="53333"/>
    <x v="0"/>
    <s v="Работа"/>
    <d v="2025-05-07T00:00:00"/>
    <n v="1.5"/>
    <n v="1.5"/>
    <s v="дейлики"/>
    <d v="2025-06-02T00:00:00"/>
    <m/>
    <n v="2458.4929756944443"/>
    <n v="3687.7394635416667"/>
    <x v="2"/>
  </r>
  <r>
    <n v="416270"/>
    <x v="5"/>
    <n v="53172"/>
    <x v="10"/>
    <s v="Работа"/>
    <d v="2025-05-06T00:00:00"/>
    <n v="4"/>
    <n v="4"/>
    <s v="Анализ логов из продовой БД"/>
    <d v="2025-05-13T00:00:00"/>
    <m/>
    <n v="1756.0664111111112"/>
    <n v="7024.2656444444447"/>
    <x v="2"/>
  </r>
  <r>
    <n v="414518"/>
    <x v="0"/>
    <n v="53425"/>
    <x v="2"/>
    <s v="Работа"/>
    <d v="2025-05-06T00:00:00"/>
    <n v="8"/>
    <n v="8"/>
    <s v="Настройка печати"/>
    <d v="2025-05-06T00:00:00"/>
    <m/>
    <n v="878.03320555555558"/>
    <n v="7024.2656444444447"/>
    <x v="2"/>
  </r>
  <r>
    <n v="422998"/>
    <x v="1"/>
    <n v="13970"/>
    <x v="4"/>
    <s v="Внутренняя деятельность"/>
    <d v="2025-05-06T00:00:00"/>
    <n v="12.5"/>
    <n v="12.5"/>
    <s v="Подготовка ТЗ и диаграмм на разработку MVP для СмартТехСол, участие в мите по обсуждению проекта"/>
    <d v="2025-06-01T00:00:00"/>
    <m/>
    <n v="1317.0498083333334"/>
    <n v="16463.122604166667"/>
    <x v="2"/>
  </r>
  <r>
    <n v="423550"/>
    <x v="10"/>
    <n v="52830"/>
    <x v="14"/>
    <s v="Работа"/>
    <d v="2025-05-06T00:00:00"/>
    <n v="7"/>
    <n v="7"/>
    <s v="Смета по основным модулям"/>
    <d v="2025-06-02T00:00:00"/>
    <m/>
    <n v="1975.5747125"/>
    <n v="13829.0229875"/>
    <x v="2"/>
  </r>
  <r>
    <n v="415127"/>
    <x v="0"/>
    <n v="53433"/>
    <x v="6"/>
    <s v="Работа"/>
    <d v="2025-05-06T00:00:00"/>
    <n v="6"/>
    <n v="6"/>
    <s v="разработка"/>
    <d v="2025-05-07T00:00:00"/>
    <m/>
    <n v="1053.6398465277778"/>
    <n v="6321.8390791666661"/>
    <x v="2"/>
  </r>
  <r>
    <n v="416450"/>
    <x v="9"/>
    <n v="51263"/>
    <x v="11"/>
    <s v="Работа"/>
    <d v="2025-05-06T00:00:00"/>
    <n v="5"/>
    <n v="5"/>
    <s v="Development"/>
    <d v="2025-05-13T00:00:00"/>
    <m/>
    <n v="702.4265645833334"/>
    <n v="3512.132822916667"/>
    <x v="2"/>
  </r>
  <r>
    <n v="423879"/>
    <x v="0"/>
    <n v="53333"/>
    <x v="0"/>
    <s v="Работа"/>
    <d v="2025-05-06T00:00:00"/>
    <n v="1.5"/>
    <n v="1.5"/>
    <s v="дейлики"/>
    <d v="2025-06-02T00:00:00"/>
    <m/>
    <n v="2458.4929756944443"/>
    <n v="3687.7394635416667"/>
    <x v="2"/>
  </r>
  <r>
    <n v="414516"/>
    <x v="0"/>
    <n v="52508"/>
    <x v="2"/>
    <s v="Работа"/>
    <d v="2025-05-05T00:00:00"/>
    <n v="4"/>
    <n v="4"/>
    <s v="Изучение материалов, документации, систем"/>
    <d v="2025-05-06T00:00:00"/>
    <m/>
    <n v="878.03320555555558"/>
    <n v="3512.1328222222223"/>
    <x v="2"/>
  </r>
  <r>
    <n v="422997"/>
    <x v="1"/>
    <n v="13970"/>
    <x v="4"/>
    <s v="Внутренняя деятельность"/>
    <d v="2025-05-05T00:00:00"/>
    <n v="3.5"/>
    <n v="3.5"/>
    <s v="Подготовка ТЗ и диаграмм на разработку MVP для СмартТехСол, участие в мите по обсуждению проекта"/>
    <d v="2025-06-01T00:00:00"/>
    <m/>
    <n v="1317.0498083333334"/>
    <n v="4609.6743291666671"/>
    <x v="2"/>
  </r>
  <r>
    <n v="421983"/>
    <x v="2"/>
    <n v="32"/>
    <x v="11"/>
    <s v="Внутренняя деятельность"/>
    <d v="2025-05-05T00:00:00"/>
    <n v="0.5"/>
    <n v="0.5"/>
    <s v="Daily"/>
    <d v="2025-05-29T00:00:00"/>
    <m/>
    <n v="702.4265645833334"/>
    <n v="351.2132822916667"/>
    <x v="2"/>
  </r>
  <r>
    <n v="423543"/>
    <x v="10"/>
    <n v="52830"/>
    <x v="14"/>
    <s v="Работа"/>
    <d v="2025-05-05T00:00:00"/>
    <n v="5.5"/>
    <n v="5.5"/>
    <s v="Грант от Тинькофф"/>
    <d v="2025-06-02T00:00:00"/>
    <m/>
    <n v="1975.5747125"/>
    <n v="10865.66091875"/>
    <x v="2"/>
  </r>
  <r>
    <n v="420219"/>
    <x v="9"/>
    <n v="53305"/>
    <x v="9"/>
    <s v="Работа"/>
    <d v="2025-05-05T00:00:00"/>
    <n v="1"/>
    <n v="1"/>
    <s v="Обсуждение задач"/>
    <d v="2025-05-26T00:00:00"/>
    <m/>
    <n v="2195.0830138888891"/>
    <n v="2195.0830138888891"/>
    <x v="2"/>
  </r>
  <r>
    <n v="415125"/>
    <x v="0"/>
    <n v="53433"/>
    <x v="6"/>
    <s v="Работа"/>
    <d v="2025-05-05T00:00:00"/>
    <n v="8"/>
    <n v="8"/>
    <s v="разработка"/>
    <d v="2025-05-07T00:00:00"/>
    <m/>
    <n v="1053.6398465277778"/>
    <n v="8429.1187722222221"/>
    <x v="2"/>
  </r>
  <r>
    <n v="423878"/>
    <x v="0"/>
    <n v="53333"/>
    <x v="0"/>
    <s v="Работа"/>
    <d v="2025-05-05T00:00:00"/>
    <n v="1.5"/>
    <n v="1.5"/>
    <s v="дейлики"/>
    <d v="2025-06-02T00:00:00"/>
    <m/>
    <n v="2458.4929756944443"/>
    <n v="3687.7394635416667"/>
    <x v="2"/>
  </r>
  <r>
    <n v="416456"/>
    <x v="2"/>
    <n v="34"/>
    <x v="11"/>
    <s v="Внутренняя деятельность"/>
    <d v="2025-05-05T00:00:00"/>
    <n v="4"/>
    <n v="4"/>
    <s v="Изучение материалов и технологий, необходимых для работы в проекте"/>
    <d v="2025-05-13T00:00:00"/>
    <m/>
    <n v="702.4265645833334"/>
    <n v="2809.7062583333336"/>
    <x v="2"/>
  </r>
  <r>
    <n v="432078"/>
    <x v="1"/>
    <n v="13969"/>
    <x v="6"/>
    <s v="Внутренняя деятельность"/>
    <d v="2025-05-05T00:00:00"/>
    <n v="16"/>
    <n v="16"/>
    <s v="CustomDev Admin"/>
    <d v="2025-06-27T00:00:00"/>
    <m/>
    <n v="1053.6398465277778"/>
    <n v="16858.237544444444"/>
    <x v="2"/>
  </r>
  <r>
    <n v="414018"/>
    <x v="2"/>
    <n v="17"/>
    <x v="15"/>
    <s v="Внутренняя деятельность"/>
    <d v="2025-05-02T00:00:00"/>
    <n v="8"/>
    <n v="8"/>
    <s v="Государственные выходные."/>
    <d v="2025-05-05T00:00:00"/>
    <m/>
    <n v="439.01660277777779"/>
    <n v="3512.1328222222223"/>
    <x v="2"/>
  </r>
  <r>
    <n v="432264"/>
    <x v="11"/>
    <n v="7176"/>
    <x v="3"/>
    <s v="Работа"/>
    <d v="2025-05-02T00:00:00"/>
    <n v="6"/>
    <n v="6"/>
    <s v="CustomDev Daily Sync"/>
    <d v="2025-06-28T00:00:00"/>
    <m/>
    <n v="1141.4431673611111"/>
    <n v="6848.6590041666668"/>
    <x v="2"/>
  </r>
  <r>
    <n v="414017"/>
    <x v="2"/>
    <n v="17"/>
    <x v="15"/>
    <s v="Внутренняя деятельность"/>
    <d v="2025-05-01T00:00:00"/>
    <n v="8"/>
    <n v="8"/>
    <s v="Государственные выходные."/>
    <d v="2025-05-05T00:00:00"/>
    <m/>
    <n v="439.01660277777779"/>
    <n v="3512.1328222222223"/>
    <x v="2"/>
  </r>
  <r>
    <n v="412996"/>
    <x v="3"/>
    <n v="21152"/>
    <x v="1"/>
    <s v="Внутренняя деятельность"/>
    <d v="2025-04-30T00:00:00"/>
    <n v="53"/>
    <n v="53"/>
    <s v="Presales activities: offers, proposals, meetings"/>
    <d v="2025-04-30T00:00:00"/>
    <m/>
    <n v="2155.1724136363637"/>
    <n v="114224.13792272727"/>
    <x v="3"/>
  </r>
  <r>
    <n v="412240"/>
    <x v="10"/>
    <n v="52830"/>
    <x v="14"/>
    <s v="Работа"/>
    <d v="2025-04-30T00:00:00"/>
    <n v="2"/>
    <n v="2"/>
    <s v="Смета"/>
    <d v="2025-04-30T00:00:00"/>
    <m/>
    <n v="1616.3793102272728"/>
    <n v="3232.7586204545455"/>
    <x v="3"/>
  </r>
  <r>
    <n v="413024"/>
    <x v="16"/>
    <n v="47572"/>
    <x v="8"/>
    <s v="Работа"/>
    <d v="2025-04-30T00:00:00"/>
    <n v="0.5"/>
    <n v="0.5"/>
    <s v="Созвон с командой"/>
    <d v="2025-04-30T00:00:00"/>
    <m/>
    <n v="1077.5862068181818"/>
    <n v="538.79310340909092"/>
    <x v="3"/>
  </r>
  <r>
    <n v="413026"/>
    <x v="16"/>
    <n v="47569"/>
    <x v="8"/>
    <s v="Работа"/>
    <d v="2025-04-30T00:00:00"/>
    <n v="3.5"/>
    <n v="3.5"/>
    <s v="backend: создание сервиса мониторинга парсера"/>
    <d v="2025-04-30T00:00:00"/>
    <m/>
    <n v="1077.5862068181818"/>
    <n v="3771.5517238636367"/>
    <x v="3"/>
  </r>
  <r>
    <n v="412785"/>
    <x v="17"/>
    <n v="53043"/>
    <x v="1"/>
    <s v="Работа"/>
    <d v="2025-04-30T00:00:00"/>
    <n v="25"/>
    <n v="25"/>
    <s v="Task planning, meetings with client"/>
    <d v="2025-04-30T00:00:00"/>
    <m/>
    <n v="2155.1724136363637"/>
    <n v="53879.310340909091"/>
    <x v="3"/>
  </r>
  <r>
    <n v="412789"/>
    <x v="17"/>
    <n v="53039"/>
    <x v="1"/>
    <s v="Работа"/>
    <d v="2025-04-30T00:00:00"/>
    <n v="25"/>
    <n v="25"/>
    <s v="R&amp;amp;D"/>
    <d v="2025-04-30T00:00:00"/>
    <m/>
    <n v="2155.1724136363637"/>
    <n v="53879.310340909091"/>
    <x v="3"/>
  </r>
  <r>
    <n v="412792"/>
    <x v="0"/>
    <n v="52508"/>
    <x v="2"/>
    <s v="Работа"/>
    <d v="2025-04-30T00:00:00"/>
    <n v="8"/>
    <n v="8"/>
    <s v="Изучение материалов, документации, систем"/>
    <d v="2025-04-30T00:00:00"/>
    <m/>
    <n v="718.39080454545456"/>
    <n v="5747.1264363636365"/>
    <x v="3"/>
  </r>
  <r>
    <n v="432258"/>
    <x v="3"/>
    <n v="21152"/>
    <x v="7"/>
    <s v="Внутренняя деятельность"/>
    <d v="2025-04-30T00:00:00"/>
    <n v="76"/>
    <n v="76"/>
    <s v="R&amp;amp;D"/>
    <d v="2025-06-28T00:00:00"/>
    <m/>
    <n v="1724.1379312500001"/>
    <n v="131034.48277500001"/>
    <x v="3"/>
  </r>
  <r>
    <n v="413317"/>
    <x v="16"/>
    <n v="47614"/>
    <x v="13"/>
    <s v="Работа"/>
    <d v="2025-04-30T00:00:00"/>
    <n v="10"/>
    <n v="10"/>
    <n v="1839"/>
    <d v="2025-04-30T00:00:00"/>
    <m/>
    <n v="1418"/>
    <n v="14180"/>
    <x v="3"/>
  </r>
  <r>
    <n v="413322"/>
    <x v="16"/>
    <n v="47572"/>
    <x v="13"/>
    <s v="Работа"/>
    <d v="2025-04-30T00:00:00"/>
    <n v="0.5"/>
    <n v="0.5"/>
    <s v="ежедейл"/>
    <d v="2025-04-30T00:00:00"/>
    <m/>
    <n v="1418"/>
    <n v="709"/>
    <x v="3"/>
  </r>
  <r>
    <n v="432277"/>
    <x v="16"/>
    <n v="47614"/>
    <x v="12"/>
    <s v="Работа"/>
    <d v="2025-04-30T00:00:00"/>
    <n v="153"/>
    <n v="153"/>
    <s v="R&amp;amp;D"/>
    <d v="2025-06-28T00:00:00"/>
    <m/>
    <n v="1380"/>
    <n v="211140"/>
    <x v="3"/>
  </r>
  <r>
    <n v="412088"/>
    <x v="16"/>
    <n v="47568"/>
    <x v="8"/>
    <s v="Работа"/>
    <d v="2025-04-30T00:00:00"/>
    <n v="4"/>
    <n v="4"/>
    <s v="Написание и анализ API спецификации, исправление замечаний МР по сервису мониторинга"/>
    <d v="2025-04-30T00:00:00"/>
    <m/>
    <n v="1077.5862068181818"/>
    <n v="4310.3448272727273"/>
    <x v="3"/>
  </r>
  <r>
    <n v="413884"/>
    <x v="9"/>
    <n v="51263"/>
    <x v="11"/>
    <s v="Работа"/>
    <d v="2025-04-30T00:00:00"/>
    <n v="10"/>
    <n v="10"/>
    <s v="Исследование проблемы оформления заказа за клиента через админку. Разработка решения по задаче добавить новый статус заказа &quot;Отправлен в шоурум&quot;"/>
    <d v="2025-05-05T00:00:00"/>
    <m/>
    <n v="574.71264374999998"/>
    <n v="5747.1264375000001"/>
    <x v="3"/>
  </r>
  <r>
    <n v="436679"/>
    <x v="14"/>
    <n v="53766"/>
    <x v="10"/>
    <s v="Работа"/>
    <d v="2025-04-30T00:00:00"/>
    <n v="16"/>
    <n v="16"/>
    <s v="-"/>
    <d v="2025-07-08T00:00:00"/>
    <m/>
    <n v="1436.7816090909091"/>
    <n v="22988.505745454546"/>
    <x v="3"/>
  </r>
  <r>
    <n v="413930"/>
    <x v="1"/>
    <n v="13970"/>
    <x v="4"/>
    <s v="Внутренняя деятельность"/>
    <d v="2025-04-30T00:00:00"/>
    <n v="5.5"/>
    <n v="5.5"/>
    <s v="Подготовка ТЗ и диаграмм на разработку MVP для СмартТехСол"/>
    <d v="2025-05-05T00:00:00"/>
    <m/>
    <n v="1077.5862068181818"/>
    <n v="5926.7241375000003"/>
    <x v="3"/>
  </r>
  <r>
    <n v="413421"/>
    <x v="16"/>
    <n v="52114"/>
    <x v="5"/>
    <s v="Работа"/>
    <d v="2025-04-30T00:00:00"/>
    <n v="8"/>
    <n v="8"/>
    <s v="Testing"/>
    <d v="2025-05-01T00:00:00"/>
    <m/>
    <n v="431.03448295454547"/>
    <n v="3448.2758636363637"/>
    <x v="3"/>
  </r>
  <r>
    <n v="426487"/>
    <x v="0"/>
    <n v="53433"/>
    <x v="6"/>
    <s v="Работа"/>
    <d v="2025-04-30T00:00:00"/>
    <n v="8"/>
    <n v="8"/>
    <s v="."/>
    <d v="2025-06-09T00:00:00"/>
    <m/>
    <n v="574.71264374999998"/>
    <n v="4597.7011499999999"/>
    <x v="3"/>
  </r>
  <r>
    <n v="411945"/>
    <x v="3"/>
    <n v="21152"/>
    <x v="16"/>
    <s v="Внутренняя деятельность"/>
    <d v="2025-04-29T00:00:00"/>
    <n v="5"/>
    <n v="5"/>
    <s v="Смарт Тех (Хошин Канри) "/>
    <d v="2025-04-30T00:00:00"/>
    <m/>
    <n v="1077.5862068181818"/>
    <n v="5387.9310340909087"/>
    <x v="3"/>
  </r>
  <r>
    <n v="412791"/>
    <x v="0"/>
    <n v="52508"/>
    <x v="2"/>
    <s v="Работа"/>
    <d v="2025-04-29T00:00:00"/>
    <n v="8"/>
    <n v="8"/>
    <s v="Изучение материалов, документации, систем"/>
    <d v="2025-04-30T00:00:00"/>
    <m/>
    <n v="718.39080454545456"/>
    <n v="5747.1264363636365"/>
    <x v="3"/>
  </r>
  <r>
    <n v="413316"/>
    <x v="16"/>
    <n v="47614"/>
    <x v="13"/>
    <s v="Работа"/>
    <d v="2025-04-29T00:00:00"/>
    <n v="4"/>
    <n v="4"/>
    <n v="1839"/>
    <d v="2025-04-30T00:00:00"/>
    <m/>
    <n v="1418"/>
    <n v="5672"/>
    <x v="3"/>
  </r>
  <r>
    <n v="411534"/>
    <x v="9"/>
    <n v="51263"/>
    <x v="11"/>
    <s v="Работа"/>
    <d v="2025-04-29T00:00:00"/>
    <n v="5"/>
    <n v="5"/>
    <s v="Добавил декоратор @IsOptional к полю shortTitle в ProductsDto. Добавил на фронт отображение shortTitle. Тестирование на тест стенде"/>
    <d v="2025-04-29T00:00:00"/>
    <m/>
    <n v="574.71264374999998"/>
    <n v="2873.56321875"/>
    <x v="3"/>
  </r>
  <r>
    <n v="415124"/>
    <x v="0"/>
    <n v="53433"/>
    <x v="6"/>
    <s v="Работа"/>
    <d v="2025-04-29T00:00:00"/>
    <n v="8"/>
    <n v="8"/>
    <s v="анализ разработка"/>
    <d v="2025-05-07T00:00:00"/>
    <m/>
    <n v="574.71264374999998"/>
    <n v="4597.7011499999999"/>
    <x v="3"/>
  </r>
  <r>
    <n v="411831"/>
    <x v="16"/>
    <n v="52114"/>
    <x v="5"/>
    <s v="Работа"/>
    <d v="2025-04-29T00:00:00"/>
    <n v="8"/>
    <n v="8"/>
    <s v="Testing"/>
    <d v="2025-04-30T00:00:00"/>
    <m/>
    <n v="431.03448295454547"/>
    <n v="3448.2758636363637"/>
    <x v="3"/>
  </r>
  <r>
    <n v="413929"/>
    <x v="1"/>
    <n v="13970"/>
    <x v="4"/>
    <s v="Внутренняя деятельность"/>
    <d v="2025-04-29T00:00:00"/>
    <n v="6"/>
    <n v="6"/>
    <s v="Подготовка ТЗ и диаграмм на разработку MVP для СмартТехСол"/>
    <d v="2025-05-05T00:00:00"/>
    <m/>
    <n v="1077.5862068181818"/>
    <n v="6465.517240909091"/>
    <x v="3"/>
  </r>
  <r>
    <n v="411370"/>
    <x v="16"/>
    <n v="47572"/>
    <x v="8"/>
    <s v="Работа"/>
    <d v="2025-04-29T00:00:00"/>
    <n v="0.5"/>
    <n v="0.5"/>
    <s v="Созвон с командой"/>
    <d v="2025-04-29T00:00:00"/>
    <m/>
    <n v="1077.5862068181818"/>
    <n v="538.79310340909092"/>
    <x v="3"/>
  </r>
  <r>
    <n v="411371"/>
    <x v="16"/>
    <n v="52114"/>
    <x v="8"/>
    <s v="Работа"/>
    <d v="2025-04-29T00:00:00"/>
    <n v="2.5"/>
    <n v="2.5"/>
    <s v="В шаблонах при добавлении дома вносить изменения в справочники, тестирование функционала"/>
    <d v="2025-04-29T00:00:00"/>
    <m/>
    <n v="1077.5862068181818"/>
    <n v="2693.9655170454544"/>
    <x v="3"/>
  </r>
  <r>
    <n v="411372"/>
    <x v="16"/>
    <n v="47569"/>
    <x v="8"/>
    <s v="Работа"/>
    <d v="2025-04-29T00:00:00"/>
    <n v="4"/>
    <n v="4"/>
    <s v="В шаблонах при добавлении дома вносить изменения в справочники"/>
    <d v="2025-04-29T00:00:00"/>
    <m/>
    <n v="1077.5862068181818"/>
    <n v="4310.3448272727273"/>
    <x v="3"/>
  </r>
  <r>
    <n v="411373"/>
    <x v="16"/>
    <n v="47569"/>
    <x v="8"/>
    <s v="Работа"/>
    <d v="2025-04-29T00:00:00"/>
    <n v="1"/>
    <n v="1"/>
    <s v="backend: создание сервиса мониторинга парсера, исправление замечаний к МР"/>
    <d v="2025-04-29T00:00:00"/>
    <m/>
    <n v="1077.5862068181818"/>
    <n v="1077.5862068181818"/>
    <x v="3"/>
  </r>
  <r>
    <n v="412239"/>
    <x v="10"/>
    <n v="52830"/>
    <x v="14"/>
    <s v="Работа"/>
    <d v="2025-04-28T00:00:00"/>
    <n v="3"/>
    <n v="3"/>
    <s v="Смета"/>
    <d v="2025-04-30T00:00:00"/>
    <m/>
    <n v="1616.3793102272728"/>
    <n v="4849.137930681818"/>
    <x v="3"/>
  </r>
  <r>
    <n v="412787"/>
    <x v="0"/>
    <n v="52508"/>
    <x v="2"/>
    <s v="Работа"/>
    <d v="2025-04-28T00:00:00"/>
    <n v="8"/>
    <n v="8"/>
    <s v="Изучение материалов, документации, систем"/>
    <d v="2025-04-30T00:00:00"/>
    <m/>
    <n v="718.39080454545456"/>
    <n v="5747.1264363636365"/>
    <x v="3"/>
  </r>
  <r>
    <n v="413315"/>
    <x v="16"/>
    <n v="47614"/>
    <x v="13"/>
    <s v="Работа"/>
    <d v="2025-04-28T00:00:00"/>
    <n v="3"/>
    <n v="3"/>
    <n v="1839"/>
    <d v="2025-04-30T00:00:00"/>
    <m/>
    <n v="1418"/>
    <n v="4254"/>
    <x v="3"/>
  </r>
  <r>
    <n v="413321"/>
    <x v="16"/>
    <n v="47572"/>
    <x v="13"/>
    <s v="Работа"/>
    <d v="2025-04-28T00:00:00"/>
    <n v="0.5"/>
    <n v="0.5"/>
    <s v="ежедейл"/>
    <d v="2025-04-30T00:00:00"/>
    <m/>
    <n v="1418"/>
    <n v="709"/>
    <x v="3"/>
  </r>
  <r>
    <n v="415123"/>
    <x v="0"/>
    <n v="53433"/>
    <x v="6"/>
    <s v="Работа"/>
    <d v="2025-04-28T00:00:00"/>
    <n v="8"/>
    <n v="8"/>
    <s v="анализ"/>
    <d v="2025-05-07T00:00:00"/>
    <m/>
    <n v="574.71264374999998"/>
    <n v="4597.7011499999999"/>
    <x v="3"/>
  </r>
  <r>
    <n v="432284"/>
    <x v="9"/>
    <n v="53304"/>
    <x v="0"/>
    <s v="Работа"/>
    <d v="2025-04-28T00:00:00"/>
    <n v="2"/>
    <n v="2"/>
    <s v="R&amp;amp;D"/>
    <d v="2025-06-28T00:00:00"/>
    <m/>
    <n v="2011.494252840909"/>
    <n v="4022.988505681818"/>
    <x v="3"/>
  </r>
  <r>
    <n v="411830"/>
    <x v="16"/>
    <n v="52114"/>
    <x v="5"/>
    <s v="Работа"/>
    <d v="2025-04-28T00:00:00"/>
    <n v="8"/>
    <n v="8"/>
    <s v="Testing"/>
    <d v="2025-04-30T00:00:00"/>
    <m/>
    <n v="431.03448295454547"/>
    <n v="3448.2758636363637"/>
    <x v="3"/>
  </r>
  <r>
    <n v="410322"/>
    <x v="16"/>
    <n v="47572"/>
    <x v="8"/>
    <s v="Работа"/>
    <d v="2025-04-28T00:00:00"/>
    <n v="0.5"/>
    <n v="0.5"/>
    <s v="Созвон с командой"/>
    <d v="2025-04-28T00:00:00"/>
    <m/>
    <n v="1077.5862068181818"/>
    <n v="538.79310340909092"/>
    <x v="3"/>
  </r>
  <r>
    <n v="410323"/>
    <x v="16"/>
    <n v="47569"/>
    <x v="8"/>
    <s v="Работа"/>
    <d v="2025-04-28T00:00:00"/>
    <n v="7.5"/>
    <n v="7.5"/>
    <s v="В шаблонах при добавлении дома вносить изменения в справочники"/>
    <d v="2025-04-28T00:00:00"/>
    <m/>
    <n v="1077.5862068181818"/>
    <n v="8081.896551136364"/>
    <x v="3"/>
  </r>
  <r>
    <n v="410588"/>
    <x v="9"/>
    <n v="51263"/>
    <x v="11"/>
    <s v="Работа"/>
    <d v="2025-04-28T00:00:00"/>
    <n v="17"/>
    <n v="17"/>
    <s v="В рамках задачи добавлены в postman эндпоинты идущие с 1с с тестовыми данными, для локального тестирования. Добавленно поле в dto приходящее из 1с, в entity Product, добавил shortTitle при выборке. Создал миграцию. Начал тестирование"/>
    <d v="2025-04-28T00:00:00"/>
    <m/>
    <n v="574.71264374999998"/>
    <n v="9770.1149437499989"/>
    <x v="3"/>
  </r>
  <r>
    <n v="413924"/>
    <x v="1"/>
    <n v="13970"/>
    <x v="4"/>
    <s v="Внутренняя деятельность"/>
    <d v="2025-04-28T00:00:00"/>
    <n v="4.5"/>
    <n v="4.5"/>
    <s v="Подготовка ТЗ и диаграмм на разработку MVP для СмартТехСол"/>
    <d v="2025-05-05T00:00:00"/>
    <m/>
    <n v="1077.5862068181818"/>
    <n v="4849.137930681818"/>
    <x v="3"/>
  </r>
  <r>
    <n v="413314"/>
    <x v="16"/>
    <n v="47614"/>
    <x v="13"/>
    <s v="Работа"/>
    <d v="2025-04-27T00:00:00"/>
    <n v="2.5"/>
    <n v="2.5"/>
    <n v="1839"/>
    <d v="2025-04-30T00:00:00"/>
    <m/>
    <n v="1418"/>
    <n v="3545"/>
    <x v="3"/>
  </r>
  <r>
    <n v="408323"/>
    <x v="10"/>
    <n v="52830"/>
    <x v="14"/>
    <s v="Работа"/>
    <d v="2025-04-25T00:00:00"/>
    <n v="1"/>
    <n v="1"/>
    <s v="ДОбавил работы участников росстелеком диктанта"/>
    <d v="2025-04-25T00:00:00"/>
    <m/>
    <n v="1616.3793102272728"/>
    <n v="1616.3793102272728"/>
    <x v="3"/>
  </r>
  <r>
    <n v="408324"/>
    <x v="10"/>
    <n v="52830"/>
    <x v="14"/>
    <s v="Работа"/>
    <d v="2025-04-25T00:00:00"/>
    <n v="0.5"/>
    <n v="0.5"/>
    <s v="ДДос защита настроил сертификаты"/>
    <d v="2025-04-25T00:00:00"/>
    <m/>
    <n v="1616.3793102272728"/>
    <n v="808.18965511363638"/>
    <x v="3"/>
  </r>
  <r>
    <n v="408325"/>
    <x v="10"/>
    <n v="52830"/>
    <x v="14"/>
    <s v="Работа"/>
    <d v="2025-04-25T00:00:00"/>
    <n v="0.5"/>
    <n v="0.5"/>
    <s v="Найти пропавшие диктанты"/>
    <d v="2025-04-25T00:00:00"/>
    <m/>
    <n v="1616.3793102272728"/>
    <n v="808.18965511363638"/>
    <x v="3"/>
  </r>
  <r>
    <n v="409394"/>
    <x v="9"/>
    <n v="51262"/>
    <x v="0"/>
    <s v="Работа"/>
    <d v="2025-04-25T00:00:00"/>
    <n v="24"/>
    <n v="24"/>
    <s v="Исследование проблем и решение задач заказчика"/>
    <d v="2025-04-28T00:00:00"/>
    <m/>
    <n v="2011.494252840909"/>
    <n v="48275.862068181814"/>
    <x v="3"/>
  </r>
  <r>
    <n v="409167"/>
    <x v="16"/>
    <n v="47572"/>
    <x v="8"/>
    <s v="Работа"/>
    <d v="2025-04-25T00:00:00"/>
    <n v="1.5"/>
    <n v="1.5"/>
    <s v="Созвон с командой"/>
    <d v="2025-04-25T00:00:00"/>
    <m/>
    <n v="1077.5862068181818"/>
    <n v="1616.3793102272728"/>
    <x v="3"/>
  </r>
  <r>
    <n v="409169"/>
    <x v="16"/>
    <n v="47569"/>
    <x v="8"/>
    <s v="Работа"/>
    <d v="2025-04-25T00:00:00"/>
    <n v="1.5"/>
    <n v="1.5"/>
    <s v="В шаблонах при добавлении дома вносить изменения в справочники"/>
    <d v="2025-04-25T00:00:00"/>
    <m/>
    <n v="1077.5862068181818"/>
    <n v="1616.3793102272728"/>
    <x v="3"/>
  </r>
  <r>
    <n v="411241"/>
    <x v="0"/>
    <n v="53617"/>
    <x v="0"/>
    <s v="Работа"/>
    <d v="2025-04-25T00:00:00"/>
    <n v="8"/>
    <n v="8"/>
    <s v="Исследование и завершение работы"/>
    <d v="2025-04-29T00:00:00"/>
    <m/>
    <n v="2011.494252840909"/>
    <n v="16091.954022727272"/>
    <x v="3"/>
  </r>
  <r>
    <n v="412784"/>
    <x v="0"/>
    <n v="52508"/>
    <x v="2"/>
    <s v="Работа"/>
    <d v="2025-04-25T00:00:00"/>
    <n v="8"/>
    <n v="8"/>
    <s v="Изучение материалов, документации, систем"/>
    <d v="2025-04-30T00:00:00"/>
    <m/>
    <n v="718.39080454545456"/>
    <n v="5747.1264363636365"/>
    <x v="3"/>
  </r>
  <r>
    <n v="413312"/>
    <x v="16"/>
    <n v="47614"/>
    <x v="13"/>
    <s v="Работа"/>
    <d v="2025-04-25T00:00:00"/>
    <n v="2"/>
    <n v="2"/>
    <n v="1839"/>
    <d v="2025-04-30T00:00:00"/>
    <m/>
    <n v="1418"/>
    <n v="2836"/>
    <x v="3"/>
  </r>
  <r>
    <n v="413313"/>
    <x v="16"/>
    <n v="47614"/>
    <x v="13"/>
    <s v="Работа"/>
    <d v="2025-04-25T00:00:00"/>
    <n v="1.5"/>
    <n v="1.5"/>
    <s v="1839, траблшутинг"/>
    <d v="2025-04-30T00:00:00"/>
    <m/>
    <n v="1418"/>
    <n v="2127"/>
    <x v="3"/>
  </r>
  <r>
    <n v="413320"/>
    <x v="16"/>
    <n v="47572"/>
    <x v="13"/>
    <s v="Работа"/>
    <d v="2025-04-25T00:00:00"/>
    <n v="0.5"/>
    <n v="0.5"/>
    <s v="ежедейл"/>
    <d v="2025-04-30T00:00:00"/>
    <m/>
    <n v="1418"/>
    <n v="709"/>
    <x v="3"/>
  </r>
  <r>
    <n v="413324"/>
    <x v="16"/>
    <n v="47614"/>
    <x v="13"/>
    <s v="Работа"/>
    <d v="2025-04-25T00:00:00"/>
    <n v="1"/>
    <n v="1"/>
    <n v="1862"/>
    <d v="2025-04-30T00:00:00"/>
    <m/>
    <n v="1418"/>
    <n v="1418"/>
    <x v="3"/>
  </r>
  <r>
    <n v="413325"/>
    <x v="16"/>
    <n v="47614"/>
    <x v="13"/>
    <s v="Работа"/>
    <d v="2025-04-25T00:00:00"/>
    <n v="1"/>
    <n v="1"/>
    <n v="1860"/>
    <d v="2025-04-30T00:00:00"/>
    <m/>
    <n v="1418"/>
    <n v="1418"/>
    <x v="3"/>
  </r>
  <r>
    <n v="409760"/>
    <x v="16"/>
    <n v="47539"/>
    <x v="16"/>
    <s v="Работа"/>
    <d v="2025-04-25T00:00:00"/>
    <n v="2"/>
    <n v="2"/>
    <s v="Звонок с командой разработки о группах доступа"/>
    <d v="2025-04-28T00:00:00"/>
    <m/>
    <n v="1077.5862068181818"/>
    <n v="2155.1724136363637"/>
    <x v="3"/>
  </r>
  <r>
    <n v="409772"/>
    <x v="16"/>
    <n v="47615"/>
    <x v="16"/>
    <s v="Работа"/>
    <d v="2025-04-25T00:00:00"/>
    <n v="2"/>
    <n v="2"/>
    <s v="Доработка макетов фильтров журнала групп доступа"/>
    <d v="2025-04-28T00:00:00"/>
    <m/>
    <n v="1077.5862068181818"/>
    <n v="2155.1724136363637"/>
    <x v="3"/>
  </r>
  <r>
    <n v="409779"/>
    <x v="3"/>
    <n v="21152"/>
    <x v="16"/>
    <s v="Внутренняя деятельность"/>
    <d v="2025-04-25T00:00:00"/>
    <n v="21"/>
    <n v="21"/>
    <s v="Смарт Тех (Хошин) Хедер"/>
    <d v="2025-04-28T00:00:00"/>
    <m/>
    <n v="1077.5862068181818"/>
    <n v="22629.31034318182"/>
    <x v="3"/>
  </r>
  <r>
    <n v="411829"/>
    <x v="16"/>
    <n v="52114"/>
    <x v="5"/>
    <s v="Работа"/>
    <d v="2025-04-25T00:00:00"/>
    <n v="8"/>
    <n v="8"/>
    <s v="Testing"/>
    <d v="2025-04-30T00:00:00"/>
    <m/>
    <n v="431.03448295454547"/>
    <n v="3448.2758636363637"/>
    <x v="3"/>
  </r>
  <r>
    <n v="409270"/>
    <x v="17"/>
    <n v="53144"/>
    <x v="7"/>
    <s v="Работа"/>
    <d v="2025-04-25T00:00:00"/>
    <n v="1"/>
    <n v="1"/>
    <s v="повторная отправка сертификатов "/>
    <d v="2025-04-25T00:00:00"/>
    <m/>
    <n v="1724.1379312500001"/>
    <n v="1724.1379312500001"/>
    <x v="3"/>
  </r>
  <r>
    <n v="410585"/>
    <x v="9"/>
    <n v="51263"/>
    <x v="11"/>
    <s v="Работа"/>
    <d v="2025-04-25T00:00:00"/>
    <n v="8"/>
    <n v="8"/>
    <s v="Тестирование на тестовом стенде с поправкой, чтобы элементы со значением 0 в поле сортировки были в конце. Делал рефакторинг чтобы линтер не ругался. Погружался в задачу"/>
    <d v="2025-04-28T00:00:00"/>
    <m/>
    <n v="574.71264374999998"/>
    <n v="4597.7011499999999"/>
    <x v="3"/>
  </r>
  <r>
    <n v="413922"/>
    <x v="1"/>
    <n v="13970"/>
    <x v="4"/>
    <s v="Внутренняя деятельность"/>
    <d v="2025-04-25T00:00:00"/>
    <n v="2.5"/>
    <n v="2.5"/>
    <s v="Подготовка ТЗ и диаграмм на разработку MVP для СмартТехСол"/>
    <d v="2025-05-05T00:00:00"/>
    <m/>
    <n v="1077.5862068181818"/>
    <n v="2693.9655170454544"/>
    <x v="3"/>
  </r>
  <r>
    <n v="411240"/>
    <x v="0"/>
    <n v="53617"/>
    <x v="0"/>
    <s v="Работа"/>
    <d v="2025-04-24T00:00:00"/>
    <n v="8"/>
    <n v="8"/>
    <s v="Исследование"/>
    <d v="2025-04-29T00:00:00"/>
    <m/>
    <n v="2011.494252840909"/>
    <n v="16091.954022727272"/>
    <x v="3"/>
  </r>
  <r>
    <n v="408196"/>
    <x v="10"/>
    <n v="52830"/>
    <x v="14"/>
    <s v="Работа"/>
    <d v="2025-04-24T00:00:00"/>
    <n v="1"/>
    <n v="1"/>
    <s v="Созвон по DDos защиты"/>
    <d v="2025-04-24T00:00:00"/>
    <m/>
    <n v="1616.3793102272728"/>
    <n v="1616.3793102272728"/>
    <x v="3"/>
  </r>
  <r>
    <n v="408197"/>
    <x v="10"/>
    <n v="52830"/>
    <x v="14"/>
    <s v="Работа"/>
    <d v="2025-04-24T00:00:00"/>
    <n v="2"/>
    <n v="2"/>
    <s v="Грант от Тинькофф"/>
    <d v="2025-04-24T00:00:00"/>
    <m/>
    <n v="1616.3793102272728"/>
    <n v="3232.7586204545455"/>
    <x v="3"/>
  </r>
  <r>
    <n v="413319"/>
    <x v="16"/>
    <n v="47572"/>
    <x v="13"/>
    <s v="Работа"/>
    <d v="2025-04-24T00:00:00"/>
    <n v="0.5"/>
    <n v="0.5"/>
    <s v="ежедейл"/>
    <d v="2025-04-30T00:00:00"/>
    <m/>
    <n v="1418"/>
    <n v="709"/>
    <x v="3"/>
  </r>
  <r>
    <n v="411828"/>
    <x v="16"/>
    <n v="52114"/>
    <x v="5"/>
    <s v="Работа"/>
    <d v="2025-04-24T00:00:00"/>
    <n v="8"/>
    <n v="8"/>
    <s v="Testing"/>
    <d v="2025-04-30T00:00:00"/>
    <m/>
    <n v="431.03448295454547"/>
    <n v="3448.2758636363637"/>
    <x v="3"/>
  </r>
  <r>
    <n v="408253"/>
    <x v="16"/>
    <n v="47572"/>
    <x v="8"/>
    <s v="Работа"/>
    <d v="2025-04-24T00:00:00"/>
    <n v="1.5"/>
    <n v="1.5"/>
    <s v="Созвон с командой, поиск решения для валидации параметров в сервисе шаблонов"/>
    <d v="2025-04-24T00:00:00"/>
    <m/>
    <n v="1077.5862068181818"/>
    <n v="1616.3793102272728"/>
    <x v="3"/>
  </r>
  <r>
    <n v="408254"/>
    <x v="16"/>
    <n v="47569"/>
    <x v="8"/>
    <s v="Работа"/>
    <d v="2025-04-24T00:00:00"/>
    <n v="6.5"/>
    <n v="6.5"/>
    <s v="backend: создание сервиса мониторинга парсера"/>
    <d v="2025-04-24T00:00:00"/>
    <m/>
    <n v="1077.5862068181818"/>
    <n v="7004.3103443181817"/>
    <x v="3"/>
  </r>
  <r>
    <n v="410569"/>
    <x v="9"/>
    <n v="51263"/>
    <x v="11"/>
    <s v="Работа"/>
    <d v="2025-04-24T00:00:00"/>
    <n v="8"/>
    <n v="8"/>
    <s v="добавил в модель ProductsDto, которая идет из 1с, маппинг полей ProductCategoriesDto. Изменил добавление/обновление данных в product_categories. Подправил миграцию. Созвонились с заказчиком по поводу новый полей (sort_category, sort_section) "/>
    <d v="2025-04-28T00:00:00"/>
    <m/>
    <n v="574.71264374999998"/>
    <n v="4597.7011499999999"/>
    <x v="3"/>
  </r>
  <r>
    <n v="408023"/>
    <x v="0"/>
    <n v="52508"/>
    <x v="2"/>
    <s v="Работа"/>
    <d v="2025-04-24T00:00:00"/>
    <n v="4"/>
    <n v="4"/>
    <s v="Изучение материалов, документации, систем"/>
    <d v="2025-04-24T00:00:00"/>
    <m/>
    <n v="718.39080454545456"/>
    <n v="2873.5632181818182"/>
    <x v="3"/>
  </r>
  <r>
    <n v="413916"/>
    <x v="1"/>
    <n v="13970"/>
    <x v="4"/>
    <s v="Внутренняя деятельность"/>
    <d v="2025-04-24T00:00:00"/>
    <n v="3"/>
    <n v="3"/>
    <s v="Подготовка ТЗ и диаграмм на разработку MVP для СмартТехСол"/>
    <d v="2025-05-05T00:00:00"/>
    <m/>
    <n v="1077.5862068181818"/>
    <n v="3232.7586204545455"/>
    <x v="3"/>
  </r>
  <r>
    <n v="426485"/>
    <x v="0"/>
    <n v="52587"/>
    <x v="6"/>
    <s v="Работа"/>
    <d v="2025-04-24T00:00:00"/>
    <n v="8"/>
    <n v="8"/>
    <s v="."/>
    <d v="2025-06-09T00:00:00"/>
    <m/>
    <n v="574.71264374999998"/>
    <n v="4597.7011499999999"/>
    <x v="3"/>
  </r>
  <r>
    <n v="432249"/>
    <x v="2"/>
    <n v="29"/>
    <x v="10"/>
    <s v="Внутренняя деятельность"/>
    <d v="2025-04-23T00:00:00"/>
    <n v="69"/>
    <n v="69"/>
    <s v="-"/>
    <d v="2025-06-28T00:00:00"/>
    <m/>
    <n v="1436.7816090909091"/>
    <n v="99137.931027272731"/>
    <x v="3"/>
  </r>
  <r>
    <n v="413323"/>
    <x v="16"/>
    <n v="47614"/>
    <x v="13"/>
    <s v="Работа"/>
    <d v="2025-04-23T00:00:00"/>
    <n v="2"/>
    <n v="2"/>
    <n v="1517"/>
    <d v="2025-04-30T00:00:00"/>
    <m/>
    <n v="1418"/>
    <n v="2836"/>
    <x v="3"/>
  </r>
  <r>
    <n v="409746"/>
    <x v="3"/>
    <n v="21152"/>
    <x v="16"/>
    <s v="Внутренняя деятельность"/>
    <d v="2025-04-23T00:00:00"/>
    <n v="2"/>
    <n v="2"/>
    <s v="Подготовка ко встрече с IKON Tires"/>
    <d v="2025-04-28T00:00:00"/>
    <m/>
    <n v="1077.5862068181818"/>
    <n v="2155.1724136363637"/>
    <x v="3"/>
  </r>
  <r>
    <n v="415122"/>
    <x v="0"/>
    <n v="53425"/>
    <x v="6"/>
    <s v="Работа"/>
    <d v="2025-04-23T00:00:00"/>
    <n v="8"/>
    <n v="8"/>
    <s v="изучал"/>
    <d v="2025-05-07T00:00:00"/>
    <m/>
    <n v="574.71264374999998"/>
    <n v="4597.7011499999999"/>
    <x v="3"/>
  </r>
  <r>
    <n v="409747"/>
    <x v="3"/>
    <n v="21152"/>
    <x v="16"/>
    <s v="Внутренняя деятельность"/>
    <d v="2025-04-23T00:00:00"/>
    <n v="1"/>
    <n v="1"/>
    <s v="Встреча с IKON Tires"/>
    <d v="2025-04-28T00:00:00"/>
    <m/>
    <n v="1077.5862068181818"/>
    <n v="1077.5862068181818"/>
    <x v="3"/>
  </r>
  <r>
    <n v="409751"/>
    <x v="3"/>
    <n v="21152"/>
    <x v="16"/>
    <s v="Внутренняя деятельность"/>
    <d v="2025-04-23T00:00:00"/>
    <n v="5"/>
    <n v="5"/>
    <s v="Смарт Тех (Хошин). Звонок с Амиром, работа над хедером"/>
    <d v="2025-04-28T00:00:00"/>
    <m/>
    <n v="1077.5862068181818"/>
    <n v="5387.9310340909087"/>
    <x v="3"/>
  </r>
  <r>
    <n v="409254"/>
    <x v="17"/>
    <n v="53144"/>
    <x v="7"/>
    <s v="Работа"/>
    <d v="2025-04-23T00:00:00"/>
    <n v="0.75"/>
    <n v="0.75"/>
    <s v="внесение изменений в БД для повторной генерации сертификатов"/>
    <d v="2025-04-25T00:00:00"/>
    <m/>
    <n v="1724.1379312500001"/>
    <n v="1293.1034484375"/>
    <x v="3"/>
  </r>
  <r>
    <n v="411827"/>
    <x v="16"/>
    <n v="52114"/>
    <x v="5"/>
    <s v="Работа"/>
    <d v="2025-04-23T00:00:00"/>
    <n v="8"/>
    <n v="8"/>
    <s v="Testing"/>
    <d v="2025-04-30T00:00:00"/>
    <m/>
    <n v="431.03448295454547"/>
    <n v="3448.2758636363637"/>
    <x v="3"/>
  </r>
  <r>
    <n v="410564"/>
    <x v="9"/>
    <n v="51263"/>
    <x v="11"/>
    <s v="Работа"/>
    <d v="2025-04-23T00:00:00"/>
    <n v="9"/>
    <n v="9"/>
    <s v="Перенес поле sortCategory из таблицы Product в таблицу ProductCategories, также сделал таблицу ProductCategories явной. Изменил модель получения категорий при получении продукта из 1с. Изменил миграцию. Приступил к тестированию на тестовом стенде"/>
    <d v="2025-04-28T00:00:00"/>
    <m/>
    <n v="574.71264374999998"/>
    <n v="5172.41379375"/>
    <x v="3"/>
  </r>
  <r>
    <n v="408008"/>
    <x v="16"/>
    <n v="47569"/>
    <x v="8"/>
    <s v="Работа"/>
    <d v="2025-04-23T00:00:00"/>
    <n v="7"/>
    <n v="7"/>
    <s v="backend: создание сервиса мониторинга парсера"/>
    <d v="2025-04-24T00:00:00"/>
    <m/>
    <n v="1077.5862068181818"/>
    <n v="7543.1034477272733"/>
    <x v="3"/>
  </r>
  <r>
    <n v="408010"/>
    <x v="16"/>
    <n v="47569"/>
    <x v="8"/>
    <s v="Работа"/>
    <d v="2025-04-23T00:00:00"/>
    <n v="1"/>
    <n v="1"/>
    <s v="UC3.3, 3.9: Дома не добавились и другие вопросы"/>
    <d v="2025-04-24T00:00:00"/>
    <m/>
    <n v="1077.5862068181818"/>
    <n v="1077.5862068181818"/>
    <x v="3"/>
  </r>
  <r>
    <n v="408022"/>
    <x v="0"/>
    <n v="52508"/>
    <x v="2"/>
    <s v="Работа"/>
    <d v="2025-04-23T00:00:00"/>
    <n v="4"/>
    <n v="4"/>
    <s v="Ознакомление "/>
    <d v="2025-04-24T00:00:00"/>
    <m/>
    <n v="718.39080454545456"/>
    <n v="2873.5632181818182"/>
    <x v="3"/>
  </r>
  <r>
    <n v="407364"/>
    <x v="16"/>
    <n v="47572"/>
    <x v="8"/>
    <s v="Работа"/>
    <d v="2025-04-22T00:00:00"/>
    <n v="0.5"/>
    <n v="0.5"/>
    <s v="Созвон с командой"/>
    <d v="2025-04-22T00:00:00"/>
    <m/>
    <n v="1077.5862068181818"/>
    <n v="538.79310340909092"/>
    <x v="3"/>
  </r>
  <r>
    <n v="407365"/>
    <x v="16"/>
    <n v="47569"/>
    <x v="8"/>
    <s v="Работа"/>
    <d v="2025-04-22T00:00:00"/>
    <n v="7.5"/>
    <n v="7.5"/>
    <s v="UC3.3, 3.9: Дома не добавились и другие вопросы"/>
    <d v="2025-04-22T00:00:00"/>
    <m/>
    <n v="1077.5862068181818"/>
    <n v="8081.896551136364"/>
    <x v="3"/>
  </r>
  <r>
    <n v="442234"/>
    <x v="18"/>
    <n v="53726"/>
    <x v="4"/>
    <s v="Работа"/>
    <d v="2025-04-22T00:00:00"/>
    <n v="112"/>
    <n v="112"/>
    <s v="-"/>
    <d v="2025-07-24T00:00:00"/>
    <m/>
    <n v="1077.5862068181818"/>
    <n v="120689.65516363637"/>
    <x v="3"/>
  </r>
  <r>
    <n v="407942"/>
    <x v="10"/>
    <n v="52830"/>
    <x v="14"/>
    <s v="Работа"/>
    <d v="2025-04-22T00:00:00"/>
    <n v="1"/>
    <n v="1"/>
    <s v="Проверить наличие кода аналитики от Гугла, и на тех сайтах где она есть ее убрать"/>
    <d v="2025-04-24T00:00:00"/>
    <m/>
    <n v="1616.3793102272728"/>
    <n v="1616.3793102272728"/>
    <x v="3"/>
  </r>
  <r>
    <n v="413318"/>
    <x v="16"/>
    <n v="47572"/>
    <x v="13"/>
    <s v="Работа"/>
    <d v="2025-04-22T00:00:00"/>
    <n v="0.5"/>
    <n v="0.5"/>
    <s v="ежедейл"/>
    <d v="2025-04-30T00:00:00"/>
    <m/>
    <n v="1418"/>
    <n v="709"/>
    <x v="3"/>
  </r>
  <r>
    <n v="407944"/>
    <x v="10"/>
    <n v="52830"/>
    <x v="14"/>
    <s v="Работа"/>
    <d v="2025-04-22T00:00:00"/>
    <n v="0.5"/>
    <n v="0.5"/>
    <s v="Пересчитать результат корпоративного диктанта для участницы n.savchenkova@volga.rt.ru"/>
    <d v="2025-04-24T00:00:00"/>
    <m/>
    <n v="1616.3793102272728"/>
    <n v="808.18965511363638"/>
    <x v="3"/>
  </r>
  <r>
    <n v="407945"/>
    <x v="10"/>
    <n v="52830"/>
    <x v="14"/>
    <s v="Работа"/>
    <d v="2025-04-22T00:00:00"/>
    <n v="0.5"/>
    <n v="0.5"/>
    <s v="artem-ba@yandex.ru - разобраться почему не рассчитался диктант"/>
    <d v="2025-04-24T00:00:00"/>
    <m/>
    <n v="1616.3793102272728"/>
    <n v="808.18965511363638"/>
    <x v="3"/>
  </r>
  <r>
    <n v="407946"/>
    <x v="10"/>
    <n v="52830"/>
    <x v="14"/>
    <s v="Работа"/>
    <d v="2025-04-22T00:00:00"/>
    <n v="5"/>
    <n v="5"/>
    <s v="Изменить скрипт расчета результата"/>
    <d v="2025-04-24T00:00:00"/>
    <m/>
    <n v="1616.3793102272728"/>
    <n v="8081.896551136364"/>
    <x v="3"/>
  </r>
  <r>
    <n v="409743"/>
    <x v="3"/>
    <n v="21152"/>
    <x v="16"/>
    <s v="Внутренняя деятельность"/>
    <d v="2025-04-22T00:00:00"/>
    <n v="6"/>
    <n v="6"/>
    <s v="Смарт Тех (Хошин) Работа с документацией, разработка UI kit"/>
    <d v="2025-04-28T00:00:00"/>
    <m/>
    <n v="1077.5862068181818"/>
    <n v="6465.517240909091"/>
    <x v="3"/>
  </r>
  <r>
    <n v="409744"/>
    <x v="3"/>
    <n v="21152"/>
    <x v="16"/>
    <s v="Внутренняя деятельность"/>
    <d v="2025-04-22T00:00:00"/>
    <n v="2"/>
    <n v="2"/>
    <s v="Подготовка ко встрече с IKON Tires"/>
    <d v="2025-04-28T00:00:00"/>
    <m/>
    <n v="1077.5862068181818"/>
    <n v="2155.1724136363637"/>
    <x v="3"/>
  </r>
  <r>
    <n v="411826"/>
    <x v="16"/>
    <n v="52114"/>
    <x v="5"/>
    <s v="Работа"/>
    <d v="2025-04-22T00:00:00"/>
    <n v="8"/>
    <n v="8"/>
    <s v="Testing"/>
    <d v="2025-04-30T00:00:00"/>
    <m/>
    <n v="431.03448295454547"/>
    <n v="3448.2758636363637"/>
    <x v="3"/>
  </r>
  <r>
    <n v="410563"/>
    <x v="9"/>
    <n v="51263"/>
    <x v="11"/>
    <s v="Работа"/>
    <d v="2025-04-22T00:00:00"/>
    <n v="5"/>
    <n v="5"/>
    <s v="Изменил модель получения категорий при получении продукта из 1c. Теперь мы получаем не массив uuid категорий, а uuid категории и sortCategory. Добавлено новое dto - product-category.dto"/>
    <d v="2025-04-28T00:00:00"/>
    <m/>
    <n v="574.71264374999998"/>
    <n v="2873.56321875"/>
    <x v="3"/>
  </r>
  <r>
    <n v="408018"/>
    <x v="0"/>
    <n v="52508"/>
    <x v="2"/>
    <s v="Работа"/>
    <d v="2025-04-22T00:00:00"/>
    <n v="4"/>
    <n v="4"/>
    <s v="Ознакомление "/>
    <d v="2025-04-24T00:00:00"/>
    <m/>
    <n v="718.39080454545456"/>
    <n v="2873.5632181818182"/>
    <x v="3"/>
  </r>
  <r>
    <n v="413911"/>
    <x v="1"/>
    <n v="13970"/>
    <x v="4"/>
    <s v="Внутренняя деятельность"/>
    <d v="2025-04-22T00:00:00"/>
    <n v="1"/>
    <n v="1"/>
    <s v="Участие в мите по обсуждению проекта для Ikon Tyres"/>
    <d v="2025-05-05T00:00:00"/>
    <m/>
    <n v="1077.5862068181818"/>
    <n v="1077.5862068181818"/>
    <x v="3"/>
  </r>
  <r>
    <n v="413912"/>
    <x v="1"/>
    <n v="13970"/>
    <x v="4"/>
    <s v="Внутренняя деятельность"/>
    <d v="2025-04-22T00:00:00"/>
    <n v="2"/>
    <n v="2"/>
    <s v="Подготовка ТЗ и диаграмм на разработку MVP для СмартТехСол"/>
    <d v="2025-05-05T00:00:00"/>
    <m/>
    <n v="1077.5862068181818"/>
    <n v="2155.1724136363637"/>
    <x v="3"/>
  </r>
  <r>
    <n v="412387"/>
    <x v="0"/>
    <n v="45027"/>
    <x v="6"/>
    <s v="Работа"/>
    <d v="2025-04-22T00:00:00"/>
    <n v="8"/>
    <n v="8"/>
    <s v="."/>
    <d v="2025-04-30T00:00:00"/>
    <m/>
    <n v="574.71264374999998"/>
    <n v="4597.7011499999999"/>
    <x v="3"/>
  </r>
  <r>
    <n v="407030"/>
    <x v="10"/>
    <n v="45135"/>
    <x v="14"/>
    <s v="Работа"/>
    <d v="2025-04-22T00:00:00"/>
    <n v="1"/>
    <n v="1"/>
    <s v="Созвон по ДДос"/>
    <d v="2025-04-22T00:00:00"/>
    <m/>
    <n v="1616.3793102272728"/>
    <n v="1616.3793102272728"/>
    <x v="3"/>
  </r>
  <r>
    <n v="406900"/>
    <x v="16"/>
    <n v="47572"/>
    <x v="8"/>
    <s v="Работа"/>
    <d v="2025-04-21T00:00:00"/>
    <n v="0.5"/>
    <n v="0.5"/>
    <s v="Созвон с командой"/>
    <d v="2025-04-21T00:00:00"/>
    <m/>
    <n v="1077.5862068181818"/>
    <n v="538.79310340909092"/>
    <x v="3"/>
  </r>
  <r>
    <n v="406904"/>
    <x v="16"/>
    <n v="47569"/>
    <x v="8"/>
    <s v="Работа"/>
    <d v="2025-04-21T00:00:00"/>
    <n v="7.5"/>
    <n v="7.5"/>
    <s v="Исправление багов по шаблонам, русификация логов, проверка на корректность добавления этажей "/>
    <d v="2025-04-21T00:00:00"/>
    <m/>
    <n v="1077.5862068181818"/>
    <n v="8081.896551136364"/>
    <x v="3"/>
  </r>
  <r>
    <n v="432251"/>
    <x v="19"/>
    <n v="54643"/>
    <x v="10"/>
    <s v="Работа"/>
    <d v="2025-04-21T00:00:00"/>
    <n v="32"/>
    <n v="32"/>
    <s v="Разработка"/>
    <d v="2025-06-28T00:00:00"/>
    <m/>
    <n v="1436.7816090909091"/>
    <n v="45977.011490909092"/>
    <x v="3"/>
  </r>
  <r>
    <n v="409737"/>
    <x v="3"/>
    <n v="21152"/>
    <x v="16"/>
    <s v="Внутренняя деятельность"/>
    <d v="2025-04-21T00:00:00"/>
    <n v="4"/>
    <n v="4"/>
    <s v="Смарт Тех (Хошин) Изучала методологию, а также сценарий, присланный заказчиком"/>
    <d v="2025-04-28T00:00:00"/>
    <m/>
    <n v="1077.5862068181818"/>
    <n v="4310.3448272727273"/>
    <x v="3"/>
  </r>
  <r>
    <n v="407947"/>
    <x v="10"/>
    <n v="52830"/>
    <x v="14"/>
    <s v="Работа"/>
    <d v="2025-04-21T00:00:00"/>
    <n v="0.5"/>
    <n v="0.5"/>
    <s v="lorynik@mail.ru - дублирование диктанта"/>
    <d v="2025-04-24T00:00:00"/>
    <m/>
    <n v="1616.3793102272728"/>
    <n v="808.18965511363638"/>
    <x v="3"/>
  </r>
  <r>
    <n v="407948"/>
    <x v="10"/>
    <n v="52828"/>
    <x v="14"/>
    <s v="Работа"/>
    <d v="2025-04-21T00:00:00"/>
    <n v="4"/>
    <n v="4"/>
    <s v="Пересборка образов, навел небольшой порядок, удалил старые дампы, так как в яндексе есть ограничение на количество, оставил только одну ВМ"/>
    <d v="2025-04-24T00:00:00"/>
    <m/>
    <n v="1616.3793102272728"/>
    <n v="6465.517240909091"/>
    <x v="3"/>
  </r>
  <r>
    <n v="407949"/>
    <x v="10"/>
    <n v="52830"/>
    <x v="14"/>
    <s v="Работа"/>
    <d v="2025-04-21T00:00:00"/>
    <n v="3.5"/>
    <n v="3.5"/>
    <s v="Настройка гит, перенес проект для удобство истории"/>
    <d v="2025-04-24T00:00:00"/>
    <m/>
    <n v="1616.3793102272728"/>
    <n v="5657.327585795455"/>
    <x v="3"/>
  </r>
  <r>
    <n v="406931"/>
    <x v="17"/>
    <n v="53144"/>
    <x v="7"/>
    <s v="Работа"/>
    <d v="2025-04-21T00:00:00"/>
    <n v="2"/>
    <n v="2"/>
    <s v="отсылка сертификатов участника по запросу "/>
    <d v="2025-04-21T00:00:00"/>
    <m/>
    <n v="1724.1379312500001"/>
    <n v="3448.2758625000001"/>
    <x v="3"/>
  </r>
  <r>
    <n v="406956"/>
    <x v="16"/>
    <n v="47572"/>
    <x v="13"/>
    <s v="Работа"/>
    <d v="2025-04-21T00:00:00"/>
    <n v="0.5"/>
    <n v="0.5"/>
    <s v="ежедейл"/>
    <d v="2025-04-21T00:00:00"/>
    <m/>
    <n v="1418"/>
    <n v="709"/>
    <x v="3"/>
  </r>
  <r>
    <n v="406957"/>
    <x v="16"/>
    <n v="47614"/>
    <x v="13"/>
    <s v="Работа"/>
    <d v="2025-04-21T00:00:00"/>
    <n v="1"/>
    <n v="1"/>
    <s v="1785, МР"/>
    <d v="2025-04-21T00:00:00"/>
    <m/>
    <n v="1418"/>
    <n v="1418"/>
    <x v="3"/>
  </r>
  <r>
    <n v="406958"/>
    <x v="16"/>
    <n v="47614"/>
    <x v="13"/>
    <s v="Работа"/>
    <d v="2025-04-21T00:00:00"/>
    <n v="1"/>
    <n v="1"/>
    <n v="1860"/>
    <d v="2025-04-21T00:00:00"/>
    <m/>
    <n v="1418"/>
    <n v="1418"/>
    <x v="3"/>
  </r>
  <r>
    <n v="406959"/>
    <x v="16"/>
    <n v="47614"/>
    <x v="13"/>
    <s v="Работа"/>
    <d v="2025-04-21T00:00:00"/>
    <n v="1"/>
    <n v="1"/>
    <n v="1859"/>
    <d v="2025-04-21T00:00:00"/>
    <m/>
    <n v="1418"/>
    <n v="1418"/>
    <x v="3"/>
  </r>
  <r>
    <n v="406960"/>
    <x v="16"/>
    <n v="47614"/>
    <x v="13"/>
    <s v="Работа"/>
    <d v="2025-04-21T00:00:00"/>
    <n v="1"/>
    <n v="1"/>
    <n v="1867"/>
    <d v="2025-04-21T00:00:00"/>
    <m/>
    <n v="1418"/>
    <n v="1418"/>
    <x v="3"/>
  </r>
  <r>
    <n v="411825"/>
    <x v="16"/>
    <n v="52114"/>
    <x v="5"/>
    <s v="Работа"/>
    <d v="2025-04-21T00:00:00"/>
    <n v="8"/>
    <n v="8"/>
    <s v="Testing"/>
    <d v="2025-04-30T00:00:00"/>
    <m/>
    <n v="431.03448295454547"/>
    <n v="3448.2758636363637"/>
    <x v="3"/>
  </r>
  <r>
    <n v="410559"/>
    <x v="9"/>
    <n v="51263"/>
    <x v="11"/>
    <s v="Работа"/>
    <d v="2025-04-21T00:00:00"/>
    <n v="10"/>
    <n v="10"/>
    <s v="Исследование. Созванивались с Юрой - 1с по поводу внедрения новых полей. Начал переделывать поле sort_category, т.к. продукт может находится в нескольких категориях"/>
    <d v="2025-04-28T00:00:00"/>
    <m/>
    <n v="574.71264374999998"/>
    <n v="5747.1264375000001"/>
    <x v="3"/>
  </r>
  <r>
    <n v="408017"/>
    <x v="0"/>
    <n v="52508"/>
    <x v="2"/>
    <s v="Работа"/>
    <d v="2025-04-21T00:00:00"/>
    <n v="4"/>
    <n v="4"/>
    <s v="Работа с проектом"/>
    <d v="2025-04-24T00:00:00"/>
    <m/>
    <n v="718.39080454545456"/>
    <n v="2873.5632181818182"/>
    <x v="3"/>
  </r>
  <r>
    <n v="413907"/>
    <x v="1"/>
    <n v="13970"/>
    <x v="4"/>
    <s v="Внутренняя деятельность"/>
    <d v="2025-04-21T00:00:00"/>
    <n v="1"/>
    <n v="1"/>
    <s v="Участие в мите по обсуждению проекта для Ikon Tyres"/>
    <d v="2025-05-05T00:00:00"/>
    <m/>
    <n v="1077.5862068181818"/>
    <n v="1077.5862068181818"/>
    <x v="3"/>
  </r>
  <r>
    <n v="412386"/>
    <x v="0"/>
    <n v="45027"/>
    <x v="6"/>
    <s v="Работа"/>
    <d v="2025-04-21T00:00:00"/>
    <n v="8"/>
    <n v="8"/>
    <s v="."/>
    <d v="2025-04-30T00:00:00"/>
    <m/>
    <n v="574.71264374999998"/>
    <n v="4597.7011499999999"/>
    <x v="3"/>
  </r>
  <r>
    <n v="413933"/>
    <x v="16"/>
    <n v="47614"/>
    <x v="15"/>
    <s v="Работа"/>
    <d v="2025-04-21T00:00:00"/>
    <n v="72"/>
    <n v="72"/>
    <s v="Работа над багами, улучшения. "/>
    <d v="2025-05-05T00:00:00"/>
    <m/>
    <n v="359.19540227272728"/>
    <n v="25862.068963636364"/>
    <x v="3"/>
  </r>
  <r>
    <n v="406609"/>
    <x v="9"/>
    <n v="51262"/>
    <x v="0"/>
    <s v="Работа"/>
    <d v="2025-04-19T00:00:00"/>
    <n v="10"/>
    <n v="10"/>
    <s v="Овертайм. Решение срочной проблемы на стенде заказчика"/>
    <d v="2025-04-21T00:00:00"/>
    <m/>
    <n v="2011.494252840909"/>
    <n v="20114.94252840909"/>
    <x v="3"/>
  </r>
  <r>
    <n v="406851"/>
    <x v="3"/>
    <n v="21152"/>
    <x v="16"/>
    <s v="Внутренняя деятельность"/>
    <d v="2025-04-18T00:00:00"/>
    <n v="2"/>
    <n v="2"/>
    <s v="Смарт Тех (Хошин). Звонок с заказчиком, ответы на вопросы"/>
    <d v="2025-04-21T00:00:00"/>
    <m/>
    <n v="1077.5862068181818"/>
    <n v="2155.1724136363637"/>
    <x v="3"/>
  </r>
  <r>
    <n v="406852"/>
    <x v="3"/>
    <n v="21152"/>
    <x v="16"/>
    <s v="Внутренняя деятельность"/>
    <d v="2025-04-18T00:00:00"/>
    <n v="4"/>
    <n v="4"/>
    <s v="Remind. Подготовка оценки проекта."/>
    <d v="2025-04-21T00:00:00"/>
    <m/>
    <n v="1077.5862068181818"/>
    <n v="4310.3448272727273"/>
    <x v="3"/>
  </r>
  <r>
    <n v="406352"/>
    <x v="16"/>
    <n v="47572"/>
    <x v="8"/>
    <s v="Работа"/>
    <d v="2025-04-18T00:00:00"/>
    <n v="1.5"/>
    <n v="1.5"/>
    <s v="Созвон с командой, обсуждение решения проблем по задаче 1886 UC3.45: проблемы с общим шаблоном "/>
    <d v="2025-04-18T00:00:00"/>
    <m/>
    <n v="1077.5862068181818"/>
    <n v="1616.3793102272728"/>
    <x v="3"/>
  </r>
  <r>
    <n v="406353"/>
    <x v="16"/>
    <n v="47569"/>
    <x v="8"/>
    <s v="Работа"/>
    <d v="2025-04-18T00:00:00"/>
    <n v="2"/>
    <n v="2"/>
    <s v="UC3.45: проблемы с общим шаблоном"/>
    <d v="2025-04-18T00:00:00"/>
    <m/>
    <n v="1077.5862068181818"/>
    <n v="2155.1724136363637"/>
    <x v="3"/>
  </r>
  <r>
    <n v="406354"/>
    <x v="16"/>
    <n v="47569"/>
    <x v="8"/>
    <s v="Работа"/>
    <d v="2025-04-18T00:00:00"/>
    <n v="4.5"/>
    <n v="4.5"/>
    <s v="backend: создание сервиса мониторинга парсера"/>
    <d v="2025-04-18T00:00:00"/>
    <m/>
    <n v="1077.5862068181818"/>
    <n v="4849.137930681818"/>
    <x v="3"/>
  </r>
  <r>
    <n v="406357"/>
    <x v="16"/>
    <n v="47572"/>
    <x v="13"/>
    <s v="Работа"/>
    <d v="2025-04-18T00:00:00"/>
    <n v="0.5"/>
    <n v="0.5"/>
    <s v="daily"/>
    <d v="2025-04-18T00:00:00"/>
    <m/>
    <n v="1418"/>
    <n v="709"/>
    <x v="3"/>
  </r>
  <r>
    <n v="406358"/>
    <x v="16"/>
    <n v="47614"/>
    <x v="13"/>
    <s v="Работа"/>
    <d v="2025-04-18T00:00:00"/>
    <n v="2"/>
    <n v="2"/>
    <n v="1785"/>
    <d v="2025-04-18T00:00:00"/>
    <m/>
    <n v="1418"/>
    <n v="2836"/>
    <x v="3"/>
  </r>
  <r>
    <n v="406411"/>
    <x v="10"/>
    <n v="45135"/>
    <x v="14"/>
    <s v="Работа"/>
    <d v="2025-04-18T00:00:00"/>
    <n v="3"/>
    <n v="3"/>
    <s v="Синк за неделю"/>
    <d v="2025-04-19T00:00:00"/>
    <m/>
    <n v="1616.3793102272728"/>
    <n v="4849.137930681818"/>
    <x v="3"/>
  </r>
  <r>
    <n v="406412"/>
    <x v="10"/>
    <n v="52828"/>
    <x v="14"/>
    <s v="Работа"/>
    <d v="2025-04-18T00:00:00"/>
    <n v="4"/>
    <n v="4"/>
    <s v="Настройки после диктанта, снял все образы, вернул в норм состояние сервера"/>
    <d v="2025-04-19T00:00:00"/>
    <m/>
    <n v="1616.3793102272728"/>
    <n v="6465.517240909091"/>
    <x v="3"/>
  </r>
  <r>
    <n v="405912"/>
    <x v="9"/>
    <n v="51262"/>
    <x v="0"/>
    <s v="Работа"/>
    <d v="2025-04-18T00:00:00"/>
    <n v="33"/>
    <n v="33"/>
    <s v="Исследование проблем и решение задач по поддержке сайта"/>
    <d v="2025-04-18T00:00:00"/>
    <m/>
    <n v="2011.494252840909"/>
    <n v="66379.310343749996"/>
    <x v="3"/>
  </r>
  <r>
    <n v="407718"/>
    <x v="0"/>
    <n v="53412"/>
    <x v="2"/>
    <s v="Работа"/>
    <d v="2025-04-18T00:00:00"/>
    <n v="4"/>
    <n v="4"/>
    <s v="Отладка задачи"/>
    <d v="2025-04-23T00:00:00"/>
    <m/>
    <n v="718.39080454545456"/>
    <n v="2873.5632181818182"/>
    <x v="3"/>
  </r>
  <r>
    <n v="407719"/>
    <x v="0"/>
    <n v="52508"/>
    <x v="2"/>
    <s v="Работа"/>
    <d v="2025-04-18T00:00:00"/>
    <n v="4"/>
    <n v="4"/>
    <s v="Работа с проектом, изучение материалов"/>
    <d v="2025-04-23T00:00:00"/>
    <m/>
    <n v="718.39080454545456"/>
    <n v="2873.5632181818182"/>
    <x v="3"/>
  </r>
  <r>
    <n v="410538"/>
    <x v="9"/>
    <n v="51263"/>
    <x v="11"/>
    <s v="Работа"/>
    <d v="2025-04-18T00:00:00"/>
    <n v="8"/>
    <n v="8"/>
    <s v="Исследование задачи. Попытка воспроизведения ошибки. Помощь в исследовании"/>
    <d v="2025-04-28T00:00:00"/>
    <m/>
    <n v="574.71264374999998"/>
    <n v="4597.7011499999999"/>
    <x v="3"/>
  </r>
  <r>
    <n v="411824"/>
    <x v="16"/>
    <n v="52114"/>
    <x v="5"/>
    <s v="Работа"/>
    <d v="2025-04-18T00:00:00"/>
    <n v="8"/>
    <n v="8"/>
    <s v="Testing"/>
    <d v="2025-04-30T00:00:00"/>
    <m/>
    <n v="431.03448295454547"/>
    <n v="3448.2758636363637"/>
    <x v="3"/>
  </r>
  <r>
    <n v="406221"/>
    <x v="17"/>
    <n v="53144"/>
    <x v="7"/>
    <s v="Работа"/>
    <d v="2025-04-18T00:00:00"/>
    <n v="1.5"/>
    <n v="1.5"/>
    <s v="внесение исправлений в БД для отправки писем с сертификатами по запросу"/>
    <d v="2025-04-18T00:00:00"/>
    <m/>
    <n v="1724.1379312500001"/>
    <n v="2586.206896875"/>
    <x v="3"/>
  </r>
  <r>
    <n v="413905"/>
    <x v="1"/>
    <n v="13970"/>
    <x v="4"/>
    <s v="Внутренняя деятельность"/>
    <d v="2025-04-18T00:00:00"/>
    <n v="3.5"/>
    <n v="3.5"/>
    <s v="Подготовка ТЗ и диаграмм на разработку MVP для СмартТехСол, участие в мите по обсуждению проекта"/>
    <d v="2025-05-05T00:00:00"/>
    <m/>
    <n v="1077.5862068181818"/>
    <n v="3771.5517238636367"/>
    <x v="3"/>
  </r>
  <r>
    <n v="412385"/>
    <x v="0"/>
    <n v="45027"/>
    <x v="6"/>
    <s v="Работа"/>
    <d v="2025-04-18T00:00:00"/>
    <n v="8"/>
    <n v="8"/>
    <s v="."/>
    <d v="2025-04-30T00:00:00"/>
    <m/>
    <n v="574.71264374999998"/>
    <n v="4597.7011499999999"/>
    <x v="3"/>
  </r>
  <r>
    <n v="413948"/>
    <x v="2"/>
    <n v="17"/>
    <x v="15"/>
    <s v="Внутренняя деятельность"/>
    <d v="2025-04-18T00:00:00"/>
    <n v="8"/>
    <n v="8"/>
    <s v="Отпуск. "/>
    <d v="2025-05-05T00:00:00"/>
    <m/>
    <n v="359.19540227272728"/>
    <n v="2873.5632181818182"/>
    <x v="3"/>
  </r>
  <r>
    <n v="406844"/>
    <x v="3"/>
    <n v="21152"/>
    <x v="16"/>
    <s v="Внутренняя деятельность"/>
    <d v="2025-04-17T00:00:00"/>
    <n v="3"/>
    <n v="3"/>
    <s v="Remind. Изучение документов, просмотр записи"/>
    <d v="2025-04-21T00:00:00"/>
    <m/>
    <n v="1077.5862068181818"/>
    <n v="3232.7586204545455"/>
    <x v="3"/>
  </r>
  <r>
    <n v="406847"/>
    <x v="3"/>
    <n v="21152"/>
    <x v="16"/>
    <s v="Внутренняя деятельность"/>
    <d v="2025-04-17T00:00:00"/>
    <n v="3"/>
    <n v="3"/>
    <s v="Смарт Тех (Хошин). Изучение документов, звонок с Амиром"/>
    <d v="2025-04-21T00:00:00"/>
    <m/>
    <n v="1077.5862068181818"/>
    <n v="3232.7586204545455"/>
    <x v="3"/>
  </r>
  <r>
    <n v="406355"/>
    <x v="16"/>
    <n v="47614"/>
    <x v="13"/>
    <s v="Работа"/>
    <d v="2025-04-17T00:00:00"/>
    <n v="1"/>
    <n v="1"/>
    <n v="1517"/>
    <d v="2025-04-18T00:00:00"/>
    <m/>
    <n v="1418"/>
    <n v="1418"/>
    <x v="3"/>
  </r>
  <r>
    <n v="406356"/>
    <x v="16"/>
    <n v="47614"/>
    <x v="13"/>
    <s v="Работа"/>
    <d v="2025-04-17T00:00:00"/>
    <n v="1"/>
    <n v="1"/>
    <n v="1518"/>
    <d v="2025-04-18T00:00:00"/>
    <m/>
    <n v="1418"/>
    <n v="1418"/>
    <x v="3"/>
  </r>
  <r>
    <n v="410497"/>
    <x v="9"/>
    <n v="51263"/>
    <x v="11"/>
    <s v="Работа"/>
    <d v="2025-04-17T00:00:00"/>
    <n v="8"/>
    <n v="8"/>
    <s v="Добавлено поле sortOrder в таблицу Product для возможности менять товары внутри коллекции и в DTO, которая идет из 1с. Добавил в создание/обновление продукта из 1с применение sortSection. Изменил миграцию. Изменил логику сортировки."/>
    <d v="2025-04-28T00:00:00"/>
    <m/>
    <n v="574.71264374999998"/>
    <n v="4597.7011499999999"/>
    <x v="3"/>
  </r>
  <r>
    <n v="405890"/>
    <x v="17"/>
    <n v="53144"/>
    <x v="7"/>
    <s v="Работа"/>
    <d v="2025-04-17T00:00:00"/>
    <n v="1"/>
    <n v="1"/>
    <s v="внесение изменений в БД для отправки почты по запросу"/>
    <d v="2025-04-18T00:00:00"/>
    <m/>
    <n v="1724.1379312500001"/>
    <n v="1724.1379312500001"/>
    <x v="3"/>
  </r>
  <r>
    <n v="406410"/>
    <x v="10"/>
    <n v="46185"/>
    <x v="14"/>
    <s v="Работа"/>
    <d v="2025-04-17T00:00:00"/>
    <n v="2"/>
    <n v="2"/>
    <s v="Исправление замечаний, в телеграмме"/>
    <d v="2025-04-19T00:00:00"/>
    <m/>
    <n v="1616.3793102272728"/>
    <n v="3232.7586204545455"/>
    <x v="3"/>
  </r>
  <r>
    <n v="405910"/>
    <x v="9"/>
    <n v="53304"/>
    <x v="0"/>
    <s v="Работа"/>
    <d v="2025-04-17T00:00:00"/>
    <n v="3"/>
    <n v="3"/>
    <s v="Начало исследования работы с этикетками"/>
    <d v="2025-04-18T00:00:00"/>
    <m/>
    <n v="2011.494252840909"/>
    <n v="6034.4827585227267"/>
    <x v="3"/>
  </r>
  <r>
    <n v="407715"/>
    <x v="0"/>
    <n v="53412"/>
    <x v="2"/>
    <s v="Работа"/>
    <d v="2025-04-17T00:00:00"/>
    <n v="4"/>
    <n v="4"/>
    <s v="Отладка задачи"/>
    <d v="2025-04-23T00:00:00"/>
    <m/>
    <n v="718.39080454545456"/>
    <n v="2873.5632181818182"/>
    <x v="3"/>
  </r>
  <r>
    <n v="407717"/>
    <x v="0"/>
    <n v="52508"/>
    <x v="2"/>
    <s v="Работа"/>
    <d v="2025-04-17T00:00:00"/>
    <n v="4"/>
    <n v="4"/>
    <s v="Работа с проектом, изучение материалов"/>
    <d v="2025-04-23T00:00:00"/>
    <m/>
    <n v="718.39080454545456"/>
    <n v="2873.5632181818182"/>
    <x v="3"/>
  </r>
  <r>
    <n v="405931"/>
    <x v="16"/>
    <n v="47572"/>
    <x v="8"/>
    <s v="Работа"/>
    <d v="2025-04-17T00:00:00"/>
    <n v="0.5"/>
    <n v="0.5"/>
    <s v="Созвон с командой: backend: создание сервиса мониторинга парсера"/>
    <d v="2025-04-18T00:00:00"/>
    <m/>
    <n v="1077.5862068181818"/>
    <n v="538.79310340909092"/>
    <x v="3"/>
  </r>
  <r>
    <n v="405932"/>
    <x v="16"/>
    <n v="47569"/>
    <x v="8"/>
    <s v="Работа"/>
    <d v="2025-04-17T00:00:00"/>
    <n v="7.5"/>
    <n v="7.5"/>
    <s v="backend: создание сервиса мониторинга парсера"/>
    <d v="2025-04-18T00:00:00"/>
    <m/>
    <n v="1077.5862068181818"/>
    <n v="8081.896551136364"/>
    <x v="3"/>
  </r>
  <r>
    <n v="411823"/>
    <x v="16"/>
    <n v="52114"/>
    <x v="5"/>
    <s v="Работа"/>
    <d v="2025-04-17T00:00:00"/>
    <n v="8"/>
    <n v="8"/>
    <s v="Testing"/>
    <d v="2025-04-30T00:00:00"/>
    <m/>
    <n v="431.03448295454547"/>
    <n v="3448.2758636363637"/>
    <x v="3"/>
  </r>
  <r>
    <n v="413903"/>
    <x v="1"/>
    <n v="13970"/>
    <x v="4"/>
    <s v="Внутренняя деятельность"/>
    <d v="2025-04-17T00:00:00"/>
    <n v="3"/>
    <n v="3"/>
    <s v="Подготовка ТЗ и диаграмм на разработку MVP для СмартТехСол"/>
    <d v="2025-05-05T00:00:00"/>
    <m/>
    <n v="1077.5862068181818"/>
    <n v="3232.7586204545455"/>
    <x v="3"/>
  </r>
  <r>
    <n v="412384"/>
    <x v="0"/>
    <n v="52587"/>
    <x v="6"/>
    <s v="Работа"/>
    <d v="2025-04-17T00:00:00"/>
    <n v="8"/>
    <n v="8"/>
    <s v="."/>
    <d v="2025-04-30T00:00:00"/>
    <m/>
    <n v="574.71264374999998"/>
    <n v="4597.7011499999999"/>
    <x v="3"/>
  </r>
  <r>
    <n v="413947"/>
    <x v="2"/>
    <n v="17"/>
    <x v="15"/>
    <s v="Внутренняя деятельность"/>
    <d v="2025-04-17T00:00:00"/>
    <n v="8"/>
    <n v="8"/>
    <s v="Отпуск. "/>
    <d v="2025-05-05T00:00:00"/>
    <m/>
    <n v="359.19540227272728"/>
    <n v="2873.5632181818182"/>
    <x v="3"/>
  </r>
  <r>
    <n v="404992"/>
    <x v="16"/>
    <n v="47569"/>
    <x v="8"/>
    <s v="Работа"/>
    <d v="2025-04-16T00:00:00"/>
    <n v="3.5"/>
    <n v="3.5"/>
    <s v="backend: создание сервиса мониторинга парсера"/>
    <d v="2025-04-16T00:00:00"/>
    <m/>
    <n v="1077.5862068181818"/>
    <n v="3771.5517238636367"/>
    <x v="3"/>
  </r>
  <r>
    <n v="405275"/>
    <x v="16"/>
    <n v="47572"/>
    <x v="13"/>
    <s v="Работа"/>
    <d v="2025-04-16T00:00:00"/>
    <n v="0.5"/>
    <n v="0.5"/>
    <s v="общая"/>
    <d v="2025-04-16T00:00:00"/>
    <m/>
    <n v="1418"/>
    <n v="709"/>
    <x v="3"/>
  </r>
  <r>
    <n v="405276"/>
    <x v="16"/>
    <n v="47572"/>
    <x v="13"/>
    <s v="Работа"/>
    <d v="2025-04-16T00:00:00"/>
    <n v="0.5"/>
    <n v="0.5"/>
    <s v="ежедейл"/>
    <d v="2025-04-16T00:00:00"/>
    <m/>
    <n v="1418"/>
    <n v="709"/>
    <x v="3"/>
  </r>
  <r>
    <n v="405021"/>
    <x v="0"/>
    <n v="52587"/>
    <x v="2"/>
    <s v="Работа"/>
    <d v="2025-04-16T00:00:00"/>
    <n v="8"/>
    <n v="8"/>
    <s v="Отладка задачи"/>
    <d v="2025-04-16T00:00:00"/>
    <m/>
    <n v="718.39080454545456"/>
    <n v="5747.1264363636365"/>
    <x v="3"/>
  </r>
  <r>
    <n v="405277"/>
    <x v="16"/>
    <n v="47614"/>
    <x v="13"/>
    <s v="Работа"/>
    <d v="2025-04-16T00:00:00"/>
    <n v="1"/>
    <n v="1"/>
    <n v="1854"/>
    <d v="2025-04-16T00:00:00"/>
    <m/>
    <n v="1418"/>
    <n v="1418"/>
    <x v="3"/>
  </r>
  <r>
    <n v="405280"/>
    <x v="16"/>
    <n v="47614"/>
    <x v="13"/>
    <s v="Работа"/>
    <d v="2025-04-16T00:00:00"/>
    <n v="3"/>
    <n v="3"/>
    <n v="1785"/>
    <d v="2025-04-16T00:00:00"/>
    <m/>
    <n v="1418"/>
    <n v="4254"/>
    <x v="3"/>
  </r>
  <r>
    <n v="412767"/>
    <x v="16"/>
    <n v="47538"/>
    <x v="1"/>
    <s v="Работа"/>
    <d v="2025-04-16T00:00:00"/>
    <n v="31"/>
    <n v="31"/>
    <s v="Task planning, meetings with client"/>
    <d v="2025-04-30T00:00:00"/>
    <m/>
    <n v="2155.1724136363637"/>
    <n v="66810.344822727275"/>
    <x v="3"/>
  </r>
  <r>
    <n v="432243"/>
    <x v="18"/>
    <n v="53726"/>
    <x v="16"/>
    <s v="Работа"/>
    <d v="2025-04-16T00:00:00"/>
    <n v="94"/>
    <n v="94"/>
    <s v="R&amp;amp;D"/>
    <d v="2025-06-28T00:00:00"/>
    <m/>
    <n v="1077.5862068181818"/>
    <n v="101293.10344090909"/>
    <x v="3"/>
  </r>
  <r>
    <n v="406408"/>
    <x v="10"/>
    <n v="51353"/>
    <x v="14"/>
    <s v="Работа"/>
    <d v="2025-04-16T00:00:00"/>
    <n v="2"/>
    <n v="2"/>
    <s v="Разбор запросов от мос ру"/>
    <d v="2025-04-19T00:00:00"/>
    <m/>
    <n v="1616.3793102272728"/>
    <n v="3232.7586204545455"/>
    <x v="3"/>
  </r>
  <r>
    <n v="406409"/>
    <x v="10"/>
    <n v="52828"/>
    <x v="14"/>
    <s v="Работа"/>
    <d v="2025-04-16T00:00:00"/>
    <n v="3"/>
    <n v="3"/>
    <s v="Работа с серверами, к диктанту"/>
    <d v="2025-04-19T00:00:00"/>
    <m/>
    <n v="1616.3793102272728"/>
    <n v="4849.137930681818"/>
    <x v="3"/>
  </r>
  <r>
    <n v="405146"/>
    <x v="17"/>
    <n v="53144"/>
    <x v="7"/>
    <s v="Работа"/>
    <d v="2025-04-16T00:00:00"/>
    <n v="0.5"/>
    <n v="0.5"/>
    <s v="мониторинг"/>
    <d v="2025-04-16T00:00:00"/>
    <m/>
    <n v="1724.1379312500001"/>
    <n v="862.06896562500003"/>
    <x v="3"/>
  </r>
  <r>
    <n v="411822"/>
    <x v="16"/>
    <n v="52114"/>
    <x v="5"/>
    <s v="Работа"/>
    <d v="2025-04-16T00:00:00"/>
    <n v="8"/>
    <n v="8"/>
    <s v="Testing"/>
    <d v="2025-04-30T00:00:00"/>
    <m/>
    <n v="431.03448295454547"/>
    <n v="3448.2758636363637"/>
    <x v="3"/>
  </r>
  <r>
    <n v="432307"/>
    <x v="20"/>
    <n v="47665"/>
    <x v="10"/>
    <s v="Работа"/>
    <d v="2025-04-16T00:00:00"/>
    <n v="4"/>
    <n v="4"/>
    <s v="R&amp;amp;D"/>
    <d v="2025-06-28T00:00:00"/>
    <m/>
    <n v="1436.7816090909091"/>
    <n v="5747.1264363636365"/>
    <x v="3"/>
  </r>
  <r>
    <n v="413901"/>
    <x v="1"/>
    <n v="13970"/>
    <x v="4"/>
    <s v="Внутренняя деятельность"/>
    <d v="2025-04-16T00:00:00"/>
    <n v="5.5"/>
    <n v="5.5"/>
    <s v="Подготовка ТЗ и диаграмм на разработку MVP для СмартТехСол"/>
    <d v="2025-05-05T00:00:00"/>
    <m/>
    <n v="1077.5862068181818"/>
    <n v="5926.7241375000003"/>
    <x v="3"/>
  </r>
  <r>
    <n v="413946"/>
    <x v="2"/>
    <n v="17"/>
    <x v="15"/>
    <s v="Внутренняя деятельность"/>
    <d v="2025-04-16T00:00:00"/>
    <n v="8"/>
    <n v="8"/>
    <s v="Отпуск. "/>
    <d v="2025-05-05T00:00:00"/>
    <m/>
    <n v="359.19540227272728"/>
    <n v="2873.5632181818182"/>
    <x v="3"/>
  </r>
  <r>
    <n v="404990"/>
    <x v="16"/>
    <n v="47572"/>
    <x v="8"/>
    <s v="Работа"/>
    <d v="2025-04-16T00:00:00"/>
    <n v="1.5"/>
    <n v="1.5"/>
    <s v="Созвон с командой"/>
    <d v="2025-04-16T00:00:00"/>
    <m/>
    <n v="1077.5862068181818"/>
    <n v="1616.3793102272728"/>
    <x v="3"/>
  </r>
  <r>
    <n v="404991"/>
    <x v="16"/>
    <n v="47568"/>
    <x v="8"/>
    <s v="Работа"/>
    <d v="2025-04-16T00:00:00"/>
    <n v="3"/>
    <n v="3"/>
    <s v="backend: создание сервиса мониторинга парсера"/>
    <d v="2025-04-16T00:00:00"/>
    <m/>
    <n v="1077.5862068181818"/>
    <n v="3232.7586204545455"/>
    <x v="3"/>
  </r>
  <r>
    <n v="405075"/>
    <x v="9"/>
    <n v="51263"/>
    <x v="11"/>
    <s v="Работа"/>
    <d v="2025-04-15T00:00:00"/>
    <n v="10"/>
    <n v="10"/>
    <s v="добавлено поле sortOrder в DTO, которая идет из 1с. Добавил в создание/обновление продукта из 1с применение sortSection. Исследовал процессы изменения и сброса пароля. Исследовал логи сервера и enkod. Тестировал сброс пароля"/>
    <d v="2025-04-16T00:00:00"/>
    <m/>
    <n v="574.71264374999998"/>
    <n v="5747.1264375000001"/>
    <x v="3"/>
  </r>
  <r>
    <n v="406407"/>
    <x v="10"/>
    <n v="52830"/>
    <x v="14"/>
    <s v="Работа"/>
    <d v="2025-04-15T00:00:00"/>
    <n v="8"/>
    <n v="8"/>
    <s v="Ростелеком диктант, настройка серверов, расчет результатов и прочее"/>
    <d v="2025-04-19T00:00:00"/>
    <m/>
    <n v="1616.3793102272728"/>
    <n v="12931.034481818182"/>
    <x v="3"/>
  </r>
  <r>
    <n v="404362"/>
    <x v="0"/>
    <n v="52587"/>
    <x v="2"/>
    <s v="Работа"/>
    <d v="2025-04-15T00:00:00"/>
    <n v="12"/>
    <n v="12"/>
    <s v="Отладка задачи"/>
    <d v="2025-04-15T00:00:00"/>
    <m/>
    <n v="718.39080454545456"/>
    <n v="8620.6896545454547"/>
    <x v="3"/>
  </r>
  <r>
    <n v="405907"/>
    <x v="0"/>
    <n v="52952"/>
    <x v="0"/>
    <s v="Работа"/>
    <d v="2025-04-15T00:00:00"/>
    <n v="2"/>
    <n v="2"/>
    <s v="Донастройка на тестовом сервере"/>
    <d v="2025-04-18T00:00:00"/>
    <m/>
    <n v="2011.494252840909"/>
    <n v="4022.988505681818"/>
    <x v="3"/>
  </r>
  <r>
    <n v="411821"/>
    <x v="16"/>
    <n v="52114"/>
    <x v="5"/>
    <s v="Работа"/>
    <d v="2025-04-15T00:00:00"/>
    <n v="8"/>
    <n v="8"/>
    <s v="Test Case Revision"/>
    <d v="2025-04-30T00:00:00"/>
    <m/>
    <n v="431.03448295454547"/>
    <n v="3448.2758636363637"/>
    <x v="3"/>
  </r>
  <r>
    <n v="404663"/>
    <x v="16"/>
    <n v="47614"/>
    <x v="13"/>
    <s v="Работа"/>
    <d v="2025-04-15T00:00:00"/>
    <n v="4"/>
    <n v="4"/>
    <n v="1785"/>
    <d v="2025-04-15T00:00:00"/>
    <m/>
    <n v="1418"/>
    <n v="5672"/>
    <x v="3"/>
  </r>
  <r>
    <n v="404665"/>
    <x v="16"/>
    <n v="47572"/>
    <x v="13"/>
    <s v="Работа"/>
    <d v="2025-04-15T00:00:00"/>
    <n v="0.5"/>
    <n v="0.5"/>
    <s v="ежедейл"/>
    <d v="2025-04-15T00:00:00"/>
    <m/>
    <n v="1418"/>
    <n v="709"/>
    <x v="3"/>
  </r>
  <r>
    <n v="404726"/>
    <x v="17"/>
    <n v="53144"/>
    <x v="7"/>
    <s v="Работа"/>
    <d v="2025-04-15T00:00:00"/>
    <n v="5"/>
    <n v="5"/>
    <s v="решение вопросов связанных с доставкой сертификатов участника диктанта"/>
    <d v="2025-04-16T00:00:00"/>
    <m/>
    <n v="1724.1379312500001"/>
    <n v="8620.6896562500006"/>
    <x v="3"/>
  </r>
  <r>
    <n v="413945"/>
    <x v="2"/>
    <n v="17"/>
    <x v="15"/>
    <s v="Внутренняя деятельность"/>
    <d v="2025-04-15T00:00:00"/>
    <n v="8"/>
    <n v="8"/>
    <s v="Отпуск. "/>
    <d v="2025-05-05T00:00:00"/>
    <m/>
    <n v="359.19540227272728"/>
    <n v="2873.5632181818182"/>
    <x v="3"/>
  </r>
  <r>
    <n v="404477"/>
    <x v="16"/>
    <n v="47572"/>
    <x v="8"/>
    <s v="Работа"/>
    <d v="2025-04-15T00:00:00"/>
    <n v="3"/>
    <n v="3"/>
    <s v="Созвон с командой"/>
    <d v="2025-04-15T00:00:00"/>
    <m/>
    <n v="1077.5862068181818"/>
    <n v="3232.7586204545455"/>
    <x v="3"/>
  </r>
  <r>
    <n v="404479"/>
    <x v="16"/>
    <n v="47569"/>
    <x v="8"/>
    <s v="Работа"/>
    <d v="2025-04-15T00:00:00"/>
    <n v="5"/>
    <n v="5"/>
    <s v=" backend: доработка генератора шаблона, настройка корректной работы парсера"/>
    <d v="2025-04-15T00:00:00"/>
    <m/>
    <n v="1077.5862068181818"/>
    <n v="5387.9310340909087"/>
    <x v="3"/>
  </r>
  <r>
    <n v="404018"/>
    <x v="16"/>
    <n v="47572"/>
    <x v="8"/>
    <s v="Работа"/>
    <d v="2025-04-14T00:00:00"/>
    <n v="0.5"/>
    <n v="0.5"/>
    <s v="Созвон с командой"/>
    <d v="2025-04-14T00:00:00"/>
    <m/>
    <n v="1077.5862068181818"/>
    <n v="538.79310340909092"/>
    <x v="3"/>
  </r>
  <r>
    <n v="404020"/>
    <x v="16"/>
    <n v="47569"/>
    <x v="8"/>
    <s v="Работа"/>
    <d v="2025-04-14T00:00:00"/>
    <n v="8.5"/>
    <n v="8.5"/>
    <s v="backend: интеграция генератора шаблона, настройка для импорта элементов дома"/>
    <d v="2025-04-14T00:00:00"/>
    <m/>
    <n v="1077.5862068181818"/>
    <n v="9159.4827579545454"/>
    <x v="3"/>
  </r>
  <r>
    <n v="406406"/>
    <x v="10"/>
    <n v="52830"/>
    <x v="14"/>
    <s v="Работа"/>
    <d v="2025-04-14T00:00:00"/>
    <n v="8"/>
    <n v="8"/>
    <s v="Ростелеком проведение диктанта"/>
    <d v="2025-04-19T00:00:00"/>
    <m/>
    <n v="1616.3793102272728"/>
    <n v="12931.034481818182"/>
    <x v="3"/>
  </r>
  <r>
    <n v="404361"/>
    <x v="0"/>
    <n v="52587"/>
    <x v="2"/>
    <s v="Работа"/>
    <d v="2025-04-14T00:00:00"/>
    <n v="8"/>
    <n v="8"/>
    <s v="Отладка задачи"/>
    <d v="2025-04-15T00:00:00"/>
    <m/>
    <n v="718.39080454545456"/>
    <n v="5747.1264363636365"/>
    <x v="3"/>
  </r>
  <r>
    <n v="411820"/>
    <x v="16"/>
    <n v="52114"/>
    <x v="5"/>
    <s v="Работа"/>
    <d v="2025-04-14T00:00:00"/>
    <n v="8"/>
    <n v="8"/>
    <s v="Testing"/>
    <d v="2025-04-30T00:00:00"/>
    <m/>
    <n v="431.03448295454547"/>
    <n v="3448.2758636363637"/>
    <x v="3"/>
  </r>
  <r>
    <n v="404662"/>
    <x v="16"/>
    <n v="47614"/>
    <x v="13"/>
    <s v="Работа"/>
    <d v="2025-04-14T00:00:00"/>
    <n v="4"/>
    <n v="4"/>
    <n v="1785"/>
    <d v="2025-04-15T00:00:00"/>
    <m/>
    <n v="1418"/>
    <n v="5672"/>
    <x v="3"/>
  </r>
  <r>
    <n v="404664"/>
    <x v="16"/>
    <n v="47572"/>
    <x v="13"/>
    <s v="Работа"/>
    <d v="2025-04-14T00:00:00"/>
    <n v="0.5"/>
    <n v="0.5"/>
    <s v="ежедей"/>
    <d v="2025-04-15T00:00:00"/>
    <m/>
    <n v="1418"/>
    <n v="709"/>
    <x v="3"/>
  </r>
  <r>
    <n v="404172"/>
    <x v="17"/>
    <n v="53144"/>
    <x v="7"/>
    <s v="Работа"/>
    <d v="2025-04-14T00:00:00"/>
    <n v="1"/>
    <n v="1"/>
    <s v="запуск процесса генерации сертификатов, начальная проверка"/>
    <d v="2025-04-14T00:00:00"/>
    <m/>
    <n v="1724.1379312500001"/>
    <n v="1724.1379312500001"/>
    <x v="3"/>
  </r>
  <r>
    <n v="404173"/>
    <x v="17"/>
    <n v="53144"/>
    <x v="7"/>
    <s v="Работа"/>
    <d v="2025-04-14T00:00:00"/>
    <n v="1"/>
    <n v="1"/>
    <s v="мониторинг состояния генерации сертификатов"/>
    <d v="2025-04-14T00:00:00"/>
    <m/>
    <n v="1724.1379312500001"/>
    <n v="1724.1379312500001"/>
    <x v="3"/>
  </r>
  <r>
    <n v="404178"/>
    <x v="9"/>
    <n v="51263"/>
    <x v="11"/>
    <s v="Работа"/>
    <d v="2025-04-14T00:00:00"/>
    <n v="8"/>
    <n v="8"/>
    <s v=" Исследовал возможность использовать существующие поля в БД для смены расположения товаров в коллекции. Добавлено поле sortSection в таблицу Product для возможности менять товары внутри коллекции."/>
    <d v="2025-04-14T00:00:00"/>
    <m/>
    <n v="574.71264374999998"/>
    <n v="4597.7011499999999"/>
    <x v="3"/>
  </r>
  <r>
    <n v="412383"/>
    <x v="16"/>
    <n v="47569"/>
    <x v="6"/>
    <s v="Работа"/>
    <d v="2025-04-14T00:00:00"/>
    <n v="8"/>
    <n v="8"/>
    <s v="."/>
    <d v="2025-04-30T00:00:00"/>
    <m/>
    <n v="574.71264374999998"/>
    <n v="4597.7011499999999"/>
    <x v="3"/>
  </r>
  <r>
    <n v="413944"/>
    <x v="2"/>
    <n v="17"/>
    <x v="15"/>
    <s v="Внутренняя деятельность"/>
    <d v="2025-04-14T00:00:00"/>
    <n v="8"/>
    <n v="8"/>
    <s v="Отпуск. "/>
    <d v="2025-05-05T00:00:00"/>
    <m/>
    <n v="359.19540227272728"/>
    <n v="2873.5632181818182"/>
    <x v="3"/>
  </r>
  <r>
    <n v="403780"/>
    <x v="16"/>
    <n v="47614"/>
    <x v="13"/>
    <s v="Работа"/>
    <d v="2025-04-13T00:00:00"/>
    <n v="1"/>
    <n v="1"/>
    <n v="1826"/>
    <d v="2025-04-13T00:00:00"/>
    <m/>
    <n v="1418"/>
    <n v="1418"/>
    <x v="3"/>
  </r>
  <r>
    <n v="404661"/>
    <x v="16"/>
    <n v="47614"/>
    <x v="13"/>
    <s v="Работа"/>
    <d v="2025-04-13T00:00:00"/>
    <n v="2"/>
    <n v="2"/>
    <n v="1785"/>
    <d v="2025-04-15T00:00:00"/>
    <m/>
    <n v="1418"/>
    <n v="2836"/>
    <x v="3"/>
  </r>
  <r>
    <n v="432103"/>
    <x v="21"/>
    <n v="47707"/>
    <x v="2"/>
    <s v="Внутренняя деятельность"/>
    <d v="2025-04-13T00:00:00"/>
    <n v="16"/>
    <n v="16"/>
    <s v="Работа с проектом СПБ (Биржа), обследование, проектирование, анализ, тз"/>
    <d v="2025-06-27T00:00:00"/>
    <m/>
    <n v="718.39080454545456"/>
    <n v="11494.252872727273"/>
    <x v="3"/>
  </r>
  <r>
    <n v="431922"/>
    <x v="10"/>
    <n v="52830"/>
    <x v="1"/>
    <s v="Работа"/>
    <d v="2025-04-11T00:00:00"/>
    <n v="43"/>
    <n v="43"/>
    <s v="Task planning, meetings with client"/>
    <d v="2025-06-27T00:00:00"/>
    <m/>
    <n v="2155.1724136363637"/>
    <n v="92672.413786363642"/>
    <x v="3"/>
  </r>
  <r>
    <n v="403766"/>
    <x v="16"/>
    <n v="47572"/>
    <x v="13"/>
    <s v="Работа"/>
    <d v="2025-04-11T00:00:00"/>
    <n v="0.5"/>
    <n v="0.5"/>
    <s v="ежедей"/>
    <d v="2025-04-13T00:00:00"/>
    <m/>
    <n v="1418"/>
    <n v="709"/>
    <x v="3"/>
  </r>
  <r>
    <n v="403512"/>
    <x v="17"/>
    <n v="53042"/>
    <x v="7"/>
    <s v="Работа"/>
    <d v="2025-04-11T00:00:00"/>
    <n v="0.6"/>
    <n v="0.6"/>
    <s v="рестарт сервисов, обнуление статистик"/>
    <d v="2025-04-11T00:00:00"/>
    <m/>
    <n v="1724.1379312500001"/>
    <n v="1034.4827587499999"/>
    <x v="3"/>
  </r>
  <r>
    <n v="403514"/>
    <x v="17"/>
    <n v="53093"/>
    <x v="7"/>
    <s v="Работа"/>
    <d v="2025-04-11T00:00:00"/>
    <n v="1.5"/>
    <n v="1.5"/>
    <s v="обновление БД, проверка"/>
    <d v="2025-04-11T00:00:00"/>
    <m/>
    <n v="1724.1379312500001"/>
    <n v="2586.206896875"/>
    <x v="3"/>
  </r>
  <r>
    <n v="403515"/>
    <x v="17"/>
    <n v="53094"/>
    <x v="7"/>
    <s v="Работа"/>
    <d v="2025-04-11T00:00:00"/>
    <n v="1"/>
    <n v="1"/>
    <s v="технические обсуждения с Андреем"/>
    <d v="2025-04-11T00:00:00"/>
    <m/>
    <n v="1724.1379312500001"/>
    <n v="1724.1379312500001"/>
    <x v="3"/>
  </r>
  <r>
    <n v="403034"/>
    <x v="10"/>
    <n v="52828"/>
    <x v="14"/>
    <s v="Работа"/>
    <d v="2025-04-11T00:00:00"/>
    <n v="2"/>
    <n v="2"/>
    <s v="Проверка и пересборка образов, навел порядок"/>
    <d v="2025-04-11T00:00:00"/>
    <m/>
    <n v="1616.3793102272728"/>
    <n v="3232.7586204545455"/>
    <x v="3"/>
  </r>
  <r>
    <n v="403035"/>
    <x v="10"/>
    <n v="52830"/>
    <x v="14"/>
    <s v="Работа"/>
    <d v="2025-04-11T00:00:00"/>
    <n v="2"/>
    <n v="2"/>
    <s v="Исправил форму донатов, поехала верстка в виджете"/>
    <d v="2025-04-11T00:00:00"/>
    <m/>
    <n v="1616.3793102272728"/>
    <n v="3232.7586204545455"/>
    <x v="3"/>
  </r>
  <r>
    <n v="405891"/>
    <x v="9"/>
    <n v="51262"/>
    <x v="0"/>
    <s v="Работа"/>
    <d v="2025-04-11T00:00:00"/>
    <n v="24"/>
    <n v="24"/>
    <s v="Поддержка и решение задач по сайта"/>
    <d v="2025-04-18T00:00:00"/>
    <m/>
    <n v="2011.494252840909"/>
    <n v="48275.862068181814"/>
    <x v="3"/>
  </r>
  <r>
    <n v="404360"/>
    <x v="0"/>
    <n v="52587"/>
    <x v="2"/>
    <s v="Работа"/>
    <d v="2025-04-11T00:00:00"/>
    <n v="8"/>
    <n v="8"/>
    <s v="Решение задачи"/>
    <d v="2025-04-15T00:00:00"/>
    <m/>
    <n v="718.39080454545456"/>
    <n v="5747.1264363636365"/>
    <x v="3"/>
  </r>
  <r>
    <n v="405896"/>
    <x v="0"/>
    <n v="52952"/>
    <x v="0"/>
    <s v="Работа"/>
    <d v="2025-04-11T00:00:00"/>
    <n v="8"/>
    <n v="8"/>
    <s v="Перенос интеграции на тестовый стенд"/>
    <d v="2025-04-18T00:00:00"/>
    <m/>
    <n v="2011.494252840909"/>
    <n v="16091.954022727272"/>
    <x v="3"/>
  </r>
  <r>
    <n v="411819"/>
    <x v="16"/>
    <n v="52114"/>
    <x v="5"/>
    <s v="Работа"/>
    <d v="2025-04-11T00:00:00"/>
    <n v="8"/>
    <n v="8"/>
    <s v="Testing"/>
    <d v="2025-04-30T00:00:00"/>
    <m/>
    <n v="431.03448295454547"/>
    <n v="3448.2758636363637"/>
    <x v="3"/>
  </r>
  <r>
    <n v="404179"/>
    <x v="9"/>
    <n v="51263"/>
    <x v="11"/>
    <s v="Работа"/>
    <d v="2025-04-11T00:00:00"/>
    <n v="8"/>
    <n v="8"/>
    <s v="Исследование возможности использовать sortOrder для изменения товаров внутри категории. Исследовал маппинг продукта с dto, которая идет из 1с. Написал на wiki страничку по миграциям"/>
    <d v="2025-04-14T00:00:00"/>
    <m/>
    <n v="574.71264374999998"/>
    <n v="4597.7011499999999"/>
    <x v="3"/>
  </r>
  <r>
    <n v="412382"/>
    <x v="16"/>
    <n v="47569"/>
    <x v="6"/>
    <s v="Работа"/>
    <d v="2025-04-11T00:00:00"/>
    <n v="8"/>
    <n v="8"/>
    <s v="."/>
    <d v="2025-04-30T00:00:00"/>
    <m/>
    <n v="574.71264374999998"/>
    <n v="4597.7011499999999"/>
    <x v="3"/>
  </r>
  <r>
    <n v="403432"/>
    <x v="16"/>
    <n v="47572"/>
    <x v="8"/>
    <s v="Работа"/>
    <d v="2025-04-11T00:00:00"/>
    <n v="1"/>
    <n v="1"/>
    <s v="Созвон с командой"/>
    <d v="2025-04-11T00:00:00"/>
    <m/>
    <n v="1077.5862068181818"/>
    <n v="1077.5862068181818"/>
    <x v="3"/>
  </r>
  <r>
    <n v="403434"/>
    <x v="16"/>
    <n v="47569"/>
    <x v="8"/>
    <s v="Работа"/>
    <d v="2025-04-11T00:00:00"/>
    <n v="7"/>
    <n v="7"/>
    <s v="backend: интеграция генератора шаблона, настройка для импорта элементов дома"/>
    <d v="2025-04-11T00:00:00"/>
    <m/>
    <n v="1077.5862068181818"/>
    <n v="7543.1034477272733"/>
    <x v="3"/>
  </r>
  <r>
    <n v="402944"/>
    <x v="17"/>
    <n v="53041"/>
    <x v="7"/>
    <s v="Работа"/>
    <d v="2025-04-10T00:00:00"/>
    <n v="1"/>
    <n v="1"/>
    <s v="тестирование"/>
    <d v="2025-04-10T00:00:00"/>
    <m/>
    <n v="1724.1379312500001"/>
    <n v="1724.1379312500001"/>
    <x v="3"/>
  </r>
  <r>
    <n v="402945"/>
    <x v="17"/>
    <n v="53043"/>
    <x v="7"/>
    <s v="Работа"/>
    <d v="2025-04-10T00:00:00"/>
    <n v="1"/>
    <n v="1"/>
    <s v="демо"/>
    <d v="2025-04-10T00:00:00"/>
    <m/>
    <n v="1724.1379312500001"/>
    <n v="1724.1379312500001"/>
    <x v="3"/>
  </r>
  <r>
    <n v="402946"/>
    <x v="17"/>
    <n v="53042"/>
    <x v="7"/>
    <s v="Работа"/>
    <d v="2025-04-10T00:00:00"/>
    <n v="2"/>
    <n v="2"/>
    <s v="тестирование"/>
    <d v="2025-04-10T00:00:00"/>
    <m/>
    <n v="1724.1379312500001"/>
    <n v="3448.2758625000001"/>
    <x v="3"/>
  </r>
  <r>
    <n v="403765"/>
    <x v="16"/>
    <n v="47572"/>
    <x v="13"/>
    <s v="Работа"/>
    <d v="2025-04-10T00:00:00"/>
    <n v="0.5"/>
    <n v="0.5"/>
    <s v="ежедей"/>
    <d v="2025-04-13T00:00:00"/>
    <m/>
    <n v="1418"/>
    <n v="709"/>
    <x v="3"/>
  </r>
  <r>
    <n v="403778"/>
    <x v="16"/>
    <n v="47614"/>
    <x v="13"/>
    <s v="Работа"/>
    <d v="2025-04-10T00:00:00"/>
    <n v="1"/>
    <n v="1"/>
    <n v="1827"/>
    <d v="2025-04-13T00:00:00"/>
    <m/>
    <n v="1418"/>
    <n v="1418"/>
    <x v="3"/>
  </r>
  <r>
    <n v="403779"/>
    <x v="16"/>
    <n v="47614"/>
    <x v="13"/>
    <s v="Работа"/>
    <d v="2025-04-10T00:00:00"/>
    <n v="3"/>
    <n v="3"/>
    <n v="1826"/>
    <d v="2025-04-13T00:00:00"/>
    <m/>
    <n v="1418"/>
    <n v="4254"/>
    <x v="3"/>
  </r>
  <r>
    <n v="403019"/>
    <x v="16"/>
    <n v="47572"/>
    <x v="8"/>
    <s v="Работа"/>
    <d v="2025-04-10T00:00:00"/>
    <n v="3"/>
    <n v="3"/>
    <s v="Созвон с командой"/>
    <d v="2025-04-10T00:00:00"/>
    <m/>
    <n v="1077.5862068181818"/>
    <n v="3232.7586204545455"/>
    <x v="3"/>
  </r>
  <r>
    <n v="403020"/>
    <x v="16"/>
    <n v="47537"/>
    <x v="8"/>
    <s v="Работа"/>
    <d v="2025-04-10T00:00:00"/>
    <n v="1"/>
    <n v="1"/>
    <s v="Демо"/>
    <d v="2025-04-10T00:00:00"/>
    <m/>
    <n v="1077.5862068181818"/>
    <n v="1077.5862068181818"/>
    <x v="3"/>
  </r>
  <r>
    <n v="403021"/>
    <x v="16"/>
    <n v="52114"/>
    <x v="8"/>
    <s v="Работа"/>
    <d v="2025-04-10T00:00:00"/>
    <n v="3"/>
    <n v="3"/>
    <s v="backend: интеграция генератора шаблона, настройка для импорта элементов дома"/>
    <d v="2025-04-10T00:00:00"/>
    <m/>
    <n v="1077.5862068181818"/>
    <n v="3232.7586204545455"/>
    <x v="3"/>
  </r>
  <r>
    <n v="403022"/>
    <x v="16"/>
    <n v="47569"/>
    <x v="8"/>
    <s v="Работа"/>
    <d v="2025-04-10T00:00:00"/>
    <n v="3"/>
    <n v="3"/>
    <s v="backend: интеграция генератора шаблона, настройка для импорта элементов дома"/>
    <d v="2025-04-10T00:00:00"/>
    <m/>
    <n v="1077.5862068181818"/>
    <n v="3232.7586204545455"/>
    <x v="3"/>
  </r>
  <r>
    <n v="403025"/>
    <x v="10"/>
    <n v="50787"/>
    <x v="14"/>
    <s v="Работа"/>
    <d v="2025-04-10T00:00:00"/>
    <n v="5"/>
    <n v="5"/>
    <s v="Загрузка результатов диктанта, правка скриптов"/>
    <d v="2025-04-11T00:00:00"/>
    <m/>
    <n v="1616.3793102272728"/>
    <n v="8081.896551136364"/>
    <x v="3"/>
  </r>
  <r>
    <n v="403028"/>
    <x v="10"/>
    <n v="52830"/>
    <x v="14"/>
    <s v="Работа"/>
    <d v="2025-04-10T00:00:00"/>
    <n v="1"/>
    <n v="1"/>
    <s v="Разбор запросов от мос ру"/>
    <d v="2025-04-11T00:00:00"/>
    <m/>
    <n v="1616.3793102272728"/>
    <n v="1616.3793102272728"/>
    <x v="3"/>
  </r>
  <r>
    <n v="406873"/>
    <x v="16"/>
    <n v="47537"/>
    <x v="16"/>
    <s v="Работа"/>
    <d v="2025-04-10T00:00:00"/>
    <n v="1"/>
    <n v="1"/>
    <s v="Спринт9"/>
    <d v="2025-04-21T00:00:00"/>
    <m/>
    <n v="1077.5862068181818"/>
    <n v="1077.5862068181818"/>
    <x v="3"/>
  </r>
  <r>
    <n v="406874"/>
    <x v="16"/>
    <n v="47615"/>
    <x v="16"/>
    <s v="Работа"/>
    <d v="2025-04-10T00:00:00"/>
    <n v="2"/>
    <n v="2"/>
    <s v="Ответы на письма заказчика"/>
    <d v="2025-04-21T00:00:00"/>
    <m/>
    <n v="1077.5862068181818"/>
    <n v="2155.1724136363637"/>
    <x v="3"/>
  </r>
  <r>
    <n v="405894"/>
    <x v="0"/>
    <n v="52952"/>
    <x v="0"/>
    <s v="Работа"/>
    <d v="2025-04-10T00:00:00"/>
    <n v="8"/>
    <n v="8"/>
    <s v="Продолжаем исследование и настройку"/>
    <d v="2025-04-18T00:00:00"/>
    <m/>
    <n v="2011.494252840909"/>
    <n v="16091.954022727272"/>
    <x v="3"/>
  </r>
  <r>
    <n v="404359"/>
    <x v="0"/>
    <n v="52587"/>
    <x v="2"/>
    <s v="Работа"/>
    <d v="2025-04-10T00:00:00"/>
    <n v="8"/>
    <n v="8"/>
    <s v="Решение задачи"/>
    <d v="2025-04-15T00:00:00"/>
    <m/>
    <n v="718.39080454545456"/>
    <n v="5747.1264363636365"/>
    <x v="3"/>
  </r>
  <r>
    <n v="411818"/>
    <x v="16"/>
    <n v="52114"/>
    <x v="5"/>
    <s v="Работа"/>
    <d v="2025-04-10T00:00:00"/>
    <n v="8"/>
    <n v="8"/>
    <s v="Testing"/>
    <d v="2025-04-30T00:00:00"/>
    <m/>
    <n v="431.03448295454547"/>
    <n v="3448.2758636363637"/>
    <x v="3"/>
  </r>
  <r>
    <n v="413893"/>
    <x v="1"/>
    <n v="13970"/>
    <x v="4"/>
    <s v="Внутренняя деятельность"/>
    <d v="2025-04-10T00:00:00"/>
    <n v="1.5"/>
    <n v="1.5"/>
    <s v="Подготовка ТЗ и диаграмм на разработку MVP для СмартТехСол"/>
    <d v="2025-05-05T00:00:00"/>
    <m/>
    <n v="1077.5862068181818"/>
    <n v="1616.3793102272728"/>
    <x v="3"/>
  </r>
  <r>
    <n v="404180"/>
    <x v="9"/>
    <n v="51263"/>
    <x v="11"/>
    <s v="Работа"/>
    <d v="2025-04-10T00:00:00"/>
    <n v="8"/>
    <n v="8"/>
    <s v="Изменил применение сертификата, т.к. в couponPointsPrices может прилететь skus от применения баллов (points) с разными ценами у одинаковых skus. Изменил логику оформления заказа для корректного применения баллов. Добавил в миграцию изменения order_payment_method_check - длбавлен новый способ оплаты POINTS"/>
    <d v="2025-04-14T00:00:00"/>
    <m/>
    <n v="574.71264374999998"/>
    <n v="4597.7011499999999"/>
    <x v="3"/>
  </r>
  <r>
    <n v="412381"/>
    <x v="16"/>
    <n v="47569"/>
    <x v="6"/>
    <s v="Работа"/>
    <d v="2025-04-10T00:00:00"/>
    <n v="8"/>
    <n v="8"/>
    <s v="."/>
    <d v="2025-04-30T00:00:00"/>
    <m/>
    <n v="574.71264374999998"/>
    <n v="4597.7011499999999"/>
    <x v="3"/>
  </r>
  <r>
    <n v="402450"/>
    <x v="16"/>
    <n v="47572"/>
    <x v="8"/>
    <s v="Работа"/>
    <d v="2025-04-09T00:00:00"/>
    <n v="0.5"/>
    <n v="0.5"/>
    <s v="Созвон с командой"/>
    <d v="2025-04-10T00:00:00"/>
    <m/>
    <n v="1077.5862068181818"/>
    <n v="538.79310340909092"/>
    <x v="3"/>
  </r>
  <r>
    <n v="402451"/>
    <x v="16"/>
    <n v="47569"/>
    <x v="8"/>
    <s v="Работа"/>
    <d v="2025-04-09T00:00:00"/>
    <n v="7.5"/>
    <n v="7.5"/>
    <s v="backend: интеграция генератора шаблона, настройка для импорта элементов дома"/>
    <d v="2025-04-10T00:00:00"/>
    <m/>
    <n v="1077.5862068181818"/>
    <n v="8081.896551136364"/>
    <x v="3"/>
  </r>
  <r>
    <n v="403776"/>
    <x v="16"/>
    <n v="47614"/>
    <x v="13"/>
    <s v="Работа"/>
    <d v="2025-04-09T00:00:00"/>
    <n v="1"/>
    <n v="1"/>
    <n v="1809"/>
    <d v="2025-04-13T00:00:00"/>
    <m/>
    <n v="1418"/>
    <n v="1418"/>
    <x v="3"/>
  </r>
  <r>
    <n v="403777"/>
    <x v="16"/>
    <n v="47614"/>
    <x v="13"/>
    <s v="Работа"/>
    <d v="2025-04-09T00:00:00"/>
    <n v="3"/>
    <n v="3"/>
    <n v="1745"/>
    <d v="2025-04-13T00:00:00"/>
    <m/>
    <n v="1418"/>
    <n v="4254"/>
    <x v="3"/>
  </r>
  <r>
    <n v="442447"/>
    <x v="15"/>
    <n v="52593"/>
    <x v="9"/>
    <s v="Работа"/>
    <d v="2025-04-09T00:00:00"/>
    <n v="1.5"/>
    <n v="1.5"/>
    <s v="Task 1601 Публикация на стейдж сервере &quot;Личного кабинета клиента&quot;"/>
    <d v="2025-07-24T00:00:00"/>
    <m/>
    <n v="1436.7816090909091"/>
    <n v="2155.1724136363637"/>
    <x v="3"/>
  </r>
  <r>
    <n v="442448"/>
    <x v="15"/>
    <n v="52593"/>
    <x v="9"/>
    <s v="Работа"/>
    <d v="2025-04-09T00:00:00"/>
    <n v="1.5"/>
    <n v="1.5"/>
    <s v="Task 1602 Тестирование работоспособности &quot;Личного кабинета клиента&quot;"/>
    <d v="2025-07-24T00:00:00"/>
    <m/>
    <n v="1436.7816090909091"/>
    <n v="2155.1724136363637"/>
    <x v="3"/>
  </r>
  <r>
    <n v="442449"/>
    <x v="15"/>
    <n v="52593"/>
    <x v="9"/>
    <s v="Работа"/>
    <d v="2025-04-09T00:00:00"/>
    <n v="1.5"/>
    <n v="1.5"/>
    <s v="Task 1603 Публикация на прод сервере &quot;Личного кабинета клиента&quot;"/>
    <d v="2025-07-24T00:00:00"/>
    <m/>
    <n v="1436.7816090909091"/>
    <n v="2155.1724136363637"/>
    <x v="3"/>
  </r>
  <r>
    <n v="404358"/>
    <x v="0"/>
    <n v="52587"/>
    <x v="2"/>
    <s v="Работа"/>
    <d v="2025-04-09T00:00:00"/>
    <n v="8"/>
    <n v="8"/>
    <s v="Решение задачи"/>
    <d v="2025-04-15T00:00:00"/>
    <m/>
    <n v="718.39080454545456"/>
    <n v="5747.1264363636365"/>
    <x v="3"/>
  </r>
  <r>
    <n v="411817"/>
    <x v="16"/>
    <n v="52114"/>
    <x v="5"/>
    <s v="Работа"/>
    <d v="2025-04-09T00:00:00"/>
    <n v="8"/>
    <n v="8"/>
    <s v="Testing"/>
    <d v="2025-04-30T00:00:00"/>
    <m/>
    <n v="431.03448295454547"/>
    <n v="3448.2758636363637"/>
    <x v="3"/>
  </r>
  <r>
    <n v="413892"/>
    <x v="1"/>
    <n v="13970"/>
    <x v="4"/>
    <s v="Внутренняя деятельность"/>
    <d v="2025-04-09T00:00:00"/>
    <n v="11.5"/>
    <n v="11.5"/>
    <s v="Подготовка ТЗ и диаграмм на разработку MVP для СмартТехСол"/>
    <d v="2025-05-05T00:00:00"/>
    <m/>
    <n v="1077.5862068181818"/>
    <n v="12392.241378409091"/>
    <x v="3"/>
  </r>
  <r>
    <n v="402386"/>
    <x v="0"/>
    <n v="52952"/>
    <x v="0"/>
    <s v="Работа"/>
    <d v="2025-04-09T00:00:00"/>
    <n v="5"/>
    <n v="5"/>
    <s v="Настройка коннектора Debezium для PostgreSQL локально. Проверка захвата изменений из БД с помощью фиктивного консьюмера"/>
    <d v="2025-04-09T00:00:00"/>
    <m/>
    <n v="2011.494252840909"/>
    <n v="10057.471264204545"/>
    <x v="3"/>
  </r>
  <r>
    <n v="412380"/>
    <x v="16"/>
    <n v="47569"/>
    <x v="6"/>
    <s v="Работа"/>
    <d v="2025-04-09T00:00:00"/>
    <n v="8"/>
    <n v="8"/>
    <s v="."/>
    <d v="2025-04-30T00:00:00"/>
    <m/>
    <n v="574.71264374999998"/>
    <n v="4597.7011499999999"/>
    <x v="3"/>
  </r>
  <r>
    <n v="402406"/>
    <x v="10"/>
    <n v="50787"/>
    <x v="14"/>
    <s v="Работа"/>
    <d v="2025-04-09T00:00:00"/>
    <n v="0.5"/>
    <n v="0.5"/>
    <s v="Починить загрузку результатов очного диктанта"/>
    <d v="2025-04-09T00:00:00"/>
    <m/>
    <n v="1616.3793102272728"/>
    <n v="808.18965511363638"/>
    <x v="3"/>
  </r>
  <r>
    <n v="402407"/>
    <x v="10"/>
    <n v="52830"/>
    <x v="14"/>
    <s v="Работа"/>
    <d v="2025-04-09T00:00:00"/>
    <n v="2"/>
    <n v="2"/>
    <s v="Запросы от мос ру по баллам"/>
    <d v="2025-04-09T00:00:00"/>
    <m/>
    <n v="1616.3793102272728"/>
    <n v="3232.7586204545455"/>
    <x v="3"/>
  </r>
  <r>
    <n v="402408"/>
    <x v="10"/>
    <n v="52830"/>
    <x v="14"/>
    <s v="Работа"/>
    <d v="2025-04-09T00:00:00"/>
    <n v="1.5"/>
    <n v="1.5"/>
    <s v="SQL запросы для ручной загрузке диктантов, подгрузка диктантов"/>
    <d v="2025-04-09T00:00:00"/>
    <m/>
    <n v="1616.3793102272728"/>
    <n v="2424.568965340909"/>
    <x v="3"/>
  </r>
  <r>
    <n v="402409"/>
    <x v="10"/>
    <n v="45336"/>
    <x v="14"/>
    <s v="Работа"/>
    <d v="2025-04-09T00:00:00"/>
    <n v="0.5"/>
    <n v="0.5"/>
    <s v="Помочь участникам, которым не начислили баллы на mos.ru "/>
    <d v="2025-04-09T00:00:00"/>
    <m/>
    <n v="1616.3793102272728"/>
    <n v="808.18965511363638"/>
    <x v="3"/>
  </r>
  <r>
    <n v="402410"/>
    <x v="10"/>
    <n v="52828"/>
    <x v="14"/>
    <s v="Работа"/>
    <d v="2025-04-09T00:00:00"/>
    <n v="74.5"/>
    <n v="74.5"/>
    <s v="Сборка образа"/>
    <d v="2025-04-09T00:00:00"/>
    <m/>
    <n v="1616.3793102272728"/>
    <n v="120420.25861193181"/>
    <x v="3"/>
  </r>
  <r>
    <n v="402937"/>
    <x v="17"/>
    <n v="53040"/>
    <x v="7"/>
    <s v="Работа"/>
    <d v="2025-04-09T00:00:00"/>
    <n v="1"/>
    <n v="1"/>
    <s v="тестирование"/>
    <d v="2025-04-10T00:00:00"/>
    <m/>
    <n v="1724.1379312500001"/>
    <n v="1724.1379312500001"/>
    <x v="3"/>
  </r>
  <r>
    <n v="402938"/>
    <x v="17"/>
    <n v="53041"/>
    <x v="7"/>
    <s v="Работа"/>
    <d v="2025-04-09T00:00:00"/>
    <n v="1"/>
    <n v="1"/>
    <s v="доработка сервисов"/>
    <d v="2025-04-10T00:00:00"/>
    <m/>
    <n v="1724.1379312500001"/>
    <n v="1724.1379312500001"/>
    <x v="3"/>
  </r>
  <r>
    <n v="402939"/>
    <x v="17"/>
    <n v="53042"/>
    <x v="7"/>
    <s v="Работа"/>
    <d v="2025-04-09T00:00:00"/>
    <n v="4"/>
    <n v="4"/>
    <s v="настройка и тестирование метрик и дашборд "/>
    <d v="2025-04-10T00:00:00"/>
    <m/>
    <n v="1724.1379312500001"/>
    <n v="6896.5517250000003"/>
    <x v="3"/>
  </r>
  <r>
    <n v="403764"/>
    <x v="16"/>
    <n v="47572"/>
    <x v="13"/>
    <s v="Работа"/>
    <d v="2025-04-08T00:00:00"/>
    <n v="0.5"/>
    <n v="0.5"/>
    <s v="ежедей"/>
    <d v="2025-04-13T00:00:00"/>
    <m/>
    <n v="1418"/>
    <n v="709"/>
    <x v="3"/>
  </r>
  <r>
    <n v="403774"/>
    <x v="16"/>
    <n v="47614"/>
    <x v="13"/>
    <s v="Работа"/>
    <d v="2025-04-08T00:00:00"/>
    <n v="1"/>
    <n v="1"/>
    <s v="1809, траблшутинг"/>
    <d v="2025-04-13T00:00:00"/>
    <m/>
    <n v="1418"/>
    <n v="1418"/>
    <x v="3"/>
  </r>
  <r>
    <n v="403775"/>
    <x v="16"/>
    <n v="47614"/>
    <x v="13"/>
    <s v="Работа"/>
    <d v="2025-04-08T00:00:00"/>
    <n v="4"/>
    <n v="4"/>
    <n v="1807"/>
    <d v="2025-04-13T00:00:00"/>
    <m/>
    <n v="1418"/>
    <n v="5672"/>
    <x v="3"/>
  </r>
  <r>
    <n v="404357"/>
    <x v="0"/>
    <n v="52587"/>
    <x v="2"/>
    <s v="Работа"/>
    <d v="2025-04-08T00:00:00"/>
    <n v="8"/>
    <n v="8"/>
    <s v="Решение задачи"/>
    <d v="2025-04-15T00:00:00"/>
    <m/>
    <n v="718.39080454545456"/>
    <n v="5747.1264363636365"/>
    <x v="3"/>
  </r>
  <r>
    <n v="411816"/>
    <x v="16"/>
    <n v="52114"/>
    <x v="5"/>
    <s v="Работа"/>
    <d v="2025-04-08T00:00:00"/>
    <n v="8"/>
    <n v="8"/>
    <s v="Updating Test Cases"/>
    <d v="2025-04-30T00:00:00"/>
    <m/>
    <n v="431.03448295454547"/>
    <n v="3448.2758636363637"/>
    <x v="3"/>
  </r>
  <r>
    <n v="402119"/>
    <x v="16"/>
    <n v="47572"/>
    <x v="8"/>
    <s v="Работа"/>
    <d v="2025-04-08T00:00:00"/>
    <n v="1"/>
    <n v="1"/>
    <s v="Созвон с командой"/>
    <d v="2025-04-08T00:00:00"/>
    <m/>
    <n v="1077.5862068181818"/>
    <n v="1077.5862068181818"/>
    <x v="3"/>
  </r>
  <r>
    <n v="402120"/>
    <x v="16"/>
    <n v="47569"/>
    <x v="8"/>
    <s v="Работа"/>
    <d v="2025-04-08T00:00:00"/>
    <n v="7"/>
    <n v="7"/>
    <s v="backend: интеграция генератора шаблона, настройка для импорта элементов дома"/>
    <d v="2025-04-08T00:00:00"/>
    <m/>
    <n v="1077.5862068181818"/>
    <n v="7543.1034477272733"/>
    <x v="3"/>
  </r>
  <r>
    <n v="404181"/>
    <x v="9"/>
    <n v="51263"/>
    <x v="11"/>
    <s v="Работа"/>
    <d v="2025-04-08T00:00:00"/>
    <n v="10"/>
    <n v="10"/>
    <s v="Добавил POINTS в PaymentMethod. Удалил контроллер loyalty.controller, логику оттуда перенес в user.controller. Изменил логику в auth.service - теперь при регистрации нового пользователя, создание пользователя в бд идет на заранее добавленный новый метод register в user.service. Изменена логика в loyalty.service. Также пересмотрен подход к связт пользователя с системой лояльности в бд: отказ от таблице UserLoyaltyLevel и перенос полей из нее в User."/>
    <d v="2025-04-14T00:00:00"/>
    <m/>
    <n v="574.71264374999998"/>
    <n v="5747.1264375000001"/>
    <x v="3"/>
  </r>
  <r>
    <n v="412379"/>
    <x v="16"/>
    <n v="47570"/>
    <x v="6"/>
    <s v="Работа"/>
    <d v="2025-04-08T00:00:00"/>
    <n v="8"/>
    <n v="8"/>
    <s v="."/>
    <d v="2025-04-30T00:00:00"/>
    <m/>
    <n v="574.71264374999998"/>
    <n v="4597.7011499999999"/>
    <x v="3"/>
  </r>
  <r>
    <n v="402405"/>
    <x v="10"/>
    <n v="52830"/>
    <x v="14"/>
    <s v="Работа"/>
    <d v="2025-04-08T00:00:00"/>
    <n v="6"/>
    <n v="6"/>
    <s v="Обработка блокировки пользователей"/>
    <d v="2025-04-09T00:00:00"/>
    <m/>
    <n v="1616.3793102272728"/>
    <n v="9698.2758613636361"/>
    <x v="3"/>
  </r>
  <r>
    <n v="403702"/>
    <x v="1"/>
    <n v="13970"/>
    <x v="9"/>
    <s v="Внутренняя деятельность"/>
    <d v="2025-04-08T00:00:00"/>
    <n v="40"/>
    <n v="40"/>
    <s v="#13970 - CD - Research "/>
    <d v="2025-04-12T00:00:00"/>
    <m/>
    <n v="1436.7816090909091"/>
    <n v="57471.264363636365"/>
    <x v="3"/>
  </r>
  <r>
    <n v="402935"/>
    <x v="17"/>
    <n v="53040"/>
    <x v="7"/>
    <s v="Работа"/>
    <d v="2025-04-08T00:00:00"/>
    <n v="2.25"/>
    <n v="2.25"/>
    <s v="тестирование"/>
    <d v="2025-04-10T00:00:00"/>
    <m/>
    <n v="1724.1379312500001"/>
    <n v="3879.3103453125"/>
    <x v="3"/>
  </r>
  <r>
    <n v="401438"/>
    <x v="0"/>
    <n v="52587"/>
    <x v="2"/>
    <s v="Работа"/>
    <d v="2025-04-07T00:00:00"/>
    <n v="4"/>
    <n v="4"/>
    <s v="Решение задачи"/>
    <d v="2025-04-07T00:00:00"/>
    <m/>
    <n v="718.39080454545456"/>
    <n v="2873.5632181818182"/>
    <x v="3"/>
  </r>
  <r>
    <n v="401443"/>
    <x v="10"/>
    <n v="52830"/>
    <x v="14"/>
    <s v="Работа"/>
    <d v="2025-04-07T00:00:00"/>
    <n v="4.5"/>
    <n v="4.5"/>
    <s v="Синхронизация диктантов, различные баги"/>
    <d v="2025-04-07T00:00:00"/>
    <m/>
    <n v="1616.3793102272728"/>
    <n v="7273.7068960227271"/>
    <x v="3"/>
  </r>
  <r>
    <n v="401704"/>
    <x v="9"/>
    <n v="51263"/>
    <x v="11"/>
    <s v="Работа"/>
    <d v="2025-04-07T00:00:00"/>
    <n v="10"/>
    <n v="10"/>
    <s v="Переименовал CouponPriceDto -&amp;gt; CouponPointsPriceDto, для большей ясности при применении сертификата и баллов. Написал ендпоинт для получения пользователем истории заказов, участвующих в лояльности. Добавлены Guardы. Добавил создание лояльности с привязкой к пользователю при создании пользователя. Добавлен в крон accrualDeductionPointsCron обработка статуса CANCELED; также немного изменилась основная логика крона и обработка заказов теперь идет синхронно.  Разрешения циклических зависимостей между модулями. Изменил немоного миграцию. Протестировал крон, привязку пользователя к лояльности после его создания, получение истории лояльности, применение баллов.  Ендпоинты вынес в Postman."/>
    <d v="2025-04-07T00:00:00"/>
    <m/>
    <n v="574.71264374999998"/>
    <n v="5747.1264375000001"/>
    <x v="3"/>
  </r>
  <r>
    <n v="401709"/>
    <x v="16"/>
    <n v="47572"/>
    <x v="8"/>
    <s v="Работа"/>
    <d v="2025-04-07T00:00:00"/>
    <n v="1"/>
    <n v="1"/>
    <s v="Созвон с командой"/>
    <d v="2025-04-08T00:00:00"/>
    <m/>
    <n v="1077.5862068181818"/>
    <n v="1077.5862068181818"/>
    <x v="3"/>
  </r>
  <r>
    <n v="401710"/>
    <x v="16"/>
    <n v="47569"/>
    <x v="8"/>
    <s v="Работа"/>
    <d v="2025-04-07T00:00:00"/>
    <n v="7"/>
    <n v="7"/>
    <s v="backend: интеграция генератора шаблона, настройка для импорта элементов дома"/>
    <d v="2025-04-08T00:00:00"/>
    <m/>
    <n v="1077.5862068181818"/>
    <n v="7543.1034477272733"/>
    <x v="3"/>
  </r>
  <r>
    <n v="403763"/>
    <x v="16"/>
    <n v="47572"/>
    <x v="13"/>
    <s v="Работа"/>
    <d v="2025-04-07T00:00:00"/>
    <n v="0.5"/>
    <n v="0.5"/>
    <s v="ежедейл"/>
    <d v="2025-04-13T00:00:00"/>
    <m/>
    <n v="1418"/>
    <n v="709"/>
    <x v="3"/>
  </r>
  <r>
    <n v="403770"/>
    <x v="16"/>
    <n v="47614"/>
    <x v="13"/>
    <s v="Работа"/>
    <d v="2025-04-07T00:00:00"/>
    <n v="1"/>
    <n v="1"/>
    <s v="1567, траблшутинг"/>
    <d v="2025-04-13T00:00:00"/>
    <m/>
    <n v="1418"/>
    <n v="1418"/>
    <x v="3"/>
  </r>
  <r>
    <n v="403771"/>
    <x v="16"/>
    <n v="47614"/>
    <x v="13"/>
    <s v="Работа"/>
    <d v="2025-04-07T00:00:00"/>
    <n v="1"/>
    <n v="1"/>
    <s v="1573, траблшутинг"/>
    <d v="2025-04-13T00:00:00"/>
    <m/>
    <n v="1418"/>
    <n v="1418"/>
    <x v="3"/>
  </r>
  <r>
    <n v="403772"/>
    <x v="16"/>
    <n v="47614"/>
    <x v="13"/>
    <s v="Работа"/>
    <d v="2025-04-07T00:00:00"/>
    <n v="2"/>
    <n v="2"/>
    <n v="1807"/>
    <d v="2025-04-13T00:00:00"/>
    <m/>
    <n v="1418"/>
    <n v="2836"/>
    <x v="3"/>
  </r>
  <r>
    <n v="403773"/>
    <x v="16"/>
    <n v="47614"/>
    <x v="13"/>
    <s v="Работа"/>
    <d v="2025-04-07T00:00:00"/>
    <n v="1"/>
    <n v="1"/>
    <s v="1809, траблшутинг"/>
    <d v="2025-04-13T00:00:00"/>
    <m/>
    <n v="1418"/>
    <n v="1418"/>
    <x v="3"/>
  </r>
  <r>
    <n v="406866"/>
    <x v="16"/>
    <n v="47537"/>
    <x v="16"/>
    <s v="Работа"/>
    <d v="2025-04-07T00:00:00"/>
    <n v="2"/>
    <n v="2"/>
    <s v="Обсуждали оценки"/>
    <d v="2025-04-21T00:00:00"/>
    <m/>
    <n v="1077.5862068181818"/>
    <n v="2155.1724136363637"/>
    <x v="3"/>
  </r>
  <r>
    <n v="441192"/>
    <x v="5"/>
    <n v="53893"/>
    <x v="15"/>
    <s v="Работа"/>
    <d v="2025-04-07T00:00:00"/>
    <n v="29"/>
    <n v="29"/>
    <s v="работа"/>
    <d v="2025-07-21T00:00:00"/>
    <m/>
    <n v="359.19540227272728"/>
    <n v="10416.666665909092"/>
    <x v="3"/>
  </r>
  <r>
    <n v="411815"/>
    <x v="16"/>
    <n v="52114"/>
    <x v="5"/>
    <s v="Работа"/>
    <d v="2025-04-07T00:00:00"/>
    <n v="8"/>
    <n v="8"/>
    <s v="Testing"/>
    <d v="2025-04-30T00:00:00"/>
    <m/>
    <n v="431.03448295454547"/>
    <n v="3448.2758636363637"/>
    <x v="3"/>
  </r>
  <r>
    <n v="413888"/>
    <x v="1"/>
    <n v="13970"/>
    <x v="4"/>
    <s v="Внутренняя деятельность"/>
    <d v="2025-04-07T00:00:00"/>
    <n v="13.5"/>
    <n v="13.5"/>
    <s v="Изучение материалов по проекту разработки MVP для СмартТехСол"/>
    <d v="2025-05-05T00:00:00"/>
    <m/>
    <n v="1077.5862068181818"/>
    <n v="14547.413792045454"/>
    <x v="3"/>
  </r>
  <r>
    <n v="402385"/>
    <x v="0"/>
    <n v="52952"/>
    <x v="0"/>
    <s v="Работа"/>
    <d v="2025-04-07T00:00:00"/>
    <n v="8"/>
    <n v="8"/>
    <s v="Изучение настройки Kafka, Debezium и настройка на локальной виртуальной машине"/>
    <d v="2025-04-09T00:00:00"/>
    <m/>
    <n v="2011.494252840909"/>
    <n v="16091.954022727272"/>
    <x v="3"/>
  </r>
  <r>
    <n v="412378"/>
    <x v="16"/>
    <n v="47569"/>
    <x v="6"/>
    <s v="Работа"/>
    <d v="2025-04-07T00:00:00"/>
    <n v="8"/>
    <n v="8"/>
    <s v="."/>
    <d v="2025-04-30T00:00:00"/>
    <m/>
    <n v="574.71264374999998"/>
    <n v="4597.7011499999999"/>
    <x v="3"/>
  </r>
  <r>
    <n v="402934"/>
    <x v="17"/>
    <n v="53040"/>
    <x v="7"/>
    <s v="Работа"/>
    <d v="2025-04-07T00:00:00"/>
    <n v="1.5"/>
    <n v="1.5"/>
    <s v="тестирование"/>
    <d v="2025-04-10T00:00:00"/>
    <m/>
    <n v="1724.1379312500001"/>
    <n v="2586.206896875"/>
    <x v="3"/>
  </r>
  <r>
    <n v="403703"/>
    <x v="17"/>
    <n v="53094"/>
    <x v="9"/>
    <s v="Работа"/>
    <d v="2025-04-07T00:00:00"/>
    <n v="70"/>
    <n v="70"/>
    <s v="#53094 - внутренняя коммуникация, демо"/>
    <d v="2025-04-12T00:00:00"/>
    <m/>
    <n v="1436.7816090909091"/>
    <n v="100574.71263636363"/>
    <x v="3"/>
  </r>
  <r>
    <n v="403704"/>
    <x v="3"/>
    <n v="21152"/>
    <x v="9"/>
    <s v="Внутренняя деятельность"/>
    <d v="2025-04-07T00:00:00"/>
    <n v="20"/>
    <n v="20"/>
    <s v="Спутники, ЛК, обсуждение"/>
    <d v="2025-04-12T00:00:00"/>
    <m/>
    <n v="1436.7816090909091"/>
    <n v="28735.632181818182"/>
    <x v="3"/>
  </r>
  <r>
    <n v="401439"/>
    <x v="10"/>
    <n v="52830"/>
    <x v="14"/>
    <s v="Работа"/>
    <d v="2025-04-05T00:00:00"/>
    <n v="15"/>
    <n v="15"/>
    <s v="Проведение диктанта"/>
    <d v="2025-04-07T00:00:00"/>
    <m/>
    <n v="1616.3793102272728"/>
    <n v="24245.689653409092"/>
    <x v="3"/>
  </r>
  <r>
    <n v="400926"/>
    <x v="16"/>
    <n v="47572"/>
    <x v="8"/>
    <s v="Работа"/>
    <d v="2025-04-04T00:00:00"/>
    <n v="1"/>
    <n v="1"/>
    <s v="Созвон с командой"/>
    <d v="2025-04-04T00:00:00"/>
    <m/>
    <n v="1077.5862068181818"/>
    <n v="1077.5862068181818"/>
    <x v="3"/>
  </r>
  <r>
    <n v="400927"/>
    <x v="16"/>
    <n v="47569"/>
    <x v="8"/>
    <s v="Работа"/>
    <d v="2025-04-04T00:00:00"/>
    <n v="7.5"/>
    <n v="7.5"/>
    <s v="backend: интеграция генератора шаблона, настройка для импорта элементов дома"/>
    <d v="2025-04-04T00:00:00"/>
    <m/>
    <n v="1077.5862068181818"/>
    <n v="8081.896551136364"/>
    <x v="3"/>
  </r>
  <r>
    <n v="403762"/>
    <x v="16"/>
    <n v="47572"/>
    <x v="13"/>
    <s v="Работа"/>
    <d v="2025-04-04T00:00:00"/>
    <n v="0.5"/>
    <n v="0.5"/>
    <s v="дейл"/>
    <d v="2025-04-13T00:00:00"/>
    <m/>
    <n v="1418"/>
    <n v="709"/>
    <x v="3"/>
  </r>
  <r>
    <n v="403769"/>
    <x v="16"/>
    <n v="47614"/>
    <x v="13"/>
    <s v="Работа"/>
    <d v="2025-04-04T00:00:00"/>
    <n v="6"/>
    <n v="6"/>
    <n v="1573"/>
    <d v="2025-04-13T00:00:00"/>
    <m/>
    <n v="1418"/>
    <n v="8508"/>
    <x v="3"/>
  </r>
  <r>
    <n v="406884"/>
    <x v="16"/>
    <n v="47537"/>
    <x v="16"/>
    <s v="Работа"/>
    <d v="2025-04-04T00:00:00"/>
    <n v="4"/>
    <n v="4"/>
    <s v="Обсуждали оценку"/>
    <d v="2025-04-21T00:00:00"/>
    <m/>
    <n v="1077.5862068181818"/>
    <n v="4310.3448272727273"/>
    <x v="3"/>
  </r>
  <r>
    <n v="401056"/>
    <x v="9"/>
    <n v="51262"/>
    <x v="0"/>
    <s v="Работа"/>
    <d v="2025-04-04T00:00:00"/>
    <n v="23"/>
    <n v="23"/>
    <s v="Решение задач заказчика"/>
    <d v="2025-04-06T00:00:00"/>
    <m/>
    <n v="2011.494252840909"/>
    <n v="46264.367815340906"/>
    <x v="3"/>
  </r>
  <r>
    <n v="401057"/>
    <x v="0"/>
    <n v="52508"/>
    <x v="0"/>
    <s v="Работа"/>
    <d v="2025-04-04T00:00:00"/>
    <n v="7"/>
    <n v="7"/>
    <s v="Погржение в проект. Изуение обратной интеграции. Изучение интеграции с кафкой."/>
    <d v="2025-04-06T00:00:00"/>
    <m/>
    <n v="2011.494252840909"/>
    <n v="14080.459769886364"/>
    <x v="3"/>
  </r>
  <r>
    <n v="411814"/>
    <x v="16"/>
    <n v="52114"/>
    <x v="5"/>
    <s v="Работа"/>
    <d v="2025-04-04T00:00:00"/>
    <n v="8"/>
    <n v="8"/>
    <s v="Testing"/>
    <d v="2025-04-30T00:00:00"/>
    <m/>
    <n v="431.03448295454547"/>
    <n v="3448.2758636363637"/>
    <x v="3"/>
  </r>
  <r>
    <n v="415177"/>
    <x v="16"/>
    <n v="47569"/>
    <x v="6"/>
    <s v="Работа"/>
    <d v="2025-04-04T00:00:00"/>
    <n v="8"/>
    <n v="8"/>
    <s v="."/>
    <d v="2025-05-07T00:00:00"/>
    <m/>
    <n v="574.71264374999998"/>
    <n v="4597.7011499999999"/>
    <x v="3"/>
  </r>
  <r>
    <n v="402383"/>
    <x v="0"/>
    <n v="52951"/>
    <x v="0"/>
    <s v="Работа"/>
    <d v="2025-04-04T00:00:00"/>
    <n v="3"/>
    <n v="3"/>
    <s v="Изучение обратной интеграции. Помощь Лидии в решении проблемы с обратной интеграцией"/>
    <d v="2025-04-09T00:00:00"/>
    <m/>
    <n v="2011.494252840909"/>
    <n v="6034.4827585227267"/>
    <x v="3"/>
  </r>
  <r>
    <n v="402403"/>
    <x v="10"/>
    <n v="50787"/>
    <x v="14"/>
    <s v="Работа"/>
    <d v="2025-04-04T00:00:00"/>
    <n v="1"/>
    <n v="1"/>
    <s v="Добавить текст про лимит при начислении баллов на странице диктанта"/>
    <d v="2025-04-09T00:00:00"/>
    <m/>
    <n v="1616.3793102272728"/>
    <n v="1616.3793102272728"/>
    <x v="3"/>
  </r>
  <r>
    <n v="402404"/>
    <x v="10"/>
    <n v="52830"/>
    <x v="14"/>
    <s v="Работа"/>
    <d v="2025-04-04T00:00:00"/>
    <n v="4"/>
    <n v="4"/>
    <s v="Сообщение о блокикровки аккаунта"/>
    <d v="2025-04-09T00:00:00"/>
    <m/>
    <n v="1616.3793102272728"/>
    <n v="6465.517240909091"/>
    <x v="3"/>
  </r>
  <r>
    <n v="432102"/>
    <x v="8"/>
    <n v="54160"/>
    <x v="2"/>
    <s v="Работа"/>
    <d v="2025-04-04T00:00:00"/>
    <n v="8"/>
    <n v="8"/>
    <s v="Оценка требований, обсуждение с заказчиком"/>
    <d v="2025-06-27T00:00:00"/>
    <m/>
    <n v="718.39080454545456"/>
    <n v="5747.1264363636365"/>
    <x v="3"/>
  </r>
  <r>
    <n v="402933"/>
    <x v="17"/>
    <n v="53042"/>
    <x v="7"/>
    <s v="Работа"/>
    <d v="2025-04-04T00:00:00"/>
    <n v="2.25"/>
    <n v="2.25"/>
    <s v="доработка системы сборки метрик "/>
    <d v="2025-04-10T00:00:00"/>
    <m/>
    <n v="1724.1379312500001"/>
    <n v="3879.3103453125"/>
    <x v="3"/>
  </r>
  <r>
    <n v="410621"/>
    <x v="9"/>
    <n v="51263"/>
    <x v="11"/>
    <s v="Работа"/>
    <d v="2025-04-04T00:00:00"/>
    <n v="8"/>
    <n v="8"/>
    <s v="Изменил ендроинт '/user-loyalty'. Добавил в крон (accrualDeductionPointsCron) обработку статуса CANCELED_BY_CLIENT и возвращение баллов если они списывались и заказ был отменен"/>
    <d v="2025-04-28T00:00:00"/>
    <m/>
    <n v="574.71264374999998"/>
    <n v="4597.7011499999999"/>
    <x v="3"/>
  </r>
  <r>
    <n v="400925"/>
    <x v="16"/>
    <n v="47569"/>
    <x v="8"/>
    <s v="Работа"/>
    <d v="2025-04-03T00:00:00"/>
    <n v="3"/>
    <n v="3"/>
    <s v="backend: интеграция генератора шаблона, настройка для импорта элементов дома"/>
    <d v="2025-04-04T00:00:00"/>
    <m/>
    <n v="1077.5862068181818"/>
    <n v="3232.7586204545455"/>
    <x v="3"/>
  </r>
  <r>
    <n v="403768"/>
    <x v="16"/>
    <n v="47614"/>
    <x v="13"/>
    <s v="Работа"/>
    <d v="2025-04-03T00:00:00"/>
    <n v="3"/>
    <n v="3"/>
    <n v="1573"/>
    <d v="2025-04-13T00:00:00"/>
    <m/>
    <n v="1418"/>
    <n v="4254"/>
    <x v="3"/>
  </r>
  <r>
    <n v="442450"/>
    <x v="15"/>
    <n v="54696"/>
    <x v="15"/>
    <s v="Работа"/>
    <d v="2025-04-03T00:00:00"/>
    <n v="1"/>
    <n v="1"/>
    <s v="Корректировка ссылок в header и footer &quot;Калькулятор амортизационного износа&quot; (потолок и подвал страницы) в соответствие с главной страницей сайта."/>
    <d v="2025-07-24T00:00:00"/>
    <m/>
    <n v="359.19540227272728"/>
    <n v="359.19540227272728"/>
    <x v="3"/>
  </r>
  <r>
    <n v="442451"/>
    <x v="15"/>
    <n v="54696"/>
    <x v="9"/>
    <s v="Работа"/>
    <d v="2025-04-03T00:00:00"/>
    <n v="1"/>
    <n v="1"/>
    <s v="1ч - 1739 - корректировка ссылок Публикация на стейдж сервере &quot;Калькулятор амортизационного износа&quot;"/>
    <d v="2025-07-24T00:00:00"/>
    <m/>
    <n v="1436.7816090909091"/>
    <n v="1436.7816090909091"/>
    <x v="3"/>
  </r>
  <r>
    <n v="442452"/>
    <x v="15"/>
    <n v="54696"/>
    <x v="9"/>
    <s v="Работа"/>
    <d v="2025-04-03T00:00:00"/>
    <n v="1"/>
    <n v="1"/>
    <s v="1 ч - 1794 - корректировки ссылок Тестирование работоспособности &quot;Калькулятор амортизационного износа&quot;"/>
    <d v="2025-07-24T00:00:00"/>
    <m/>
    <n v="1436.7816090909091"/>
    <n v="1436.7816090909091"/>
    <x v="3"/>
  </r>
  <r>
    <n v="442453"/>
    <x v="15"/>
    <n v="54696"/>
    <x v="9"/>
    <s v="Работа"/>
    <d v="2025-04-03T00:00:00"/>
    <n v="1"/>
    <n v="1"/>
    <s v="1ч - 1795 - корректировка ссылок Публикация на прод сервере &quot;Калькулятор амортизационного износа&quot;"/>
    <d v="2025-07-24T00:00:00"/>
    <m/>
    <n v="1436.7816090909091"/>
    <n v="1436.7816090909091"/>
    <x v="3"/>
  </r>
  <r>
    <n v="442454"/>
    <x v="15"/>
    <n v="54696"/>
    <x v="9"/>
    <s v="Работа"/>
    <d v="2025-04-03T00:00:00"/>
    <n v="1"/>
    <n v="1"/>
    <s v="1 ч - 1798 - корректировка ссылок Публикация на стейдж сервере &quot;Анкет страхования&quot;"/>
    <d v="2025-07-24T00:00:00"/>
    <m/>
    <n v="1436.7816090909091"/>
    <n v="1436.7816090909091"/>
    <x v="3"/>
  </r>
  <r>
    <n v="442455"/>
    <x v="15"/>
    <n v="54696"/>
    <x v="9"/>
    <s v="Работа"/>
    <d v="2025-04-03T00:00:00"/>
    <n v="1"/>
    <n v="1"/>
    <s v="1ч - 1799 - корректировка ссылок Тестирование работоспособности &quot;Анкет страхования&quot;"/>
    <d v="2025-07-24T00:00:00"/>
    <m/>
    <n v="1436.7816090909091"/>
    <n v="1436.7816090909091"/>
    <x v="3"/>
  </r>
  <r>
    <n v="442456"/>
    <x v="15"/>
    <n v="54696"/>
    <x v="9"/>
    <s v="Работа"/>
    <d v="2025-04-03T00:00:00"/>
    <n v="1"/>
    <n v="1"/>
    <s v="1ч - 1800 - корректировка ссылок Публикация на прод сервере &quot;Анкет страхования&quot;"/>
    <d v="2025-07-24T00:00:00"/>
    <m/>
    <n v="1436.7816090909091"/>
    <n v="1436.7816090909091"/>
    <x v="3"/>
  </r>
  <r>
    <n v="406883"/>
    <x v="16"/>
    <n v="47537"/>
    <x v="16"/>
    <s v="Работа"/>
    <d v="2025-04-03T00:00:00"/>
    <n v="2"/>
    <n v="2"/>
    <s v="Обсуждали оценку"/>
    <d v="2025-04-21T00:00:00"/>
    <m/>
    <n v="1077.5862068181818"/>
    <n v="2155.1724136363637"/>
    <x v="3"/>
  </r>
  <r>
    <n v="400280"/>
    <x v="16"/>
    <n v="47569"/>
    <x v="8"/>
    <s v="Работа"/>
    <d v="2025-04-03T00:00:00"/>
    <n v="5"/>
    <n v="5"/>
    <s v="backend: интеграция генератора шаблона, настройка для импорта элементов дома"/>
    <d v="2025-04-03T00:00:00"/>
    <m/>
    <n v="1077.5862068181818"/>
    <n v="5387.9310340909087"/>
    <x v="3"/>
  </r>
  <r>
    <n v="400289"/>
    <x v="9"/>
    <n v="51263"/>
    <x v="11"/>
    <s v="Работа"/>
    <d v="2025-04-03T00:00:00"/>
    <n v="8"/>
    <n v="8"/>
    <s v="добавил HistoryOrdersResponseDto, LoyaltyLevelDto, UserLoyaltyLevelResponseDto. Добавил контроллер для обработки запросов в Loyalty.service и вынес все связанное с лояльностью в отдельный модуль. Добавил контроллер для получения списка всех уровней лояльности. Добавил в логику создания заказа снятие баллов и изменил логику начисления. Также в крон accrualDeductionPointsCron добавлен еще один статус для обработки. В Order добавил поле isDeductionPoints"/>
    <d v="2025-04-03T00:00:00"/>
    <m/>
    <n v="574.71264374999998"/>
    <n v="4597.7011499999999"/>
    <x v="3"/>
  </r>
  <r>
    <n v="411813"/>
    <x v="16"/>
    <n v="52114"/>
    <x v="5"/>
    <s v="Работа"/>
    <d v="2025-04-03T00:00:00"/>
    <n v="8"/>
    <n v="8"/>
    <s v="Testing"/>
    <d v="2025-04-30T00:00:00"/>
    <m/>
    <n v="431.03448295454547"/>
    <n v="3448.2758636363637"/>
    <x v="3"/>
  </r>
  <r>
    <n v="400823"/>
    <x v="16"/>
    <n v="47537"/>
    <x v="7"/>
    <s v="Работа"/>
    <d v="2025-04-03T00:00:00"/>
    <n v="1.5"/>
    <n v="1.5"/>
    <s v="обсуждение оценок"/>
    <d v="2025-04-04T00:00:00"/>
    <m/>
    <n v="1724.1379312500001"/>
    <n v="2586.206896875"/>
    <x v="3"/>
  </r>
  <r>
    <n v="400825"/>
    <x v="16"/>
    <n v="47570"/>
    <x v="7"/>
    <s v="Работа"/>
    <d v="2025-04-03T00:00:00"/>
    <n v="1"/>
    <n v="1"/>
    <s v="ревью кода"/>
    <d v="2025-04-04T00:00:00"/>
    <m/>
    <n v="1724.1379312500001"/>
    <n v="1724.1379312500001"/>
    <x v="3"/>
  </r>
  <r>
    <n v="415176"/>
    <x v="16"/>
    <n v="47569"/>
    <x v="6"/>
    <s v="Работа"/>
    <d v="2025-04-03T00:00:00"/>
    <n v="32"/>
    <n v="32"/>
    <s v="."/>
    <d v="2025-05-07T00:00:00"/>
    <m/>
    <n v="574.71264374999998"/>
    <n v="18390.804599999999"/>
    <x v="3"/>
  </r>
  <r>
    <n v="402401"/>
    <x v="10"/>
    <n v="52828"/>
    <x v="14"/>
    <s v="Работа"/>
    <d v="2025-04-03T00:00:00"/>
    <n v="5"/>
    <n v="5"/>
    <s v="Настройка серверов подготовка"/>
    <d v="2025-04-09T00:00:00"/>
    <m/>
    <n v="1616.3793102272728"/>
    <n v="8081.896551136364"/>
    <x v="3"/>
  </r>
  <r>
    <n v="402402"/>
    <x v="10"/>
    <n v="50787"/>
    <x v="14"/>
    <s v="Работа"/>
    <d v="2025-04-03T00:00:00"/>
    <n v="1.5"/>
    <n v="1.5"/>
    <s v="Время на серверах и в коде Москва"/>
    <d v="2025-04-09T00:00:00"/>
    <m/>
    <n v="1616.3793102272728"/>
    <n v="2424.568965340909"/>
    <x v="3"/>
  </r>
  <r>
    <n v="432101"/>
    <x v="8"/>
    <n v="54160"/>
    <x v="2"/>
    <s v="Работа"/>
    <d v="2025-04-03T00:00:00"/>
    <n v="8"/>
    <n v="8"/>
    <s v="Оценка требований, обсуждение с заказчиком"/>
    <d v="2025-06-27T00:00:00"/>
    <m/>
    <n v="718.39080454545456"/>
    <n v="5747.1264363636365"/>
    <x v="3"/>
  </r>
  <r>
    <n v="402932"/>
    <x v="17"/>
    <n v="53040"/>
    <x v="7"/>
    <s v="Работа"/>
    <d v="2025-04-03T00:00:00"/>
    <n v="3.05"/>
    <n v="3.05"/>
    <s v="доработки"/>
    <d v="2025-04-10T00:00:00"/>
    <m/>
    <n v="1724.1379312500001"/>
    <n v="5258.6206903125003"/>
    <x v="3"/>
  </r>
  <r>
    <n v="403760"/>
    <x v="16"/>
    <n v="47572"/>
    <x v="13"/>
    <s v="Работа"/>
    <d v="2025-04-02T00:00:00"/>
    <n v="0.5"/>
    <n v="0.5"/>
    <s v="дейл"/>
    <d v="2025-04-13T00:00:00"/>
    <m/>
    <n v="1418"/>
    <n v="709"/>
    <x v="3"/>
  </r>
  <r>
    <n v="403767"/>
    <x v="16"/>
    <n v="47614"/>
    <x v="13"/>
    <s v="Работа"/>
    <d v="2025-04-02T00:00:00"/>
    <n v="1"/>
    <n v="1"/>
    <s v="1567, траблшутинг"/>
    <d v="2025-04-13T00:00:00"/>
    <m/>
    <n v="1418"/>
    <n v="1418"/>
    <x v="3"/>
  </r>
  <r>
    <n v="399711"/>
    <x v="16"/>
    <n v="47570"/>
    <x v="7"/>
    <s v="Работа"/>
    <d v="2025-04-02T00:00:00"/>
    <n v="2.75"/>
    <n v="2.75"/>
    <s v="ревью"/>
    <d v="2025-04-02T00:00:00"/>
    <m/>
    <n v="1724.1379312500001"/>
    <n v="4741.3793109375001"/>
    <x v="3"/>
  </r>
  <r>
    <n v="399712"/>
    <x v="16"/>
    <n v="47537"/>
    <x v="7"/>
    <s v="Работа"/>
    <d v="2025-04-02T00:00:00"/>
    <n v="1"/>
    <n v="1"/>
    <s v="предварительный анализ баг репортов от заказчика"/>
    <d v="2025-04-02T00:00:00"/>
    <m/>
    <n v="1724.1379312500001"/>
    <n v="1724.1379312500001"/>
    <x v="3"/>
  </r>
  <r>
    <n v="399713"/>
    <x v="16"/>
    <n v="47572"/>
    <x v="7"/>
    <s v="Работа"/>
    <d v="2025-04-02T00:00:00"/>
    <n v="1.25"/>
    <n v="1.25"/>
    <s v="коммуникация с разработчиками"/>
    <d v="2025-04-02T00:00:00"/>
    <m/>
    <n v="1724.1379312500001"/>
    <n v="2155.1724140625001"/>
    <x v="3"/>
  </r>
  <r>
    <n v="399714"/>
    <x v="16"/>
    <n v="50244"/>
    <x v="7"/>
    <s v="Работа"/>
    <d v="2025-04-02T00:00:00"/>
    <n v="1"/>
    <n v="1"/>
    <s v="освобождение места fury"/>
    <d v="2025-04-02T00:00:00"/>
    <m/>
    <n v="1724.1379312500001"/>
    <n v="1724.1379312500001"/>
    <x v="3"/>
  </r>
  <r>
    <n v="432262"/>
    <x v="19"/>
    <n v="52540"/>
    <x v="3"/>
    <s v="Работа"/>
    <d v="2025-04-02T00:00:00"/>
    <n v="154"/>
    <n v="154"/>
    <s v="Разработка Producer"/>
    <d v="2025-06-28T00:00:00"/>
    <m/>
    <n v="933.90804602272726"/>
    <n v="143821.8390875"/>
    <x v="3"/>
  </r>
  <r>
    <n v="399763"/>
    <x v="9"/>
    <n v="51263"/>
    <x v="11"/>
    <s v="Работа"/>
    <d v="2025-04-02T00:00:00"/>
    <n v="10"/>
    <n v="10"/>
    <s v="Добавил POST ендпоинт '/points/apply' для применения баллов к заказу, логику авнес в класс LoyaltyLevelService, туда же вынес крон для начисления и списания баллов. Добавил ApplyPointsRequestDto, PointsPriceDto, ApplyPointsResponseDto. В CreateOrderDto и Order добавил поле deductionPoints для списания баллов. Подправил файл CertificateService, т.к. если couponPrice равен 0 (при оплате данного товара баллами) то в skuPrice будет price."/>
    <d v="2025-04-02T00:00:00"/>
    <m/>
    <n v="574.71264374999998"/>
    <n v="5747.1264375000001"/>
    <x v="3"/>
  </r>
  <r>
    <n v="399764"/>
    <x v="16"/>
    <n v="47572"/>
    <x v="8"/>
    <s v="Работа"/>
    <d v="2025-04-02T00:00:00"/>
    <n v="1"/>
    <n v="1"/>
    <s v="Созвон с командой"/>
    <d v="2025-04-02T00:00:00"/>
    <m/>
    <n v="1077.5862068181818"/>
    <n v="1077.5862068181818"/>
    <x v="3"/>
  </r>
  <r>
    <n v="399765"/>
    <x v="16"/>
    <n v="47569"/>
    <x v="8"/>
    <s v="Работа"/>
    <d v="2025-04-02T00:00:00"/>
    <n v="8"/>
    <n v="8"/>
    <s v="backend: реализовать endpoint для обработки запроса на создание дома через шаблон"/>
    <d v="2025-04-02T00:00:00"/>
    <m/>
    <n v="1077.5862068181818"/>
    <n v="8620.6896545454547"/>
    <x v="3"/>
  </r>
  <r>
    <n v="411812"/>
    <x v="16"/>
    <n v="52114"/>
    <x v="5"/>
    <s v="Работа"/>
    <d v="2025-04-02T00:00:00"/>
    <n v="8"/>
    <n v="8"/>
    <s v="Testing"/>
    <d v="2025-04-30T00:00:00"/>
    <m/>
    <n v="431.03448295454547"/>
    <n v="3448.2758636363637"/>
    <x v="3"/>
  </r>
  <r>
    <n v="415175"/>
    <x v="16"/>
    <n v="47570"/>
    <x v="6"/>
    <s v="Работа"/>
    <d v="2025-04-02T00:00:00"/>
    <n v="8"/>
    <n v="8"/>
    <s v="."/>
    <d v="2025-05-07T00:00:00"/>
    <m/>
    <n v="574.71264374999998"/>
    <n v="4597.7011499999999"/>
    <x v="3"/>
  </r>
  <r>
    <n v="402400"/>
    <x v="10"/>
    <n v="52830"/>
    <x v="14"/>
    <s v="Работа"/>
    <d v="2025-04-02T00:00:00"/>
    <n v="3"/>
    <n v="3"/>
    <s v="Системное администрирование"/>
    <d v="2025-04-09T00:00:00"/>
    <m/>
    <n v="1616.3793102272728"/>
    <n v="4849.137930681818"/>
    <x v="3"/>
  </r>
  <r>
    <n v="432100"/>
    <x v="8"/>
    <n v="54160"/>
    <x v="2"/>
    <s v="Работа"/>
    <d v="2025-04-02T00:00:00"/>
    <n v="8"/>
    <n v="8"/>
    <s v="Оценка требований, обсуждение с заказчиком"/>
    <d v="2025-06-27T00:00:00"/>
    <m/>
    <n v="718.39080454545456"/>
    <n v="5747.1264363636365"/>
    <x v="3"/>
  </r>
  <r>
    <n v="402931"/>
    <x v="17"/>
    <n v="53039"/>
    <x v="7"/>
    <s v="Работа"/>
    <d v="2025-04-02T00:00:00"/>
    <n v="2"/>
    <n v="2"/>
    <s v="установка ПО на сервера"/>
    <d v="2025-04-10T00:00:00"/>
    <m/>
    <n v="1724.1379312500001"/>
    <n v="3448.2758625000001"/>
    <x v="3"/>
  </r>
  <r>
    <n v="398592"/>
    <x v="0"/>
    <n v="52508"/>
    <x v="2"/>
    <s v="Работа"/>
    <d v="2025-04-01T00:00:00"/>
    <n v="8"/>
    <n v="8"/>
    <s v="Работа с проектом, изучение материалов"/>
    <d v="2025-04-01T00:00:00"/>
    <m/>
    <n v="718.39080454545456"/>
    <n v="5747.1264363636365"/>
    <x v="3"/>
  </r>
  <r>
    <n v="413952"/>
    <x v="2"/>
    <n v="34"/>
    <x v="15"/>
    <s v="Внутренняя деятельность"/>
    <d v="2025-04-01T00:00:00"/>
    <n v="32"/>
    <n v="32"/>
    <s v="Обучение."/>
    <d v="2025-05-05T00:00:00"/>
    <m/>
    <n v="359.19540227272728"/>
    <n v="11494.252872727273"/>
    <x v="3"/>
  </r>
  <r>
    <n v="398619"/>
    <x v="5"/>
    <n v="52500"/>
    <x v="10"/>
    <s v="Работа"/>
    <d v="2025-04-01T00:00:00"/>
    <n v="56"/>
    <n v="56"/>
    <s v="-"/>
    <d v="2025-04-01T00:00:00"/>
    <m/>
    <n v="1436.7816090909091"/>
    <n v="80459.77010909091"/>
    <x v="3"/>
  </r>
  <r>
    <n v="403757"/>
    <x v="16"/>
    <n v="47614"/>
    <x v="13"/>
    <s v="Работа"/>
    <d v="2025-04-01T00:00:00"/>
    <n v="2"/>
    <n v="2"/>
    <n v="1573"/>
    <d v="2025-04-13T00:00:00"/>
    <m/>
    <n v="1418"/>
    <n v="2836"/>
    <x v="3"/>
  </r>
  <r>
    <n v="403761"/>
    <x v="16"/>
    <n v="47572"/>
    <x v="13"/>
    <s v="Работа"/>
    <d v="2025-04-01T00:00:00"/>
    <n v="0.5"/>
    <n v="0.5"/>
    <s v="дейл"/>
    <d v="2025-04-13T00:00:00"/>
    <m/>
    <n v="1418"/>
    <n v="709"/>
    <x v="3"/>
  </r>
  <r>
    <n v="399158"/>
    <x v="16"/>
    <n v="47572"/>
    <x v="8"/>
    <s v="Работа"/>
    <d v="2025-04-01T00:00:00"/>
    <n v="1"/>
    <n v="1"/>
    <s v="Созвон с командой"/>
    <d v="2025-04-01T00:00:00"/>
    <m/>
    <n v="1077.5862068181818"/>
    <n v="1077.5862068181818"/>
    <x v="3"/>
  </r>
  <r>
    <n v="399159"/>
    <x v="16"/>
    <n v="47569"/>
    <x v="8"/>
    <s v="Работа"/>
    <d v="2025-04-01T00:00:00"/>
    <n v="7.5"/>
    <n v="7.5"/>
    <s v="backend: реализовать endpoint для обработки запроса на создание дома через шаблон"/>
    <d v="2025-04-01T00:00:00"/>
    <m/>
    <n v="1077.5862068181818"/>
    <n v="8081.896551136364"/>
    <x v="3"/>
  </r>
  <r>
    <n v="399176"/>
    <x v="9"/>
    <n v="51263"/>
    <x v="11"/>
    <s v="Работа"/>
    <d v="2025-04-01T00:00:00"/>
    <n v="8"/>
    <n v="8"/>
    <s v="Изменил GET ендпоинт '/loyalty_level'. Добавил в таблицу order 2 поля accrualPoints и isAccrualPoints для указания баллов которые будут начислены. Добавил крон для начисления и списания баллов при доставки заказа и при возврате товара"/>
    <d v="2025-04-01T00:00:00"/>
    <m/>
    <n v="574.71264374999998"/>
    <n v="4597.7011499999999"/>
    <x v="3"/>
  </r>
  <r>
    <n v="442457"/>
    <x v="15"/>
    <n v="54696"/>
    <x v="9"/>
    <s v="Работа"/>
    <d v="2025-04-01T00:00:00"/>
    <n v="1"/>
    <n v="1"/>
    <s v="1 ч - 1669 -Публикация на стейдж сервере &quot;Анкет страхования&quot;, корректировки от Елены перевода в футаре"/>
    <d v="2025-07-24T00:00:00"/>
    <m/>
    <n v="1436.7816090909091"/>
    <n v="1436.7816090909091"/>
    <x v="3"/>
  </r>
  <r>
    <n v="399706"/>
    <x v="16"/>
    <n v="47570"/>
    <x v="7"/>
    <s v="Работа"/>
    <d v="2025-04-01T00:00:00"/>
    <n v="2"/>
    <n v="2"/>
    <s v="ревью решений в бэкенде "/>
    <d v="2025-04-02T00:00:00"/>
    <m/>
    <n v="1724.1379312500001"/>
    <n v="3448.2758625000001"/>
    <x v="3"/>
  </r>
  <r>
    <n v="442458"/>
    <x v="15"/>
    <n v="54696"/>
    <x v="9"/>
    <s v="Работа"/>
    <d v="2025-04-01T00:00:00"/>
    <n v="1"/>
    <n v="1"/>
    <s v="1ч - 1671 - Публикация на прод сервере &quot;Анкет страхования&quot; корректировки от Елены по футару"/>
    <d v="2025-07-24T00:00:00"/>
    <m/>
    <n v="1436.7816090909091"/>
    <n v="1436.7816090909091"/>
    <x v="3"/>
  </r>
  <r>
    <n v="399707"/>
    <x v="16"/>
    <n v="47569"/>
    <x v="7"/>
    <s v="Работа"/>
    <d v="2025-04-01T00:00:00"/>
    <n v="4"/>
    <n v="4"/>
    <s v="1748 1750"/>
    <d v="2025-04-02T00:00:00"/>
    <m/>
    <n v="1724.1379312500001"/>
    <n v="6896.5517250000003"/>
    <x v="3"/>
  </r>
  <r>
    <n v="442459"/>
    <x v="15"/>
    <n v="52593"/>
    <x v="15"/>
    <s v="Работа"/>
    <d v="2025-04-01T00:00:00"/>
    <n v="1"/>
    <n v="1"/>
    <s v="Переместить смену языка с нижнего левого угла вверх, как на основном сайте, и убрать английский язык. Иконку  сделать по аналогии с иконкой на основном сайте."/>
    <d v="2025-07-24T00:00:00"/>
    <m/>
    <n v="359.19540227272728"/>
    <n v="359.19540227272728"/>
    <x v="3"/>
  </r>
  <r>
    <n v="442460"/>
    <x v="15"/>
    <n v="52593"/>
    <x v="15"/>
    <s v="Работа"/>
    <d v="2025-04-01T00:00:00"/>
    <n v="1"/>
    <n v="1"/>
    <s v="При нажатии на кнопку &quot;Создать заявку&quot; необходимо, чтобы страница с оформление заявки открывалась на той же вкладке, а не на отдельной."/>
    <d v="2025-07-24T00:00:00"/>
    <m/>
    <n v="359.19540227272728"/>
    <n v="359.19540227272728"/>
    <x v="3"/>
  </r>
  <r>
    <n v="399709"/>
    <x v="16"/>
    <n v="47572"/>
    <x v="7"/>
    <s v="Работа"/>
    <d v="2025-04-01T00:00:00"/>
    <n v="1.5"/>
    <n v="1.5"/>
    <s v="коммуникация с разработчиками"/>
    <d v="2025-04-02T00:00:00"/>
    <m/>
    <n v="1724.1379312500001"/>
    <n v="2586.206896875"/>
    <x v="3"/>
  </r>
  <r>
    <n v="406879"/>
    <x v="16"/>
    <n v="47537"/>
    <x v="16"/>
    <s v="Работа"/>
    <d v="2025-04-01T00:00:00"/>
    <n v="9"/>
    <n v="9"/>
    <s v="Составление писем заказчику"/>
    <d v="2025-04-21T00:00:00"/>
    <m/>
    <n v="1077.5862068181818"/>
    <n v="9698.2758613636361"/>
    <x v="3"/>
  </r>
  <r>
    <n v="411811"/>
    <x v="16"/>
    <n v="52114"/>
    <x v="5"/>
    <s v="Работа"/>
    <d v="2025-04-01T00:00:00"/>
    <n v="8"/>
    <n v="8"/>
    <s v="Testing"/>
    <d v="2025-04-30T00:00:00"/>
    <m/>
    <n v="431.03448295454547"/>
    <n v="3448.2758636363637"/>
    <x v="3"/>
  </r>
  <r>
    <n v="415173"/>
    <x v="16"/>
    <n v="47569"/>
    <x v="6"/>
    <s v="Работа"/>
    <d v="2025-04-01T00:00:00"/>
    <n v="8"/>
    <n v="8"/>
    <s v="."/>
    <d v="2025-05-07T00:00:00"/>
    <m/>
    <n v="574.71264374999998"/>
    <n v="4597.7011499999999"/>
    <x v="3"/>
  </r>
  <r>
    <n v="402399"/>
    <x v="10"/>
    <n v="52830"/>
    <x v="14"/>
    <s v="Работа"/>
    <d v="2025-04-01T00:00:00"/>
    <n v="6"/>
    <n v="6"/>
    <s v="Системное администрирование"/>
    <d v="2025-04-09T00:00:00"/>
    <m/>
    <n v="1616.3793102272728"/>
    <n v="9698.2758613636361"/>
    <x v="3"/>
  </r>
  <r>
    <n v="400619"/>
    <x v="9"/>
    <n v="51251"/>
    <x v="9"/>
    <s v="Работа"/>
    <d v="2025-04-01T00:00:00"/>
    <n v="7"/>
    <n v="7"/>
    <s v="траблшутинг проблемы https://projects-customdev.wone-it.ru/projects/tp-priedubiezhdai/work_packages/1741/activity"/>
    <d v="2025-04-04T00:00:00"/>
    <m/>
    <n v="1436.7816090909091"/>
    <n v="10057.471263636364"/>
    <x v="3"/>
  </r>
  <r>
    <n v="400621"/>
    <x v="16"/>
    <n v="47570"/>
    <x v="9"/>
    <s v="Работа"/>
    <d v="2025-04-01T00:00:00"/>
    <n v="26.5"/>
    <n v="26.5"/>
    <s v="#47570 - Ревью кода"/>
    <d v="2025-04-04T00:00:00"/>
    <m/>
    <n v="1436.7816090909091"/>
    <n v="38074.712640909092"/>
    <x v="3"/>
  </r>
  <r>
    <n v="402930"/>
    <x v="17"/>
    <n v="53039"/>
    <x v="7"/>
    <s v="Работа"/>
    <d v="2025-04-01T00:00:00"/>
    <n v="22"/>
    <n v="22"/>
    <s v="установка ПО на сервера"/>
    <d v="2025-04-10T00:00:00"/>
    <m/>
    <n v="1724.1379312500001"/>
    <n v="37931.034487500001"/>
    <x v="3"/>
  </r>
  <r>
    <n v="398598"/>
    <x v="5"/>
    <n v="52454"/>
    <x v="10"/>
    <s v="Работа"/>
    <d v="2025-03-31T00:00:00"/>
    <n v="37"/>
    <n v="37"/>
    <s v="Проверял Back end, разбирался по какой причине не прошло создание договоров и вручную запускал процессы, чтобы конкретные договоры досоздались"/>
    <d v="2025-04-01T00:00:00"/>
    <m/>
    <n v="1505.1997809523809"/>
    <n v="55692.391895238092"/>
    <x v="4"/>
  </r>
  <r>
    <n v="401451"/>
    <x v="16"/>
    <n v="47569"/>
    <x v="14"/>
    <s v="Работа"/>
    <d v="2025-03-31T00:00:00"/>
    <n v="6"/>
    <n v="6"/>
    <s v="Реализовал универсальный метод по работе с кастомными полями"/>
    <d v="2025-04-07T00:00:00"/>
    <m/>
    <n v="1693.3497535714287"/>
    <n v="10160.098521428572"/>
    <x v="4"/>
  </r>
  <r>
    <n v="401452"/>
    <x v="16"/>
    <n v="47591"/>
    <x v="14"/>
    <s v="Работа"/>
    <d v="2025-03-31T00:00:00"/>
    <n v="2"/>
    <n v="2"/>
    <s v="Различные созвоны по ревью"/>
    <d v="2025-04-07T00:00:00"/>
    <m/>
    <n v="1693.3497535714287"/>
    <n v="3386.6995071428573"/>
    <x v="4"/>
  </r>
  <r>
    <n v="442462"/>
    <x v="15"/>
    <n v="52593"/>
    <x v="15"/>
    <s v="Работа"/>
    <d v="2025-03-31T00:00:00"/>
    <n v="8"/>
    <n v="8"/>
    <s v="Страницы личного кабинета (страховые случаи по пяти обязательным классам страхования), которые не переведены на казахский язык, необходимо сделать еще на казахском языке после получения текста перевода."/>
    <d v="2025-07-24T00:00:00"/>
    <m/>
    <n v="376.29994523809523"/>
    <n v="3010.3995619047619"/>
    <x v="4"/>
  </r>
  <r>
    <n v="442232"/>
    <x v="18"/>
    <n v="53726"/>
    <x v="4"/>
    <s v="Работа"/>
    <d v="2025-03-31T00:00:00"/>
    <n v="72"/>
    <n v="72"/>
    <s v="-"/>
    <d v="2025-07-24T00:00:00"/>
    <m/>
    <n v="1128.8998357142857"/>
    <n v="81280.788171428576"/>
    <x v="4"/>
  </r>
  <r>
    <n v="397448"/>
    <x v="0"/>
    <n v="52508"/>
    <x v="0"/>
    <s v="Работа"/>
    <d v="2025-03-31T00:00:00"/>
    <n v="3"/>
    <n v="3"/>
    <s v="Ревью ТЗ FBR-WIT-012_РЧ-выгрузка"/>
    <d v="2025-03-31T00:00:00"/>
    <m/>
    <n v="2107.2796934523808"/>
    <n v="6321.8390803571419"/>
    <x v="4"/>
  </r>
  <r>
    <n v="432270"/>
    <x v="2"/>
    <n v="29"/>
    <x v="5"/>
    <s v="Внутренняя деятельность"/>
    <d v="2025-03-31T00:00:00"/>
    <n v="80"/>
    <n v="80"/>
    <s v="-"/>
    <d v="2025-06-28T00:00:00"/>
    <m/>
    <n v="451.55993452380955"/>
    <n v="36124.794761904763"/>
    <x v="4"/>
  </r>
  <r>
    <n v="432292"/>
    <x v="2"/>
    <n v="29"/>
    <x v="14"/>
    <s v="Внутренняя деятельность"/>
    <d v="2025-03-31T00:00:00"/>
    <n v="40"/>
    <n v="40"/>
    <s v="-"/>
    <d v="2025-06-28T00:00:00"/>
    <m/>
    <n v="1693.3497535714287"/>
    <n v="67733.990142857147"/>
    <x v="4"/>
  </r>
  <r>
    <n v="432300"/>
    <x v="16"/>
    <n v="47569"/>
    <x v="17"/>
    <s v="Работа"/>
    <d v="2025-03-31T00:00:00"/>
    <n v="29"/>
    <n v="29"/>
    <s v="R&amp;amp;D"/>
    <d v="2025-06-28T00:00:00"/>
    <m/>
    <n v="1354.6798029761903"/>
    <n v="39285.714286309521"/>
    <x v="4"/>
  </r>
  <r>
    <n v="398275"/>
    <x v="16"/>
    <n v="47614"/>
    <x v="13"/>
    <s v="Работа"/>
    <d v="2025-03-31T00:00:00"/>
    <n v="2"/>
    <n v="2"/>
    <n v="1719"/>
    <d v="2025-03-31T00:00:00"/>
    <m/>
    <n v="1418"/>
    <n v="2836"/>
    <x v="4"/>
  </r>
  <r>
    <n v="398276"/>
    <x v="16"/>
    <n v="47614"/>
    <x v="13"/>
    <s v="Работа"/>
    <d v="2025-03-31T00:00:00"/>
    <n v="4"/>
    <n v="4"/>
    <n v="1735"/>
    <d v="2025-03-31T00:00:00"/>
    <m/>
    <n v="1418"/>
    <n v="5672"/>
    <x v="4"/>
  </r>
  <r>
    <n v="398057"/>
    <x v="9"/>
    <n v="51263"/>
    <x v="11"/>
    <s v="Работа"/>
    <d v="2025-03-31T00:00:00"/>
    <n v="8"/>
    <n v="8"/>
    <s v="Создал таблицы LoyaltyLevel UserLoyaltyLevel и миграционный файл. Написал GET ендпоинт '/loyalty_level' (не тестировал)"/>
    <d v="2025-03-31T00:00:00"/>
    <m/>
    <n v="602.07991249999998"/>
    <n v="4816.6392999999998"/>
    <x v="4"/>
  </r>
  <r>
    <n v="432116"/>
    <x v="22"/>
    <n v="55514"/>
    <x v="2"/>
    <s v="Работа"/>
    <d v="2025-03-31T00:00:00"/>
    <n v="144"/>
    <n v="144"/>
    <s v="estimates"/>
    <d v="2025-06-27T00:00:00"/>
    <m/>
    <n v="752.59989047619047"/>
    <n v="108374.38422857143"/>
    <x v="4"/>
  </r>
  <r>
    <n v="398073"/>
    <x v="16"/>
    <n v="47572"/>
    <x v="8"/>
    <s v="Работа"/>
    <d v="2025-03-31T00:00:00"/>
    <n v="1"/>
    <n v="1"/>
    <s v="Созвон с командой"/>
    <d v="2025-03-31T00:00:00"/>
    <m/>
    <n v="1128.8998357142857"/>
    <n v="1128.8998357142857"/>
    <x v="4"/>
  </r>
  <r>
    <n v="398074"/>
    <x v="16"/>
    <n v="47569"/>
    <x v="8"/>
    <s v="Работа"/>
    <d v="2025-03-31T00:00:00"/>
    <n v="7.5"/>
    <n v="7.5"/>
    <s v="backend: реализовать endpoint для обработки запроса на создание дома через шаблон"/>
    <d v="2025-03-31T00:00:00"/>
    <m/>
    <n v="1128.8998357142857"/>
    <n v="8466.7487678571433"/>
    <x v="4"/>
  </r>
  <r>
    <n v="398586"/>
    <x v="23"/>
    <n v="30334"/>
    <x v="10"/>
    <s v="Работа"/>
    <d v="2025-03-31T00:00:00"/>
    <n v="36"/>
    <n v="36"/>
    <s v="Новые типы документов, интеграция с ЕСБД"/>
    <d v="2025-04-01T00:00:00"/>
    <m/>
    <n v="1505.1997809523809"/>
    <n v="54187.192114285717"/>
    <x v="4"/>
  </r>
  <r>
    <n v="432125"/>
    <x v="22"/>
    <n v="55514"/>
    <x v="9"/>
    <s v="Работа"/>
    <d v="2025-03-31T00:00:00"/>
    <n v="17"/>
    <n v="17"/>
    <s v="Tech."/>
    <d v="2025-06-27T00:00:00"/>
    <m/>
    <n v="1505.1997809523809"/>
    <n v="25588.396276190477"/>
    <x v="4"/>
  </r>
  <r>
    <n v="398591"/>
    <x v="0"/>
    <n v="52508"/>
    <x v="2"/>
    <s v="Работа"/>
    <d v="2025-03-31T00:00:00"/>
    <n v="8"/>
    <n v="8"/>
    <s v="Работа с проектом, изучение материалов"/>
    <d v="2025-04-01T00:00:00"/>
    <m/>
    <n v="752.59989047619047"/>
    <n v="6020.7991238095237"/>
    <x v="4"/>
  </r>
  <r>
    <n v="398224"/>
    <x v="16"/>
    <n v="47614"/>
    <x v="13"/>
    <s v="Работа"/>
    <d v="2025-03-30T00:00:00"/>
    <n v="9"/>
    <n v="9"/>
    <n v="1567"/>
    <d v="2025-03-31T00:00:00"/>
    <m/>
    <n v="1418"/>
    <n v="12762"/>
    <x v="4"/>
  </r>
  <r>
    <n v="398222"/>
    <x v="16"/>
    <n v="47614"/>
    <x v="13"/>
    <s v="Работа"/>
    <d v="2025-03-29T00:00:00"/>
    <n v="8"/>
    <n v="8"/>
    <n v="1568"/>
    <d v="2025-03-31T00:00:00"/>
    <m/>
    <n v="1418"/>
    <n v="11344"/>
    <x v="4"/>
  </r>
  <r>
    <n v="401448"/>
    <x v="16"/>
    <n v="47570"/>
    <x v="14"/>
    <s v="Работа"/>
    <d v="2025-03-28T00:00:00"/>
    <n v="3"/>
    <n v="3"/>
    <s v="Дефект при редактирование справочника"/>
    <d v="2025-04-07T00:00:00"/>
    <m/>
    <n v="1693.3497535714287"/>
    <n v="5080.049260714286"/>
    <x v="4"/>
  </r>
  <r>
    <n v="401449"/>
    <x v="16"/>
    <n v="47537"/>
    <x v="14"/>
    <s v="Работа"/>
    <d v="2025-03-28T00:00:00"/>
    <n v="1"/>
    <n v="1"/>
    <s v="Показ спринта 8"/>
    <d v="2025-04-07T00:00:00"/>
    <m/>
    <n v="1693.3497535714287"/>
    <n v="1693.3497535714287"/>
    <x v="4"/>
  </r>
  <r>
    <n v="401450"/>
    <x v="10"/>
    <n v="52830"/>
    <x v="14"/>
    <s v="Работа"/>
    <d v="2025-03-28T00:00:00"/>
    <n v="5"/>
    <n v="5"/>
    <s v="техподдержка"/>
    <d v="2025-04-07T00:00:00"/>
    <m/>
    <n v="1693.3497535714287"/>
    <n v="8466.7487678571433"/>
    <x v="4"/>
  </r>
  <r>
    <n v="398162"/>
    <x v="16"/>
    <n v="47614"/>
    <x v="13"/>
    <s v="Работа"/>
    <d v="2025-03-28T00:00:00"/>
    <n v="0.5"/>
    <n v="0.5"/>
    <n v="1567"/>
    <d v="2025-03-31T00:00:00"/>
    <m/>
    <n v="1418"/>
    <n v="709"/>
    <x v="4"/>
  </r>
  <r>
    <n v="442463"/>
    <x v="15"/>
    <n v="52593"/>
    <x v="15"/>
    <s v="Работа"/>
    <d v="2025-03-28T00:00:00"/>
    <n v="8"/>
    <n v="8"/>
    <s v="Страницы личного кабинета (договоры по пяти обязательным классам страхования), которые не переведены на казахский язык, необходимо сделать еще на казахском языке после получения текста перевода."/>
    <d v="2025-07-24T00:00:00"/>
    <m/>
    <n v="376.29994523809523"/>
    <n v="3010.3995619047619"/>
    <x v="4"/>
  </r>
  <r>
    <n v="396654"/>
    <x v="16"/>
    <n v="47572"/>
    <x v="8"/>
    <s v="Работа"/>
    <d v="2025-03-28T00:00:00"/>
    <n v="1"/>
    <n v="1"/>
    <s v="Созвон с командой"/>
    <d v="2025-03-28T00:00:00"/>
    <m/>
    <n v="1128.8998357142857"/>
    <n v="1128.8998357142857"/>
    <x v="4"/>
  </r>
  <r>
    <n v="396655"/>
    <x v="16"/>
    <n v="47569"/>
    <x v="8"/>
    <s v="Работа"/>
    <d v="2025-03-28T00:00:00"/>
    <n v="7"/>
    <n v="7"/>
    <s v="backend: реализовать endpoint для обработки запроса на создание дома через шаблон"/>
    <d v="2025-03-28T00:00:00"/>
    <m/>
    <n v="1128.8998357142857"/>
    <n v="7902.2988500000001"/>
    <x v="4"/>
  </r>
  <r>
    <n v="398191"/>
    <x v="16"/>
    <n v="47614"/>
    <x v="13"/>
    <s v="Работа"/>
    <d v="2025-03-28T00:00:00"/>
    <n v="1.5"/>
    <n v="1.5"/>
    <s v="1570, Troubleshooting MR"/>
    <d v="2025-03-31T00:00:00"/>
    <m/>
    <n v="1418"/>
    <n v="2127"/>
    <x v="4"/>
  </r>
  <r>
    <n v="397441"/>
    <x v="16"/>
    <n v="47615"/>
    <x v="16"/>
    <s v="Работа"/>
    <d v="2025-03-28T00:00:00"/>
    <n v="1.5"/>
    <n v="1.5"/>
    <s v="Подробнее в Open Project"/>
    <d v="2025-03-31T00:00:00"/>
    <m/>
    <n v="1128.8998357142857"/>
    <n v="1693.3497535714287"/>
    <x v="4"/>
  </r>
  <r>
    <n v="397442"/>
    <x v="9"/>
    <n v="51262"/>
    <x v="0"/>
    <s v="Работа"/>
    <d v="2025-03-28T00:00:00"/>
    <n v="24"/>
    <n v="24"/>
    <s v="Решение задач заказчика по Предубеждай"/>
    <d v="2025-03-31T00:00:00"/>
    <m/>
    <n v="2107.2796934523808"/>
    <n v="50574.712642857136"/>
    <x v="4"/>
  </r>
  <r>
    <n v="432276"/>
    <x v="16"/>
    <n v="47614"/>
    <x v="12"/>
    <s v="Работа"/>
    <d v="2025-03-28T00:00:00"/>
    <n v="155"/>
    <n v="155"/>
    <s v="R&amp;amp;D"/>
    <d v="2025-06-28T00:00:00"/>
    <m/>
    <n v="1380"/>
    <n v="213900"/>
    <x v="4"/>
  </r>
  <r>
    <n v="398266"/>
    <x v="16"/>
    <n v="47614"/>
    <x v="13"/>
    <s v="Работа"/>
    <d v="2025-03-28T00:00:00"/>
    <n v="5"/>
    <n v="5"/>
    <n v="1565"/>
    <d v="2025-03-31T00:00:00"/>
    <m/>
    <n v="1418"/>
    <n v="7090"/>
    <x v="4"/>
  </r>
  <r>
    <n v="398271"/>
    <x v="16"/>
    <n v="47614"/>
    <x v="13"/>
    <s v="Работа"/>
    <d v="2025-03-28T00:00:00"/>
    <n v="0.5"/>
    <n v="0.5"/>
    <s v="Дейл с бек,ресёрч,  решение вопроса фильтрации"/>
    <d v="2025-03-31T00:00:00"/>
    <m/>
    <n v="1418"/>
    <n v="709"/>
    <x v="4"/>
  </r>
  <r>
    <n v="412377"/>
    <x v="16"/>
    <n v="47569"/>
    <x v="6"/>
    <s v="Работа"/>
    <d v="2025-03-28T00:00:00"/>
    <n v="8"/>
    <n v="8"/>
    <s v="."/>
    <d v="2025-04-30T00:00:00"/>
    <m/>
    <n v="602.07991249999998"/>
    <n v="4816.6392999999998"/>
    <x v="4"/>
  </r>
  <r>
    <n v="398059"/>
    <x v="2"/>
    <n v="17"/>
    <x v="11"/>
    <s v="Внутренняя деятельность"/>
    <d v="2025-03-28T00:00:00"/>
    <n v="8"/>
    <n v="8"/>
    <s v="Отпуск"/>
    <d v="2025-03-31T00:00:00"/>
    <m/>
    <n v="602.07991249999998"/>
    <n v="4816.6392999999998"/>
    <x v="4"/>
  </r>
  <r>
    <n v="398590"/>
    <x v="0"/>
    <n v="52508"/>
    <x v="2"/>
    <s v="Работа"/>
    <d v="2025-03-28T00:00:00"/>
    <n v="8"/>
    <n v="8"/>
    <s v="Работа с проектом, изучение материалов"/>
    <d v="2025-04-01T00:00:00"/>
    <m/>
    <n v="752.59989047619047"/>
    <n v="6020.7991238095237"/>
    <x v="4"/>
  </r>
  <r>
    <n v="396044"/>
    <x v="16"/>
    <n v="47569"/>
    <x v="8"/>
    <s v="Работа"/>
    <d v="2025-03-27T00:00:00"/>
    <n v="37"/>
    <n v="37"/>
    <s v="backend: реализовать endpoint для обработки запроса на создание дома через шаблон"/>
    <d v="2025-03-27T00:00:00"/>
    <m/>
    <n v="1128.8998357142857"/>
    <n v="41769.293921428573"/>
    <x v="4"/>
  </r>
  <r>
    <n v="398106"/>
    <x v="16"/>
    <n v="47572"/>
    <x v="13"/>
    <s v="Работа"/>
    <d v="2025-03-27T00:00:00"/>
    <n v="0.5"/>
    <n v="0.5"/>
    <s v="дейл"/>
    <d v="2025-03-31T00:00:00"/>
    <m/>
    <n v="1418"/>
    <n v="709"/>
    <x v="4"/>
  </r>
  <r>
    <n v="401444"/>
    <x v="16"/>
    <n v="47570"/>
    <x v="14"/>
    <s v="Работа"/>
    <d v="2025-03-27T00:00:00"/>
    <n v="3"/>
    <n v="3"/>
    <s v="Правки по ревью редактирование кастомного поля"/>
    <d v="2025-04-07T00:00:00"/>
    <m/>
    <n v="1693.3497535714287"/>
    <n v="5080.049260714286"/>
    <x v="4"/>
  </r>
  <r>
    <n v="401445"/>
    <x v="16"/>
    <n v="47569"/>
    <x v="14"/>
    <s v="Работа"/>
    <d v="2025-03-27T00:00:00"/>
    <n v="1"/>
    <n v="1"/>
    <s v="Удаление и восстановление кастомного поля"/>
    <d v="2025-04-07T00:00:00"/>
    <m/>
    <n v="1693.3497535714287"/>
    <n v="1693.3497535714287"/>
    <x v="4"/>
  </r>
  <r>
    <n v="401446"/>
    <x v="16"/>
    <n v="47570"/>
    <x v="14"/>
    <s v="Работа"/>
    <d v="2025-03-27T00:00:00"/>
    <n v="3"/>
    <n v="3"/>
    <s v="Ревью и правки по созданию кастомного поля"/>
    <d v="2025-04-07T00:00:00"/>
    <m/>
    <n v="1693.3497535714287"/>
    <n v="5080.049260714286"/>
    <x v="4"/>
  </r>
  <r>
    <n v="398169"/>
    <x v="16"/>
    <n v="47614"/>
    <x v="13"/>
    <s v="Работа"/>
    <d v="2025-03-27T00:00:00"/>
    <n v="0.5"/>
    <n v="0.5"/>
    <n v="1570"/>
    <d v="2025-03-31T00:00:00"/>
    <m/>
    <n v="1418"/>
    <n v="709"/>
    <x v="4"/>
  </r>
  <r>
    <n v="442464"/>
    <x v="15"/>
    <n v="52593"/>
    <x v="15"/>
    <s v="Работа"/>
    <d v="2025-03-27T00:00:00"/>
    <n v="8"/>
    <n v="8"/>
    <s v="Страницы личного кабинета (поданные заявки по пяти обязательным классам страхования), которые не переведены на казахский язык, необходимо сделать еще на казахском языке после получения текста перевода."/>
    <d v="2025-07-24T00:00:00"/>
    <m/>
    <n v="376.29994523809523"/>
    <n v="3010.3995619047619"/>
    <x v="4"/>
  </r>
  <r>
    <n v="397438"/>
    <x v="16"/>
    <n v="47615"/>
    <x v="16"/>
    <s v="Работа"/>
    <d v="2025-03-27T00:00:00"/>
    <n v="1"/>
    <n v="1"/>
    <s v="Подробнее в Open Project"/>
    <d v="2025-03-31T00:00:00"/>
    <m/>
    <n v="1128.8998357142857"/>
    <n v="1128.8998357142857"/>
    <x v="4"/>
  </r>
  <r>
    <n v="432256"/>
    <x v="22"/>
    <n v="55514"/>
    <x v="7"/>
    <s v="Работа"/>
    <d v="2025-03-27T00:00:00"/>
    <n v="44"/>
    <n v="44"/>
    <s v="R&amp;amp;D"/>
    <d v="2025-06-28T00:00:00"/>
    <m/>
    <n v="1806.2397375"/>
    <n v="79474.548450000002"/>
    <x v="4"/>
  </r>
  <r>
    <n v="432257"/>
    <x v="3"/>
    <n v="21152"/>
    <x v="7"/>
    <s v="Внутренняя деятельность"/>
    <d v="2025-03-27T00:00:00"/>
    <n v="16"/>
    <n v="16"/>
    <s v="R&amp;amp;D"/>
    <d v="2025-06-28T00:00:00"/>
    <m/>
    <n v="1806.2397375"/>
    <n v="28899.835800000001"/>
    <x v="4"/>
  </r>
  <r>
    <n v="395912"/>
    <x v="16"/>
    <n v="47572"/>
    <x v="8"/>
    <s v="Работа"/>
    <d v="2025-03-27T00:00:00"/>
    <n v="0.5"/>
    <n v="0.5"/>
    <s v="Созвон с командой"/>
    <d v="2025-03-27T00:00:00"/>
    <m/>
    <n v="1128.8998357142857"/>
    <n v="564.44991785714285"/>
    <x v="4"/>
  </r>
  <r>
    <n v="395923"/>
    <x v="16"/>
    <n v="47569"/>
    <x v="8"/>
    <s v="Работа"/>
    <d v="2025-03-27T00:00:00"/>
    <n v="5"/>
    <n v="5"/>
    <s v="интеграция генератора шаблона"/>
    <d v="2025-03-27T00:00:00"/>
    <m/>
    <n v="1128.8998357142857"/>
    <n v="5644.4991785714283"/>
    <x v="4"/>
  </r>
  <r>
    <n v="412375"/>
    <x v="16"/>
    <n v="47570"/>
    <x v="6"/>
    <s v="Работа"/>
    <d v="2025-03-27T00:00:00"/>
    <n v="8"/>
    <n v="8"/>
    <s v="."/>
    <d v="2025-04-30T00:00:00"/>
    <m/>
    <n v="602.07991249999998"/>
    <n v="4816.6392999999998"/>
    <x v="4"/>
  </r>
  <r>
    <n v="398060"/>
    <x v="2"/>
    <n v="17"/>
    <x v="11"/>
    <s v="Внутренняя деятельность"/>
    <d v="2025-03-27T00:00:00"/>
    <n v="8"/>
    <n v="8"/>
    <s v="Отпуск"/>
    <d v="2025-03-31T00:00:00"/>
    <m/>
    <n v="602.07991249999998"/>
    <n v="4816.6392999999998"/>
    <x v="4"/>
  </r>
  <r>
    <n v="398589"/>
    <x v="0"/>
    <n v="52508"/>
    <x v="2"/>
    <s v="Работа"/>
    <d v="2025-03-27T00:00:00"/>
    <n v="8"/>
    <n v="8"/>
    <s v="Работа с проектом, изучение материалов"/>
    <d v="2025-04-01T00:00:00"/>
    <m/>
    <n v="752.59989047619047"/>
    <n v="6020.7991238095237"/>
    <x v="4"/>
  </r>
  <r>
    <n v="395522"/>
    <x v="10"/>
    <n v="50787"/>
    <x v="14"/>
    <s v="Работа"/>
    <d v="2025-03-26T00:00:00"/>
    <n v="8"/>
    <n v="8"/>
    <s v="Регситрация, поддержка"/>
    <d v="2025-03-26T00:00:00"/>
    <m/>
    <n v="1693.3497535714287"/>
    <n v="13546.798028571429"/>
    <x v="4"/>
  </r>
  <r>
    <n v="398135"/>
    <x v="16"/>
    <n v="47614"/>
    <x v="13"/>
    <s v="Работа"/>
    <d v="2025-03-26T00:00:00"/>
    <n v="7"/>
    <n v="7"/>
    <n v="1569"/>
    <d v="2025-03-31T00:00:00"/>
    <m/>
    <n v="1418"/>
    <n v="9926"/>
    <x v="4"/>
  </r>
  <r>
    <n v="398139"/>
    <x v="16"/>
    <n v="47614"/>
    <x v="13"/>
    <s v="Работа"/>
    <d v="2025-03-26T00:00:00"/>
    <n v="5"/>
    <n v="5"/>
    <n v="1568"/>
    <d v="2025-03-31T00:00:00"/>
    <m/>
    <n v="1418"/>
    <n v="7090"/>
    <x v="4"/>
  </r>
  <r>
    <n v="397446"/>
    <x v="0"/>
    <n v="52508"/>
    <x v="0"/>
    <s v="Работа"/>
    <d v="2025-03-26T00:00:00"/>
    <n v="2"/>
    <n v="2"/>
    <s v="Встреча с коллегами по обсуждению ТЗ"/>
    <d v="2025-03-31T00:00:00"/>
    <m/>
    <n v="2107.2796934523808"/>
    <n v="4214.5593869047616"/>
    <x v="4"/>
  </r>
  <r>
    <n v="395408"/>
    <x v="16"/>
    <n v="47572"/>
    <x v="8"/>
    <s v="Работа"/>
    <d v="2025-03-26T00:00:00"/>
    <n v="1"/>
    <n v="1"/>
    <s v="Созвон с командой"/>
    <d v="2025-03-26T00:00:00"/>
    <m/>
    <n v="1128.8998357142857"/>
    <n v="1128.8998357142857"/>
    <x v="4"/>
  </r>
  <r>
    <n v="395921"/>
    <x v="16"/>
    <n v="47615"/>
    <x v="16"/>
    <s v="Работа"/>
    <d v="2025-03-26T00:00:00"/>
    <n v="1"/>
    <n v="1"/>
    <s v="Подробнее в Open Project"/>
    <d v="2025-03-27T00:00:00"/>
    <m/>
    <n v="1128.8998357142857"/>
    <n v="1128.8998357142857"/>
    <x v="4"/>
  </r>
  <r>
    <n v="395410"/>
    <x v="16"/>
    <n v="47569"/>
    <x v="8"/>
    <s v="Работа"/>
    <d v="2025-03-26T00:00:00"/>
    <n v="7"/>
    <n v="7"/>
    <s v="backend: интеграция генератора шаблона, настройка с целью загрузки домов"/>
    <d v="2025-03-26T00:00:00"/>
    <m/>
    <n v="1128.8998357142857"/>
    <n v="7902.2988500000001"/>
    <x v="4"/>
  </r>
  <r>
    <n v="398062"/>
    <x v="2"/>
    <n v="17"/>
    <x v="11"/>
    <s v="Внутренняя деятельность"/>
    <d v="2025-03-26T00:00:00"/>
    <n v="8"/>
    <n v="8"/>
    <s v="Отпуск"/>
    <d v="2025-03-31T00:00:00"/>
    <m/>
    <n v="602.07991249999998"/>
    <n v="4816.6392999999998"/>
    <x v="4"/>
  </r>
  <r>
    <n v="395521"/>
    <x v="10"/>
    <n v="50787"/>
    <x v="14"/>
    <s v="Работа"/>
    <d v="2025-03-25T00:00:00"/>
    <n v="2"/>
    <n v="2"/>
    <s v="ddos от яндекса"/>
    <d v="2025-03-26T00:00:00"/>
    <m/>
    <n v="1693.3497535714287"/>
    <n v="3386.6995071428573"/>
    <x v="4"/>
  </r>
  <r>
    <n v="398104"/>
    <x v="16"/>
    <n v="47572"/>
    <x v="13"/>
    <s v="Работа"/>
    <d v="2025-03-25T00:00:00"/>
    <n v="0.5"/>
    <n v="0.5"/>
    <s v="ежедейл"/>
    <d v="2025-03-31T00:00:00"/>
    <m/>
    <n v="1418"/>
    <n v="709"/>
    <x v="4"/>
  </r>
  <r>
    <n v="395057"/>
    <x v="16"/>
    <n v="47572"/>
    <x v="8"/>
    <s v="Работа"/>
    <d v="2025-03-25T00:00:00"/>
    <n v="0.5"/>
    <n v="0.5"/>
    <s v="Созвон с командой"/>
    <d v="2025-03-25T00:00:00"/>
    <m/>
    <n v="1128.8998357142857"/>
    <n v="564.44991785714285"/>
    <x v="4"/>
  </r>
  <r>
    <n v="395058"/>
    <x v="16"/>
    <n v="52114"/>
    <x v="8"/>
    <s v="Работа"/>
    <d v="2025-03-25T00:00:00"/>
    <n v="2"/>
    <n v="2"/>
    <s v="backend: доработать компонент для работы с excel файлами, реализовать парсинг"/>
    <d v="2025-03-25T00:00:00"/>
    <m/>
    <n v="1128.8998357142857"/>
    <n v="2257.7996714285714"/>
    <x v="4"/>
  </r>
  <r>
    <n v="395060"/>
    <x v="16"/>
    <n v="47569"/>
    <x v="8"/>
    <s v="Работа"/>
    <d v="2025-03-25T00:00:00"/>
    <n v="5.5"/>
    <n v="5.5"/>
    <s v="backend: интеграция генератора шаблона, настройка с целью загрузки домов"/>
    <d v="2025-03-25T00:00:00"/>
    <m/>
    <n v="1128.8998357142857"/>
    <n v="6208.9490964285715"/>
    <x v="4"/>
  </r>
  <r>
    <n v="398153"/>
    <x v="16"/>
    <n v="47614"/>
    <x v="13"/>
    <s v="Работа"/>
    <d v="2025-03-25T00:00:00"/>
    <n v="4"/>
    <n v="4"/>
    <s v="1570, Troubleshooting MR"/>
    <d v="2025-03-31T00:00:00"/>
    <m/>
    <n v="1418"/>
    <n v="5672"/>
    <x v="4"/>
  </r>
  <r>
    <n v="442465"/>
    <x v="15"/>
    <n v="52593"/>
    <x v="9"/>
    <s v="Работа"/>
    <d v="2025-03-25T00:00:00"/>
    <n v="1"/>
    <n v="1"/>
    <s v="анкеты ИПДЛ (Физ лицо ниже 100000,Физ лицо свыше 100000, Юр лицо, по пяти обязательным классам страхования) Task# 1678"/>
    <d v="2025-07-24T00:00:00"/>
    <m/>
    <n v="1505.1997809523809"/>
    <n v="1505.1997809523809"/>
    <x v="4"/>
  </r>
  <r>
    <n v="397445"/>
    <x v="0"/>
    <n v="52508"/>
    <x v="0"/>
    <s v="Работа"/>
    <d v="2025-03-25T00:00:00"/>
    <n v="16"/>
    <n v="16"/>
    <s v="Изчение материалов по проекту"/>
    <d v="2025-03-31T00:00:00"/>
    <m/>
    <n v="2107.2796934523808"/>
    <n v="33716.475095238093"/>
    <x v="4"/>
  </r>
  <r>
    <n v="395918"/>
    <x v="16"/>
    <n v="47615"/>
    <x v="16"/>
    <s v="Работа"/>
    <d v="2025-03-25T00:00:00"/>
    <n v="2"/>
    <n v="2"/>
    <s v="Подробнее в Open Project"/>
    <d v="2025-03-27T00:00:00"/>
    <m/>
    <n v="1128.8998357142857"/>
    <n v="2257.7996714285714"/>
    <x v="4"/>
  </r>
  <r>
    <n v="412374"/>
    <x v="16"/>
    <n v="47569"/>
    <x v="6"/>
    <s v="Работа"/>
    <d v="2025-03-25T00:00:00"/>
    <n v="8"/>
    <n v="8"/>
    <s v="."/>
    <d v="2025-04-30T00:00:00"/>
    <m/>
    <n v="602.07991249999998"/>
    <n v="4816.6392999999998"/>
    <x v="4"/>
  </r>
  <r>
    <n v="398063"/>
    <x v="2"/>
    <n v="17"/>
    <x v="11"/>
    <s v="Внутренняя деятельность"/>
    <d v="2025-03-25T00:00:00"/>
    <n v="8"/>
    <n v="8"/>
    <s v="Отпуск"/>
    <d v="2025-03-31T00:00:00"/>
    <m/>
    <n v="602.07991249999998"/>
    <n v="4816.6392999999998"/>
    <x v="4"/>
  </r>
  <r>
    <n v="395517"/>
    <x v="10"/>
    <n v="46185"/>
    <x v="14"/>
    <s v="Работа"/>
    <d v="2025-03-25T00:00:00"/>
    <n v="2"/>
    <n v="2"/>
    <s v="Переход базы в реадонли, для библиотеки"/>
    <d v="2025-03-26T00:00:00"/>
    <m/>
    <n v="1693.3497535714287"/>
    <n v="3386.6995071428573"/>
    <x v="4"/>
  </r>
  <r>
    <n v="395519"/>
    <x v="10"/>
    <n v="50787"/>
    <x v="14"/>
    <s v="Работа"/>
    <d v="2025-03-25T00:00:00"/>
    <n v="4"/>
    <n v="4"/>
    <s v="Серверная часть: после решения основных задач, сделать пересборку образа с последними изменениями"/>
    <d v="2025-03-26T00:00:00"/>
    <m/>
    <n v="1693.3497535714287"/>
    <n v="6773.3990142857147"/>
    <x v="4"/>
  </r>
  <r>
    <n v="398101"/>
    <x v="16"/>
    <n v="47572"/>
    <x v="13"/>
    <s v="Работа"/>
    <d v="2025-03-24T00:00:00"/>
    <n v="0.5"/>
    <n v="0.5"/>
    <s v="дейл"/>
    <d v="2025-03-31T00:00:00"/>
    <m/>
    <n v="1418"/>
    <n v="709"/>
    <x v="4"/>
  </r>
  <r>
    <n v="394798"/>
    <x v="10"/>
    <n v="45336"/>
    <x v="14"/>
    <s v="Работа"/>
    <d v="2025-03-24T00:00:00"/>
    <n v="4"/>
    <n v="4"/>
    <s v="Добавил чат, исправил конфликты"/>
    <d v="2025-03-24T00:00:00"/>
    <m/>
    <n v="1693.3497535714287"/>
    <n v="6773.3990142857147"/>
    <x v="4"/>
  </r>
  <r>
    <n v="394836"/>
    <x v="16"/>
    <n v="47572"/>
    <x v="8"/>
    <s v="Работа"/>
    <d v="2025-03-24T00:00:00"/>
    <n v="0.5"/>
    <n v="0.5"/>
    <s v="Созвон с командой"/>
    <d v="2025-03-24T00:00:00"/>
    <m/>
    <n v="1128.8998357142857"/>
    <n v="564.44991785714285"/>
    <x v="4"/>
  </r>
  <r>
    <n v="394837"/>
    <x v="16"/>
    <n v="47569"/>
    <x v="8"/>
    <s v="Работа"/>
    <d v="2025-03-24T00:00:00"/>
    <n v="8"/>
    <n v="8"/>
    <s v="backend: доработать компонент для работы с excel файлами, реализовать парсинг"/>
    <d v="2025-03-24T00:00:00"/>
    <m/>
    <n v="1128.8998357142857"/>
    <n v="9031.1986857142856"/>
    <x v="4"/>
  </r>
  <r>
    <n v="394849"/>
    <x v="10"/>
    <n v="45135"/>
    <x v="14"/>
    <s v="Работа"/>
    <d v="2025-03-24T00:00:00"/>
    <n v="1"/>
    <n v="1"/>
    <s v="созвон перед диктантом"/>
    <d v="2025-03-25T00:00:00"/>
    <m/>
    <n v="1693.3497535714287"/>
    <n v="1693.3497535714287"/>
    <x v="4"/>
  </r>
  <r>
    <n v="394850"/>
    <x v="10"/>
    <n v="46185"/>
    <x v="14"/>
    <s v="Работа"/>
    <d v="2025-03-24T00:00:00"/>
    <n v="3"/>
    <n v="3"/>
    <s v="Настройка ftp"/>
    <d v="2025-03-25T00:00:00"/>
    <m/>
    <n v="1693.3497535714287"/>
    <n v="5080.049260714286"/>
    <x v="4"/>
  </r>
  <r>
    <n v="442466"/>
    <x v="15"/>
    <n v="52593"/>
    <x v="9"/>
    <s v="Работа"/>
    <d v="2025-03-24T00:00:00"/>
    <n v="7"/>
    <n v="7"/>
    <s v="анкеты ИПДЛ (Физ лицо ниже 100000,Физ лицо свыше 100000, Юр лицо, по пяти обязательным классам страхования) Task#1678"/>
    <d v="2025-07-24T00:00:00"/>
    <m/>
    <n v="1505.1997809523809"/>
    <n v="10536.398466666666"/>
    <x v="4"/>
  </r>
  <r>
    <n v="395917"/>
    <x v="16"/>
    <n v="47615"/>
    <x v="16"/>
    <s v="Работа"/>
    <d v="2025-03-24T00:00:00"/>
    <n v="6"/>
    <n v="6"/>
    <s v="Подробнее в Open Project"/>
    <d v="2025-03-27T00:00:00"/>
    <m/>
    <n v="1128.8998357142857"/>
    <n v="6773.3990142857147"/>
    <x v="4"/>
  </r>
  <r>
    <n v="398258"/>
    <x v="16"/>
    <n v="47614"/>
    <x v="13"/>
    <s v="Работа"/>
    <d v="2025-03-24T00:00:00"/>
    <n v="6"/>
    <n v="6"/>
    <s v="1568, All tasks by filter architect"/>
    <d v="2025-03-31T00:00:00"/>
    <m/>
    <n v="1418"/>
    <n v="8508"/>
    <x v="4"/>
  </r>
  <r>
    <n v="412372"/>
    <x v="0"/>
    <n v="52587"/>
    <x v="6"/>
    <s v="Работа"/>
    <d v="2025-03-24T00:00:00"/>
    <n v="8"/>
    <n v="8"/>
    <s v="."/>
    <d v="2025-04-30T00:00:00"/>
    <m/>
    <n v="602.07991249999998"/>
    <n v="4816.6392999999998"/>
    <x v="4"/>
  </r>
  <r>
    <n v="398064"/>
    <x v="2"/>
    <n v="17"/>
    <x v="11"/>
    <s v="Внутренняя деятельность"/>
    <d v="2025-03-24T00:00:00"/>
    <n v="8"/>
    <n v="8"/>
    <s v="Отпуск"/>
    <d v="2025-03-31T00:00:00"/>
    <m/>
    <n v="602.07991249999998"/>
    <n v="4816.6392999999998"/>
    <x v="4"/>
  </r>
  <r>
    <n v="398126"/>
    <x v="16"/>
    <n v="47614"/>
    <x v="13"/>
    <s v="Работа"/>
    <d v="2025-03-23T00:00:00"/>
    <n v="9"/>
    <n v="9"/>
    <n v="1570"/>
    <d v="2025-03-31T00:00:00"/>
    <m/>
    <n v="1418"/>
    <n v="12762"/>
    <x v="4"/>
  </r>
  <r>
    <n v="393753"/>
    <x v="16"/>
    <n v="47569"/>
    <x v="8"/>
    <s v="Работа"/>
    <d v="2025-03-21T00:00:00"/>
    <n v="5"/>
    <n v="5"/>
    <s v="backend: доработать компонент для работы с excel файлами, реализовать парсинг"/>
    <d v="2025-03-21T00:00:00"/>
    <m/>
    <n v="1128.8998357142857"/>
    <n v="5644.4991785714283"/>
    <x v="4"/>
  </r>
  <r>
    <n v="398118"/>
    <x v="16"/>
    <n v="47614"/>
    <x v="13"/>
    <s v="Работа"/>
    <d v="2025-03-21T00:00:00"/>
    <n v="3"/>
    <n v="3"/>
    <n v="1571"/>
    <d v="2025-03-31T00:00:00"/>
    <m/>
    <n v="1418"/>
    <n v="4254"/>
    <x v="4"/>
  </r>
  <r>
    <n v="393805"/>
    <x v="9"/>
    <n v="51262"/>
    <x v="0"/>
    <s v="Работа"/>
    <d v="2025-03-21T00:00:00"/>
    <n v="38"/>
    <n v="38"/>
    <s v="Решение задач заказчика"/>
    <d v="2025-03-21T00:00:00"/>
    <m/>
    <n v="2107.2796934523808"/>
    <n v="80076.628351190477"/>
    <x v="4"/>
  </r>
  <r>
    <n v="432020"/>
    <x v="2"/>
    <n v="34"/>
    <x v="15"/>
    <s v="Внутренняя деятельность"/>
    <d v="2025-03-21T00:00:00"/>
    <n v="32"/>
    <n v="32"/>
    <s v="Обучение."/>
    <d v="2025-06-27T00:00:00"/>
    <m/>
    <n v="376.29994523809523"/>
    <n v="12041.598247619047"/>
    <x v="4"/>
  </r>
  <r>
    <n v="394143"/>
    <x v="16"/>
    <n v="47569"/>
    <x v="8"/>
    <s v="Работа"/>
    <d v="2025-03-21T00:00:00"/>
    <n v="1"/>
    <n v="1"/>
    <s v="backend: интеграция генератора шаблона, настройка с целью загрузки домов"/>
    <d v="2025-03-21T00:00:00"/>
    <m/>
    <n v="1128.8998357142857"/>
    <n v="1128.8998357142857"/>
    <x v="4"/>
  </r>
  <r>
    <n v="394145"/>
    <x v="16"/>
    <n v="47569"/>
    <x v="8"/>
    <s v="Работа"/>
    <d v="2025-03-21T00:00:00"/>
    <n v="1.5"/>
    <n v="1.5"/>
    <s v="backend: доработать компонент для работы с excel файлами, реализовать парсинг"/>
    <d v="2025-03-21T00:00:00"/>
    <m/>
    <n v="1128.8998357142857"/>
    <n v="1693.3497535714287"/>
    <x v="4"/>
  </r>
  <r>
    <n v="393895"/>
    <x v="16"/>
    <n v="47614"/>
    <x v="13"/>
    <s v="Работа"/>
    <d v="2025-03-21T00:00:00"/>
    <n v="0.5"/>
    <n v="0.5"/>
    <n v="544"/>
    <d v="2025-03-21T00:00:00"/>
    <m/>
    <n v="1418"/>
    <n v="709"/>
    <x v="4"/>
  </r>
  <r>
    <n v="393956"/>
    <x v="16"/>
    <n v="47569"/>
    <x v="14"/>
    <s v="Работа"/>
    <d v="2025-03-21T00:00:00"/>
    <n v="6"/>
    <n v="6"/>
    <s v="Добавил getAll и getByUid, универсальный метод для сущностей"/>
    <d v="2025-03-21T00:00:00"/>
    <m/>
    <n v="1693.3497535714287"/>
    <n v="10160.098521428572"/>
    <x v="4"/>
  </r>
  <r>
    <n v="393957"/>
    <x v="16"/>
    <n v="47570"/>
    <x v="14"/>
    <s v="Работа"/>
    <d v="2025-03-21T00:00:00"/>
    <n v="2"/>
    <n v="2"/>
    <s v="ревью"/>
    <d v="2025-03-21T00:00:00"/>
    <m/>
    <n v="1693.3497535714287"/>
    <n v="3386.6995071428573"/>
    <x v="4"/>
  </r>
  <r>
    <n v="393959"/>
    <x v="20"/>
    <n v="52107"/>
    <x v="1"/>
    <s v="Работа"/>
    <d v="2025-03-21T00:00:00"/>
    <n v="4"/>
    <n v="4"/>
    <s v="work"/>
    <d v="2025-03-21T00:00:00"/>
    <m/>
    <n v="2257.7996714285714"/>
    <n v="9031.1986857142856"/>
    <x v="4"/>
  </r>
  <r>
    <n v="393960"/>
    <x v="9"/>
    <n v="52108"/>
    <x v="1"/>
    <s v="Работа"/>
    <d v="2025-03-21T00:00:00"/>
    <n v="3"/>
    <n v="3"/>
    <s v="work"/>
    <d v="2025-03-21T00:00:00"/>
    <m/>
    <n v="2257.7996714285714"/>
    <n v="6773.3990142857147"/>
    <x v="4"/>
  </r>
  <r>
    <n v="393961"/>
    <x v="10"/>
    <n v="45135"/>
    <x v="1"/>
    <s v="Работа"/>
    <d v="2025-03-21T00:00:00"/>
    <n v="22"/>
    <n v="22"/>
    <s v="Work"/>
    <d v="2025-03-21T00:00:00"/>
    <m/>
    <n v="2257.7996714285714"/>
    <n v="49671.592771428572"/>
    <x v="4"/>
  </r>
  <r>
    <n v="393974"/>
    <x v="3"/>
    <n v="21152"/>
    <x v="1"/>
    <s v="Внутренняя деятельность"/>
    <d v="2025-03-21T00:00:00"/>
    <n v="60"/>
    <n v="60"/>
    <s v="Work"/>
    <d v="2025-03-21T00:00:00"/>
    <m/>
    <n v="2257.7996714285714"/>
    <n v="135467.98028571429"/>
    <x v="4"/>
  </r>
  <r>
    <n v="398071"/>
    <x v="2"/>
    <n v="17"/>
    <x v="11"/>
    <s v="Внутренняя деятельность"/>
    <d v="2025-03-21T00:00:00"/>
    <n v="8"/>
    <n v="8"/>
    <s v="Отпуск"/>
    <d v="2025-03-31T00:00:00"/>
    <m/>
    <n v="602.07991249999998"/>
    <n v="4816.6392999999998"/>
    <x v="4"/>
  </r>
  <r>
    <n v="393979"/>
    <x v="1"/>
    <n v="13969"/>
    <x v="1"/>
    <s v="Внутренняя деятельность"/>
    <d v="2025-03-21T00:00:00"/>
    <n v="60"/>
    <n v="60"/>
    <s v="work on IP"/>
    <d v="2025-03-21T00:00:00"/>
    <m/>
    <n v="2257.7996714285714"/>
    <n v="135467.98028571429"/>
    <x v="4"/>
  </r>
  <r>
    <n v="393981"/>
    <x v="16"/>
    <n v="47572"/>
    <x v="8"/>
    <s v="Работа"/>
    <d v="2025-03-21T00:00:00"/>
    <n v="0.5"/>
    <n v="0.5"/>
    <s v="Созвон с командой"/>
    <d v="2025-03-21T00:00:00"/>
    <m/>
    <n v="1128.8998357142857"/>
    <n v="564.44991785714285"/>
    <x v="4"/>
  </r>
  <r>
    <n v="393519"/>
    <x v="16"/>
    <n v="47568"/>
    <x v="7"/>
    <s v="Работа"/>
    <d v="2025-03-20T00:00:00"/>
    <n v="3"/>
    <n v="3"/>
    <s v="1556, 1394"/>
    <d v="2025-03-20T00:00:00"/>
    <m/>
    <n v="1806.2397375"/>
    <n v="5418.7192125000001"/>
    <x v="4"/>
  </r>
  <r>
    <n v="393571"/>
    <x v="16"/>
    <n v="47572"/>
    <x v="8"/>
    <s v="Работа"/>
    <d v="2025-03-20T00:00:00"/>
    <n v="1"/>
    <n v="1"/>
    <s v="Созвон с командой"/>
    <d v="2025-03-20T00:00:00"/>
    <m/>
    <n v="1128.8998357142857"/>
    <n v="1128.8998357142857"/>
    <x v="4"/>
  </r>
  <r>
    <n v="393572"/>
    <x v="16"/>
    <n v="47569"/>
    <x v="8"/>
    <s v="Работа"/>
    <d v="2025-03-20T00:00:00"/>
    <n v="7.5"/>
    <n v="7.5"/>
    <s v="backend: доработать компонент для работы с excel файлами, реализовать парсинг"/>
    <d v="2025-03-20T00:00:00"/>
    <m/>
    <n v="1128.8998357142857"/>
    <n v="8466.7487678571433"/>
    <x v="4"/>
  </r>
  <r>
    <n v="432241"/>
    <x v="22"/>
    <n v="55514"/>
    <x v="16"/>
    <s v="Работа"/>
    <d v="2025-03-20T00:00:00"/>
    <n v="32"/>
    <n v="32"/>
    <s v="R&amp;amp;D"/>
    <d v="2025-06-28T00:00:00"/>
    <m/>
    <n v="1128.8998357142857"/>
    <n v="36124.794742857142"/>
    <x v="4"/>
  </r>
  <r>
    <n v="431997"/>
    <x v="20"/>
    <n v="47665"/>
    <x v="9"/>
    <s v="Работа"/>
    <d v="2025-03-20T00:00:00"/>
    <n v="37"/>
    <n v="37"/>
    <s v="tech support"/>
    <d v="2025-06-27T00:00:00"/>
    <m/>
    <n v="1505.1997809523809"/>
    <n v="55692.391895238092"/>
    <x v="4"/>
  </r>
  <r>
    <n v="393882"/>
    <x v="16"/>
    <n v="47614"/>
    <x v="13"/>
    <s v="Работа"/>
    <d v="2025-03-20T00:00:00"/>
    <n v="0.5"/>
    <n v="0.5"/>
    <n v="544"/>
    <d v="2025-03-21T00:00:00"/>
    <m/>
    <n v="1418"/>
    <n v="709"/>
    <x v="4"/>
  </r>
  <r>
    <n v="393884"/>
    <x v="16"/>
    <n v="47614"/>
    <x v="13"/>
    <s v="Работа"/>
    <d v="2025-03-20T00:00:00"/>
    <n v="1"/>
    <n v="1"/>
    <n v="1572"/>
    <d v="2025-03-21T00:00:00"/>
    <m/>
    <n v="1418"/>
    <n v="1418"/>
    <x v="4"/>
  </r>
  <r>
    <n v="432285"/>
    <x v="0"/>
    <n v="53428"/>
    <x v="0"/>
    <s v="Работа"/>
    <d v="2025-03-20T00:00:00"/>
    <n v="5"/>
    <n v="5"/>
    <s v="R&amp;amp;D"/>
    <d v="2025-06-28T00:00:00"/>
    <m/>
    <n v="2107.2796934523808"/>
    <n v="10536.398467261904"/>
    <x v="4"/>
  </r>
  <r>
    <n v="432309"/>
    <x v="22"/>
    <n v="55514"/>
    <x v="1"/>
    <s v="Работа"/>
    <d v="2025-03-20T00:00:00"/>
    <n v="19"/>
    <n v="19"/>
    <s v="R&amp;amp;D"/>
    <d v="2025-06-28T00:00:00"/>
    <m/>
    <n v="2257.7996714285714"/>
    <n v="42898.193757142857"/>
    <x v="4"/>
  </r>
  <r>
    <n v="393952"/>
    <x v="16"/>
    <n v="47591"/>
    <x v="14"/>
    <s v="Работа"/>
    <d v="2025-03-20T00:00:00"/>
    <n v="1.5"/>
    <n v="1.5"/>
    <s v="Созвон по шаблонам и сущностям,"/>
    <d v="2025-03-21T00:00:00"/>
    <m/>
    <n v="1693.3497535714287"/>
    <n v="2540.024630357143"/>
    <x v="4"/>
  </r>
  <r>
    <n v="393953"/>
    <x v="16"/>
    <n v="47568"/>
    <x v="14"/>
    <s v="Работа"/>
    <d v="2025-03-20T00:00:00"/>
    <n v="6.5"/>
    <n v="6.5"/>
    <s v="ПРоектирование кастомных полей, спека варианты реализации"/>
    <d v="2025-03-21T00:00:00"/>
    <m/>
    <n v="1693.3497535714287"/>
    <n v="11006.773398214285"/>
    <x v="4"/>
  </r>
  <r>
    <n v="398070"/>
    <x v="2"/>
    <n v="17"/>
    <x v="11"/>
    <s v="Внутренняя деятельность"/>
    <d v="2025-03-20T00:00:00"/>
    <n v="8"/>
    <n v="8"/>
    <s v="Отпуск"/>
    <d v="2025-03-31T00:00:00"/>
    <m/>
    <n v="602.07991249999998"/>
    <n v="4816.6392999999998"/>
    <x v="4"/>
  </r>
  <r>
    <n v="393980"/>
    <x v="16"/>
    <n v="47569"/>
    <x v="6"/>
    <s v="Работа"/>
    <d v="2025-03-20T00:00:00"/>
    <n v="8"/>
    <n v="8"/>
    <s v="Работа с шаблонам и баг по комментариям к дому"/>
    <d v="2025-03-21T00:00:00"/>
    <m/>
    <n v="602.07991249999998"/>
    <n v="4816.6392999999998"/>
    <x v="4"/>
  </r>
  <r>
    <n v="393232"/>
    <x v="16"/>
    <n v="47568"/>
    <x v="7"/>
    <s v="Работа"/>
    <d v="2025-03-19T00:00:00"/>
    <n v="2"/>
    <n v="2"/>
    <n v="1394"/>
    <d v="2025-03-20T00:00:00"/>
    <m/>
    <n v="1806.2397375"/>
    <n v="3612.4794750000001"/>
    <x v="4"/>
  </r>
  <r>
    <n v="393235"/>
    <x v="16"/>
    <n v="47569"/>
    <x v="7"/>
    <s v="Работа"/>
    <d v="2025-03-19T00:00:00"/>
    <n v="2"/>
    <n v="2"/>
    <n v="1556"/>
    <d v="2025-03-20T00:00:00"/>
    <m/>
    <n v="1806.2397375"/>
    <n v="3612.4794750000001"/>
    <x v="4"/>
  </r>
  <r>
    <n v="393236"/>
    <x v="16"/>
    <n v="47570"/>
    <x v="7"/>
    <s v="Работа"/>
    <d v="2025-03-19T00:00:00"/>
    <n v="1"/>
    <n v="1"/>
    <n v="1408"/>
    <d v="2025-03-20T00:00:00"/>
    <m/>
    <n v="1806.2397375"/>
    <n v="1806.2397375"/>
    <x v="4"/>
  </r>
  <r>
    <n v="393237"/>
    <x v="16"/>
    <n v="47572"/>
    <x v="7"/>
    <s v="Работа"/>
    <d v="2025-03-19T00:00:00"/>
    <n v="3"/>
    <n v="3"/>
    <s v="технические дискуссии"/>
    <d v="2025-03-20T00:00:00"/>
    <m/>
    <n v="1806.2397375"/>
    <n v="5418.7192125000001"/>
    <x v="4"/>
  </r>
  <r>
    <n v="393768"/>
    <x v="16"/>
    <n v="47569"/>
    <x v="6"/>
    <s v="Работа"/>
    <d v="2025-03-19T00:00:00"/>
    <n v="6"/>
    <n v="6"/>
    <s v="Обсуждение и разработка эндпоинтов для шаблонов"/>
    <d v="2025-03-21T00:00:00"/>
    <m/>
    <n v="602.07991249999998"/>
    <n v="3612.4794750000001"/>
    <x v="4"/>
  </r>
  <r>
    <n v="432242"/>
    <x v="18"/>
    <n v="53726"/>
    <x v="16"/>
    <s v="Работа"/>
    <d v="2025-03-19T00:00:00"/>
    <n v="80"/>
    <n v="80"/>
    <s v="R&amp;amp;D"/>
    <d v="2025-06-28T00:00:00"/>
    <m/>
    <n v="1128.8998357142857"/>
    <n v="90311.986857142852"/>
    <x v="4"/>
  </r>
  <r>
    <n v="393103"/>
    <x v="16"/>
    <n v="47572"/>
    <x v="8"/>
    <s v="Работа"/>
    <d v="2025-03-19T00:00:00"/>
    <n v="1"/>
    <n v="1"/>
    <s v="Созвон с командой"/>
    <d v="2025-03-19T00:00:00"/>
    <m/>
    <n v="1128.8998357142857"/>
    <n v="1128.8998357142857"/>
    <x v="4"/>
  </r>
  <r>
    <n v="393104"/>
    <x v="16"/>
    <n v="47569"/>
    <x v="8"/>
    <s v="Работа"/>
    <d v="2025-03-19T00:00:00"/>
    <n v="5"/>
    <n v="5"/>
    <s v="backend: доработать компонент для работы с excel файлами, реализовать парсинг"/>
    <d v="2025-03-19T00:00:00"/>
    <m/>
    <n v="1128.8998357142857"/>
    <n v="5644.4991785714283"/>
    <x v="4"/>
  </r>
  <r>
    <n v="432303"/>
    <x v="20"/>
    <n v="45363"/>
    <x v="17"/>
    <s v="Работа"/>
    <d v="2025-03-19T00:00:00"/>
    <n v="3"/>
    <n v="3"/>
    <s v="R&amp;amp;D"/>
    <d v="2025-06-28T00:00:00"/>
    <m/>
    <n v="1354.6798029761903"/>
    <n v="4064.039408928571"/>
    <x v="4"/>
  </r>
  <r>
    <n v="432306"/>
    <x v="20"/>
    <n v="47665"/>
    <x v="10"/>
    <s v="Работа"/>
    <d v="2025-03-19T00:00:00"/>
    <n v="8"/>
    <n v="8"/>
    <s v="R&amp;amp;D"/>
    <d v="2025-06-28T00:00:00"/>
    <m/>
    <n v="1505.1997809523809"/>
    <n v="12041.598247619047"/>
    <x v="4"/>
  </r>
  <r>
    <n v="393948"/>
    <x v="16"/>
    <n v="47569"/>
    <x v="14"/>
    <s v="Работа"/>
    <d v="2025-03-19T00:00:00"/>
    <n v="1"/>
    <n v="1"/>
    <s v="backend: необходимо реализовать интерфейс/механизм для обновления справочников городов и районов "/>
    <d v="2025-03-21T00:00:00"/>
    <m/>
    <n v="1693.3497535714287"/>
    <n v="1693.3497535714287"/>
    <x v="4"/>
  </r>
  <r>
    <n v="393949"/>
    <x v="16"/>
    <n v="47572"/>
    <x v="14"/>
    <s v="Работа"/>
    <d v="2025-03-19T00:00:00"/>
    <n v="1"/>
    <n v="1"/>
    <s v="Созвон по справочникам и accessGroup_x0009_"/>
    <d v="2025-03-21T00:00:00"/>
    <m/>
    <n v="1693.3497535714287"/>
    <n v="1693.3497535714287"/>
    <x v="4"/>
  </r>
  <r>
    <n v="393950"/>
    <x v="16"/>
    <n v="47572"/>
    <x v="14"/>
    <s v="Работа"/>
    <d v="2025-03-19T00:00:00"/>
    <n v="1"/>
    <n v="1"/>
    <s v="Проектирование структуры кастомных пол"/>
    <d v="2025-03-21T00:00:00"/>
    <m/>
    <n v="1693.3497535714287"/>
    <n v="1693.3497535714287"/>
    <x v="4"/>
  </r>
  <r>
    <n v="393951"/>
    <x v="16"/>
    <n v="47568"/>
    <x v="14"/>
    <s v="Работа"/>
    <d v="2025-03-19T00:00:00"/>
    <n v="5"/>
    <n v="5"/>
    <s v="Кастомные поля"/>
    <d v="2025-03-21T00:00:00"/>
    <m/>
    <n v="1693.3497535714287"/>
    <n v="8466.7487678571433"/>
    <x v="4"/>
  </r>
  <r>
    <n v="398068"/>
    <x v="2"/>
    <n v="17"/>
    <x v="11"/>
    <s v="Внутренняя деятельность"/>
    <d v="2025-03-19T00:00:00"/>
    <n v="8"/>
    <n v="8"/>
    <s v="Отпуск"/>
    <d v="2025-03-31T00:00:00"/>
    <m/>
    <n v="602.07991249999998"/>
    <n v="4816.6392999999998"/>
    <x v="4"/>
  </r>
  <r>
    <n v="392957"/>
    <x v="16"/>
    <n v="47569"/>
    <x v="8"/>
    <s v="Работа"/>
    <d v="2025-03-19T00:00:00"/>
    <n v="2"/>
    <n v="2"/>
    <s v="backend: реализовать процесс генерации шаблона в формате ms excel"/>
    <d v="2025-03-19T00:00:00"/>
    <m/>
    <n v="1128.8998357142857"/>
    <n v="2257.7996714285714"/>
    <x v="4"/>
  </r>
  <r>
    <n v="393730"/>
    <x v="3"/>
    <n v="21152"/>
    <x v="9"/>
    <s v="Внутренняя деятельность"/>
    <d v="2025-03-18T00:00:00"/>
    <n v="15"/>
    <n v="15"/>
    <s v="обсуждение коннекта с заказчиком"/>
    <d v="2025-03-21T00:00:00"/>
    <m/>
    <n v="1505.1997809523809"/>
    <n v="22577.996714285713"/>
    <x v="4"/>
  </r>
  <r>
    <n v="392736"/>
    <x v="16"/>
    <n v="47570"/>
    <x v="7"/>
    <s v="Работа"/>
    <d v="2025-03-18T00:00:00"/>
    <n v="2.5"/>
    <n v="2.5"/>
    <s v="ревью кода"/>
    <d v="2025-03-18T00:00:00"/>
    <m/>
    <n v="1806.2397375"/>
    <n v="4515.5993437500001"/>
    <x v="4"/>
  </r>
  <r>
    <n v="392737"/>
    <x v="16"/>
    <n v="47569"/>
    <x v="7"/>
    <s v="Работа"/>
    <d v="2025-03-18T00:00:00"/>
    <n v="4"/>
    <n v="4"/>
    <n v="1394"/>
    <d v="2025-03-18T00:00:00"/>
    <m/>
    <n v="1806.2397375"/>
    <n v="7224.9589500000002"/>
    <x v="4"/>
  </r>
  <r>
    <n v="392738"/>
    <x v="16"/>
    <n v="47572"/>
    <x v="7"/>
    <s v="Работа"/>
    <d v="2025-03-18T00:00:00"/>
    <n v="1.6"/>
    <n v="1.6"/>
    <s v="коммуникация с разработчиками"/>
    <d v="2025-03-18T00:00:00"/>
    <m/>
    <n v="1806.2397375"/>
    <n v="2889.9835800000001"/>
    <x v="4"/>
  </r>
  <r>
    <n v="393765"/>
    <x v="16"/>
    <n v="47569"/>
    <x v="6"/>
    <s v="Работа"/>
    <d v="2025-03-18T00:00:00"/>
    <n v="2"/>
    <n v="2"/>
    <s v="митинг и обсуждение проекта на бэке"/>
    <d v="2025-03-21T00:00:00"/>
    <m/>
    <n v="602.07991249999998"/>
    <n v="1204.159825"/>
    <x v="4"/>
  </r>
  <r>
    <n v="393766"/>
    <x v="16"/>
    <n v="47569"/>
    <x v="6"/>
    <s v="Работа"/>
    <d v="2025-03-18T00:00:00"/>
    <n v="8"/>
    <n v="8"/>
    <s v="Шаблоны: описание "/>
    <d v="2025-03-21T00:00:00"/>
    <m/>
    <n v="602.07991249999998"/>
    <n v="4816.6392999999998"/>
    <x v="4"/>
  </r>
  <r>
    <n v="442467"/>
    <x v="15"/>
    <n v="52593"/>
    <x v="9"/>
    <s v="Работа"/>
    <d v="2025-03-18T00:00:00"/>
    <n v="2"/>
    <n v="2"/>
    <s v="подготовка файла с текстом полей личного кабинета клиента, который необходимо будет перевести на казахский язык Task#1679"/>
    <d v="2025-07-24T00:00:00"/>
    <m/>
    <n v="1505.1997809523809"/>
    <n v="3010.3995619047619"/>
    <x v="4"/>
  </r>
  <r>
    <n v="392829"/>
    <x v="16"/>
    <n v="47572"/>
    <x v="8"/>
    <s v="Работа"/>
    <d v="2025-03-18T00:00:00"/>
    <n v="0.5"/>
    <n v="0.5"/>
    <s v="Созвон с командой"/>
    <d v="2025-03-18T00:00:00"/>
    <m/>
    <n v="1128.8998357142857"/>
    <n v="564.44991785714285"/>
    <x v="4"/>
  </r>
  <r>
    <n v="392830"/>
    <x v="16"/>
    <n v="47569"/>
    <x v="8"/>
    <s v="Работа"/>
    <d v="2025-03-18T00:00:00"/>
    <n v="7.5"/>
    <n v="7.5"/>
    <s v="backend: доработать компонент для работы с excel файлами, реализовать парсинг"/>
    <d v="2025-03-18T00:00:00"/>
    <m/>
    <n v="1128.8998357142857"/>
    <n v="8466.7487678571433"/>
    <x v="4"/>
  </r>
  <r>
    <n v="393941"/>
    <x v="16"/>
    <n v="47569"/>
    <x v="14"/>
    <s v="Работа"/>
    <d v="2025-03-18T00:00:00"/>
    <n v="1"/>
    <n v="1"/>
    <s v="Подправил сервисы, работает группы адресов"/>
    <d v="2025-03-21T00:00:00"/>
    <m/>
    <n v="1693.3497535714287"/>
    <n v="1693.3497535714287"/>
    <x v="4"/>
  </r>
  <r>
    <n v="393942"/>
    <x v="16"/>
    <n v="47569"/>
    <x v="14"/>
    <s v="Работа"/>
    <d v="2025-03-18T00:00:00"/>
    <n v="4"/>
    <n v="4"/>
    <s v="Реализовал обновление справочников, плю"/>
    <d v="2025-03-21T00:00:00"/>
    <m/>
    <n v="1693.3497535714287"/>
    <n v="6773.3990142857147"/>
    <x v="4"/>
  </r>
  <r>
    <n v="393943"/>
    <x v="16"/>
    <n v="47572"/>
    <x v="14"/>
    <s v="Работа"/>
    <d v="2025-03-18T00:00:00"/>
    <n v="1.5"/>
    <n v="1.5"/>
    <s v="Созвон по справочникам и другим задача"/>
    <d v="2025-03-21T00:00:00"/>
    <m/>
    <n v="1693.3497535714287"/>
    <n v="2540.024630357143"/>
    <x v="4"/>
  </r>
  <r>
    <n v="393944"/>
    <x v="16"/>
    <n v="47572"/>
    <x v="14"/>
    <s v="Работа"/>
    <d v="2025-03-18T00:00:00"/>
    <n v="0.5"/>
    <n v="0.5"/>
    <s v="синк"/>
    <d v="2025-03-21T00:00:00"/>
    <m/>
    <n v="1693.3497535714287"/>
    <n v="846.67487678571433"/>
    <x v="4"/>
  </r>
  <r>
    <n v="393945"/>
    <x v="10"/>
    <n v="44642"/>
    <x v="14"/>
    <s v="Работа"/>
    <d v="2025-03-18T00:00:00"/>
    <n v="1"/>
    <n v="1"/>
    <s v="Правки по блокировки"/>
    <d v="2025-03-21T00:00:00"/>
    <m/>
    <n v="1693.3497535714287"/>
    <n v="1693.3497535714287"/>
    <x v="4"/>
  </r>
  <r>
    <n v="398067"/>
    <x v="2"/>
    <n v="17"/>
    <x v="11"/>
    <s v="Внутренняя деятельность"/>
    <d v="2025-03-18T00:00:00"/>
    <n v="8"/>
    <n v="8"/>
    <s v="Отпуск"/>
    <d v="2025-03-31T00:00:00"/>
    <m/>
    <n v="602.07991249999998"/>
    <n v="4816.6392999999998"/>
    <x v="4"/>
  </r>
  <r>
    <n v="393756"/>
    <x v="16"/>
    <n v="47569"/>
    <x v="6"/>
    <s v="Работа"/>
    <d v="2025-03-17T00:00:00"/>
    <n v="6"/>
    <n v="6"/>
    <s v="операции с шаблонами"/>
    <d v="2025-03-21T00:00:00"/>
    <m/>
    <n v="602.07991249999998"/>
    <n v="3612.4794750000001"/>
    <x v="4"/>
  </r>
  <r>
    <n v="393761"/>
    <x v="16"/>
    <n v="47569"/>
    <x v="6"/>
    <s v="Работа"/>
    <d v="2025-03-17T00:00:00"/>
    <n v="2"/>
    <n v="2"/>
    <s v="обсуждение работы с шаблонами и общий миттинг"/>
    <d v="2025-03-21T00:00:00"/>
    <m/>
    <n v="602.07991249999998"/>
    <n v="1204.159825"/>
    <x v="4"/>
  </r>
  <r>
    <n v="394099"/>
    <x v="16"/>
    <n v="52114"/>
    <x v="5"/>
    <s v="Работа"/>
    <d v="2025-03-17T00:00:00"/>
    <n v="8"/>
    <n v="8"/>
    <s v="Updating Test Cases"/>
    <d v="2025-03-21T00:00:00"/>
    <m/>
    <n v="451.55993452380955"/>
    <n v="3612.4794761904764"/>
    <x v="4"/>
  </r>
  <r>
    <n v="395909"/>
    <x v="16"/>
    <n v="47615"/>
    <x v="16"/>
    <s v="Работа"/>
    <d v="2025-03-17T00:00:00"/>
    <n v="2.5"/>
    <n v="2.5"/>
    <s v="Подробнее в Open Project"/>
    <d v="2025-03-27T00:00:00"/>
    <m/>
    <n v="1128.8998357142857"/>
    <n v="2822.2495892857141"/>
    <x v="4"/>
  </r>
  <r>
    <n v="422327"/>
    <x v="19"/>
    <n v="54643"/>
    <x v="10"/>
    <s v="Работа"/>
    <d v="2025-03-17T00:00:00"/>
    <n v="7"/>
    <n v="7"/>
    <s v="Отправка смс уведомлений"/>
    <d v="2025-05-30T00:00:00"/>
    <m/>
    <n v="1505.1997809523809"/>
    <n v="10536.398466666666"/>
    <x v="4"/>
  </r>
  <r>
    <n v="392386"/>
    <x v="16"/>
    <n v="47568"/>
    <x v="7"/>
    <s v="Работа"/>
    <d v="2025-03-17T00:00:00"/>
    <n v="9"/>
    <n v="9"/>
    <s v="проектирование сервисов для работы с шаблонами загрузки"/>
    <d v="2025-03-17T00:00:00"/>
    <m/>
    <n v="1806.2397375"/>
    <n v="16256.1576375"/>
    <x v="4"/>
  </r>
  <r>
    <n v="393933"/>
    <x v="10"/>
    <n v="46185"/>
    <x v="14"/>
    <s v="Работа"/>
    <d v="2025-03-17T00:00:00"/>
    <n v="1"/>
    <n v="1"/>
    <s v="Убрал переадресацию на главную для всех соц"/>
    <d v="2025-03-21T00:00:00"/>
    <m/>
    <n v="1693.3497535714287"/>
    <n v="1693.3497535714287"/>
    <x v="4"/>
  </r>
  <r>
    <n v="393934"/>
    <x v="10"/>
    <n v="46185"/>
    <x v="14"/>
    <s v="Работа"/>
    <d v="2025-03-17T00:00:00"/>
    <n v="0.5"/>
    <n v="0.5"/>
    <s v="Некорректное отображение результатов в списке"/>
    <d v="2025-03-21T00:00:00"/>
    <m/>
    <n v="1693.3497535714287"/>
    <n v="846.67487678571433"/>
    <x v="4"/>
  </r>
  <r>
    <n v="393935"/>
    <x v="10"/>
    <n v="46185"/>
    <x v="14"/>
    <s v="Работа"/>
    <d v="2025-03-17T00:00:00"/>
    <n v="1.5"/>
    <n v="1.5"/>
    <s v="Исправить ошибку, возникающую при замене почты в ЛК на уже используемый на сайте логин"/>
    <d v="2025-03-21T00:00:00"/>
    <m/>
    <n v="1693.3497535714287"/>
    <n v="2540.024630357143"/>
    <x v="4"/>
  </r>
  <r>
    <n v="393936"/>
    <x v="10"/>
    <n v="50787"/>
    <x v="14"/>
    <s v="Работа"/>
    <d v="2025-03-17T00:00:00"/>
    <n v="42"/>
    <n v="42"/>
    <s v="Вывести в Excel список всех текстов задействованных при проведение диктанта, тексты писем"/>
    <d v="2025-03-21T00:00:00"/>
    <m/>
    <n v="1693.3497535714287"/>
    <n v="71120.68965"/>
    <x v="4"/>
  </r>
  <r>
    <n v="392400"/>
    <x v="16"/>
    <n v="47569"/>
    <x v="8"/>
    <s v="Работа"/>
    <d v="2025-03-17T00:00:00"/>
    <n v="7.5"/>
    <n v="7.5"/>
    <s v="backend: реализовать процесс генерации шаблона в формате ms excel"/>
    <d v="2025-03-17T00:00:00"/>
    <m/>
    <n v="1128.8998357142857"/>
    <n v="8466.7487678571433"/>
    <x v="4"/>
  </r>
  <r>
    <n v="393937"/>
    <x v="10"/>
    <n v="45336"/>
    <x v="14"/>
    <s v="Работа"/>
    <d v="2025-03-17T00:00:00"/>
    <n v="0.5"/>
    <n v="0.5"/>
    <s v="Объединить аккаунты kutyushevays@sch2057.ru и kutyusheva.ya@mail.ru, перенести все данные профиля и диктанты"/>
    <d v="2025-03-21T00:00:00"/>
    <m/>
    <n v="1693.3497535714287"/>
    <n v="846.67487678571433"/>
    <x v="4"/>
  </r>
  <r>
    <n v="392401"/>
    <x v="16"/>
    <n v="47572"/>
    <x v="8"/>
    <s v="Работа"/>
    <d v="2025-03-17T00:00:00"/>
    <n v="1"/>
    <n v="1"/>
    <s v="Созвон с командой"/>
    <d v="2025-03-17T00:00:00"/>
    <m/>
    <n v="1128.8998357142857"/>
    <n v="1128.8998357142857"/>
    <x v="4"/>
  </r>
  <r>
    <n v="393938"/>
    <x v="10"/>
    <n v="46185"/>
    <x v="14"/>
    <s v="Работа"/>
    <d v="2025-03-17T00:00:00"/>
    <n v="1"/>
    <n v="1"/>
    <s v="Исправить ошибку, из-за которой информация в поле &quot;О диктаторе&quot; в описании площадки сокращается, хотя лимит знаков соблюден"/>
    <d v="2025-03-21T00:00:00"/>
    <m/>
    <n v="1693.3497535714287"/>
    <n v="1693.3497535714287"/>
    <x v="4"/>
  </r>
  <r>
    <n v="393939"/>
    <x v="10"/>
    <n v="46185"/>
    <x v="14"/>
    <s v="Работа"/>
    <d v="2025-03-17T00:00:00"/>
    <n v="1.5"/>
    <n v="1.5"/>
    <s v="Разобраться с подтверждением почты в ЛК участника"/>
    <d v="2025-03-21T00:00:00"/>
    <m/>
    <n v="1693.3497535714287"/>
    <n v="2540.024630357143"/>
    <x v="4"/>
  </r>
  <r>
    <n v="398066"/>
    <x v="2"/>
    <n v="17"/>
    <x v="11"/>
    <s v="Внутренняя деятельность"/>
    <d v="2025-03-17T00:00:00"/>
    <n v="8"/>
    <n v="8"/>
    <s v="Отпуск"/>
    <d v="2025-03-31T00:00:00"/>
    <m/>
    <n v="602.07991249999998"/>
    <n v="4816.6392999999998"/>
    <x v="4"/>
  </r>
  <r>
    <n v="393879"/>
    <x v="16"/>
    <n v="47614"/>
    <x v="13"/>
    <s v="Работа"/>
    <d v="2025-03-16T00:00:00"/>
    <n v="3"/>
    <n v="3"/>
    <n v="1572"/>
    <d v="2025-03-21T00:00:00"/>
    <m/>
    <n v="1418"/>
    <n v="4254"/>
    <x v="4"/>
  </r>
  <r>
    <n v="391683"/>
    <x v="16"/>
    <n v="47539"/>
    <x v="7"/>
    <s v="Работа"/>
    <d v="2025-03-14T00:00:00"/>
    <n v="8"/>
    <n v="8"/>
    <s v="подготовка оценки "/>
    <d v="2025-03-14T00:00:00"/>
    <m/>
    <n v="1806.2397375"/>
    <n v="14449.9179"/>
    <x v="4"/>
  </r>
  <r>
    <n v="391484"/>
    <x v="16"/>
    <n v="47572"/>
    <x v="8"/>
    <s v="Работа"/>
    <d v="2025-03-14T00:00:00"/>
    <n v="0.5"/>
    <n v="0.5"/>
    <s v="Созвон с командой"/>
    <d v="2025-03-14T00:00:00"/>
    <m/>
    <n v="1128.8998357142857"/>
    <n v="564.44991785714285"/>
    <x v="4"/>
  </r>
  <r>
    <n v="391488"/>
    <x v="16"/>
    <n v="47569"/>
    <x v="8"/>
    <s v="Работа"/>
    <d v="2025-03-14T00:00:00"/>
    <n v="8"/>
    <n v="8"/>
    <s v="backend: интеграция компонента для генерации excel шаблона"/>
    <d v="2025-03-14T00:00:00"/>
    <m/>
    <n v="1128.8998357142857"/>
    <n v="9031.1986857142856"/>
    <x v="4"/>
  </r>
  <r>
    <n v="391763"/>
    <x v="16"/>
    <n v="47569"/>
    <x v="6"/>
    <s v="Работа"/>
    <d v="2025-03-14T00:00:00"/>
    <n v="8"/>
    <n v="8"/>
    <s v="Работа с багами, и шаблоны"/>
    <d v="2025-03-16T00:00:00"/>
    <m/>
    <n v="602.07991249999998"/>
    <n v="4816.6392999999998"/>
    <x v="4"/>
  </r>
  <r>
    <n v="394098"/>
    <x v="16"/>
    <n v="52114"/>
    <x v="5"/>
    <s v="Работа"/>
    <d v="2025-03-14T00:00:00"/>
    <n v="8"/>
    <n v="8"/>
    <s v="Testing"/>
    <d v="2025-03-21T00:00:00"/>
    <m/>
    <n v="451.55993452380955"/>
    <n v="3612.4794761904764"/>
    <x v="4"/>
  </r>
  <r>
    <n v="395906"/>
    <x v="16"/>
    <n v="47615"/>
    <x v="16"/>
    <s v="Работа"/>
    <d v="2025-03-14T00:00:00"/>
    <n v="4"/>
    <n v="4"/>
    <s v="Подробнее в Open Project"/>
    <d v="2025-03-27T00:00:00"/>
    <m/>
    <n v="1128.8998357142857"/>
    <n v="4515.5993428571428"/>
    <x v="4"/>
  </r>
  <r>
    <n v="432266"/>
    <x v="2"/>
    <n v="34"/>
    <x v="3"/>
    <s v="Внутренняя деятельность"/>
    <d v="2025-03-14T00:00:00"/>
    <n v="58"/>
    <n v="58"/>
    <s v="Изучение Entaxy"/>
    <d v="2025-06-28T00:00:00"/>
    <m/>
    <n v="978.37985773809521"/>
    <n v="56746.031748809524"/>
    <x v="4"/>
  </r>
  <r>
    <n v="393874"/>
    <x v="16"/>
    <n v="47614"/>
    <x v="13"/>
    <s v="Работа"/>
    <d v="2025-03-14T00:00:00"/>
    <n v="0.5"/>
    <n v="0.5"/>
    <n v="544"/>
    <d v="2025-03-21T00:00:00"/>
    <m/>
    <n v="1418"/>
    <n v="709"/>
    <x v="4"/>
  </r>
  <r>
    <n v="391322"/>
    <x v="9"/>
    <n v="51262"/>
    <x v="0"/>
    <s v="Работа"/>
    <d v="2025-03-14T00:00:00"/>
    <n v="40"/>
    <n v="40"/>
    <s v="Исследование требований мобильного приложения"/>
    <d v="2025-03-14T00:00:00"/>
    <m/>
    <n v="2107.2796934523808"/>
    <n v="84291.187738095236"/>
    <x v="4"/>
  </r>
  <r>
    <n v="422326"/>
    <x v="19"/>
    <n v="54643"/>
    <x v="10"/>
    <s v="Работа"/>
    <d v="2025-03-14T00:00:00"/>
    <n v="8"/>
    <n v="8"/>
    <s v="Единичные зачисления"/>
    <d v="2025-05-30T00:00:00"/>
    <m/>
    <n v="1505.1997809523809"/>
    <n v="12041.598247619047"/>
    <x v="4"/>
  </r>
  <r>
    <n v="391626"/>
    <x v="9"/>
    <n v="51263"/>
    <x v="11"/>
    <s v="Работа"/>
    <d v="2025-03-14T00:00:00"/>
    <n v="8"/>
    <n v="8"/>
    <s v="Описание на wiki всех процессы связанные со СДЭК на беке и подготавливаю пр по изменению тарифов"/>
    <d v="2025-03-14T00:00:00"/>
    <m/>
    <n v="602.07991249999998"/>
    <n v="4816.6392999999998"/>
    <x v="4"/>
  </r>
  <r>
    <n v="391762"/>
    <x v="16"/>
    <n v="47569"/>
    <x v="6"/>
    <s v="Работа"/>
    <d v="2025-03-13T00:00:00"/>
    <n v="8"/>
    <n v="8"/>
    <s v="Шаблоны: описание "/>
    <d v="2025-03-16T00:00:00"/>
    <m/>
    <n v="602.07991249999998"/>
    <n v="4816.6392999999998"/>
    <x v="4"/>
  </r>
  <r>
    <n v="391003"/>
    <x v="16"/>
    <n v="47572"/>
    <x v="8"/>
    <s v="Работа"/>
    <d v="2025-03-13T00:00:00"/>
    <n v="1"/>
    <n v="1"/>
    <s v="Созвон с командой"/>
    <d v="2025-03-13T00:00:00"/>
    <m/>
    <n v="1128.8998357142857"/>
    <n v="1128.8998357142857"/>
    <x v="4"/>
  </r>
  <r>
    <n v="391005"/>
    <x v="16"/>
    <n v="47569"/>
    <x v="8"/>
    <s v="Работа"/>
    <d v="2025-03-13T00:00:00"/>
    <n v="7"/>
    <n v="7"/>
    <s v="backend: интеграция компонента для генерации excel шаблона"/>
    <d v="2025-03-13T00:00:00"/>
    <m/>
    <n v="1128.8998357142857"/>
    <n v="7902.2988500000001"/>
    <x v="4"/>
  </r>
  <r>
    <n v="394097"/>
    <x v="16"/>
    <n v="52114"/>
    <x v="5"/>
    <s v="Работа"/>
    <d v="2025-03-13T00:00:00"/>
    <n v="8"/>
    <n v="8"/>
    <s v="TestFlow"/>
    <d v="2025-03-21T00:00:00"/>
    <m/>
    <n v="451.55993452380955"/>
    <n v="3612.4794761904764"/>
    <x v="4"/>
  </r>
  <r>
    <n v="395905"/>
    <x v="16"/>
    <n v="47615"/>
    <x v="16"/>
    <s v="Работа"/>
    <d v="2025-03-13T00:00:00"/>
    <n v="8"/>
    <n v="8"/>
    <s v="Подробнее в Open Project"/>
    <d v="2025-03-27T00:00:00"/>
    <m/>
    <n v="1128.8998357142857"/>
    <n v="9031.1986857142856"/>
    <x v="4"/>
  </r>
  <r>
    <n v="393869"/>
    <x v="16"/>
    <n v="47614"/>
    <x v="13"/>
    <s v="Работа"/>
    <d v="2025-03-13T00:00:00"/>
    <n v="0.5"/>
    <n v="0.5"/>
    <n v="544"/>
    <d v="2025-03-21T00:00:00"/>
    <m/>
    <n v="1418"/>
    <n v="709"/>
    <x v="4"/>
  </r>
  <r>
    <n v="393872"/>
    <x v="16"/>
    <n v="47614"/>
    <x v="13"/>
    <s v="Работа"/>
    <d v="2025-03-13T00:00:00"/>
    <n v="2"/>
    <n v="2"/>
    <n v="1534"/>
    <d v="2025-03-21T00:00:00"/>
    <m/>
    <n v="1418"/>
    <n v="2836"/>
    <x v="4"/>
  </r>
  <r>
    <n v="391061"/>
    <x v="16"/>
    <n v="47537"/>
    <x v="7"/>
    <s v="Работа"/>
    <d v="2025-03-13T00:00:00"/>
    <n v="4"/>
    <n v="4"/>
    <n v="1526"/>
    <d v="2025-03-13T00:00:00"/>
    <m/>
    <n v="1806.2397375"/>
    <n v="7224.9589500000002"/>
    <x v="4"/>
  </r>
  <r>
    <n v="391062"/>
    <x v="16"/>
    <n v="47539"/>
    <x v="7"/>
    <s v="Работа"/>
    <d v="2025-03-13T00:00:00"/>
    <n v="2"/>
    <n v="2"/>
    <s v="1526 оценка модулей"/>
    <d v="2025-03-13T00:00:00"/>
    <m/>
    <n v="1806.2397375"/>
    <n v="3612.4794750000001"/>
    <x v="4"/>
  </r>
  <r>
    <n v="391063"/>
    <x v="16"/>
    <n v="47570"/>
    <x v="7"/>
    <s v="Работа"/>
    <d v="2025-03-13T00:00:00"/>
    <n v="1"/>
    <n v="1"/>
    <n v="1359"/>
    <d v="2025-03-13T00:00:00"/>
    <m/>
    <n v="1806.2397375"/>
    <n v="1806.2397375"/>
    <x v="4"/>
  </r>
  <r>
    <n v="391064"/>
    <x v="16"/>
    <n v="47572"/>
    <x v="7"/>
    <s v="Работа"/>
    <d v="2025-03-13T00:00:00"/>
    <n v="1"/>
    <n v="1"/>
    <s v="коммуникация с разработчиками"/>
    <d v="2025-03-13T00:00:00"/>
    <m/>
    <n v="1806.2397375"/>
    <n v="1806.2397375"/>
    <x v="4"/>
  </r>
  <r>
    <n v="422325"/>
    <x v="19"/>
    <n v="54643"/>
    <x v="10"/>
    <s v="Работа"/>
    <d v="2025-03-13T00:00:00"/>
    <n v="8"/>
    <n v="8"/>
    <s v="Единичные зачисления"/>
    <d v="2025-05-30T00:00:00"/>
    <m/>
    <n v="1505.1997809523809"/>
    <n v="12041.598247619047"/>
    <x v="4"/>
  </r>
  <r>
    <n v="391103"/>
    <x v="9"/>
    <n v="51263"/>
    <x v="11"/>
    <s v="Работа"/>
    <d v="2025-03-13T00:00:00"/>
    <n v="8"/>
    <n v="8"/>
    <s v="Исследование тз. Тестирование на тестовом стенде. Показ демки"/>
    <d v="2025-03-13T00:00:00"/>
    <m/>
    <n v="602.07991249999998"/>
    <n v="4816.6392999999998"/>
    <x v="4"/>
  </r>
  <r>
    <n v="390476"/>
    <x v="16"/>
    <n v="47572"/>
    <x v="8"/>
    <s v="Работа"/>
    <d v="2025-03-12T00:00:00"/>
    <n v="2"/>
    <n v="2"/>
    <s v="Созвон с командой"/>
    <d v="2025-03-12T00:00:00"/>
    <m/>
    <n v="1128.8998357142857"/>
    <n v="2257.7996714285714"/>
    <x v="4"/>
  </r>
  <r>
    <n v="394096"/>
    <x v="16"/>
    <n v="52114"/>
    <x v="5"/>
    <s v="Работа"/>
    <d v="2025-03-12T00:00:00"/>
    <n v="8"/>
    <n v="8"/>
    <s v="Updating Test Cases"/>
    <d v="2025-03-21T00:00:00"/>
    <m/>
    <n v="451.55993452380955"/>
    <n v="3612.4794761904764"/>
    <x v="4"/>
  </r>
  <r>
    <n v="395903"/>
    <x v="16"/>
    <n v="47615"/>
    <x v="16"/>
    <s v="Работа"/>
    <d v="2025-03-12T00:00:00"/>
    <n v="6"/>
    <n v="6"/>
    <s v="Подробнее в Open Project"/>
    <d v="2025-03-27T00:00:00"/>
    <m/>
    <n v="1128.8998357142857"/>
    <n v="6773.3990142857147"/>
    <x v="4"/>
  </r>
  <r>
    <n v="393865"/>
    <x v="16"/>
    <n v="47614"/>
    <x v="13"/>
    <s v="Работа"/>
    <d v="2025-03-12T00:00:00"/>
    <n v="0.5"/>
    <n v="0.5"/>
    <n v="544"/>
    <d v="2025-03-21T00:00:00"/>
    <m/>
    <n v="1418"/>
    <n v="709"/>
    <x v="4"/>
  </r>
  <r>
    <n v="393866"/>
    <x v="16"/>
    <n v="47614"/>
    <x v="13"/>
    <s v="Работа"/>
    <d v="2025-03-12T00:00:00"/>
    <n v="1"/>
    <n v="1"/>
    <n v="1493"/>
    <d v="2025-03-21T00:00:00"/>
    <m/>
    <n v="1418"/>
    <n v="1418"/>
    <x v="4"/>
  </r>
  <r>
    <n v="391058"/>
    <x v="16"/>
    <n v="47569"/>
    <x v="7"/>
    <s v="Работа"/>
    <d v="2025-03-12T00:00:00"/>
    <n v="1"/>
    <n v="1"/>
    <n v="1354"/>
    <d v="2025-03-13T00:00:00"/>
    <m/>
    <n v="1806.2397375"/>
    <n v="1806.2397375"/>
    <x v="4"/>
  </r>
  <r>
    <n v="391059"/>
    <x v="16"/>
    <n v="47537"/>
    <x v="7"/>
    <s v="Работа"/>
    <d v="2025-03-12T00:00:00"/>
    <n v="2"/>
    <n v="2"/>
    <n v="1526"/>
    <d v="2025-03-13T00:00:00"/>
    <m/>
    <n v="1806.2397375"/>
    <n v="3612.4794750000001"/>
    <x v="4"/>
  </r>
  <r>
    <n v="391060"/>
    <x v="16"/>
    <n v="47572"/>
    <x v="7"/>
    <s v="Работа"/>
    <d v="2025-03-12T00:00:00"/>
    <n v="5"/>
    <n v="5"/>
    <s v="коммуникация с разработчиками"/>
    <d v="2025-03-13T00:00:00"/>
    <m/>
    <n v="1806.2397375"/>
    <n v="9031.1986875000002"/>
    <x v="4"/>
  </r>
  <r>
    <n v="390817"/>
    <x v="16"/>
    <n v="47569"/>
    <x v="6"/>
    <s v="Работа"/>
    <d v="2025-03-12T00:00:00"/>
    <n v="8"/>
    <n v="8"/>
    <s v="ревью сервиса комментов и изучение шаблонов "/>
    <d v="2025-03-13T00:00:00"/>
    <m/>
    <n v="602.07991249999998"/>
    <n v="4816.6392999999998"/>
    <x v="4"/>
  </r>
  <r>
    <n v="422324"/>
    <x v="19"/>
    <n v="54643"/>
    <x v="10"/>
    <s v="Работа"/>
    <d v="2025-03-12T00:00:00"/>
    <n v="8"/>
    <n v="8"/>
    <s v="Единичные зачисления"/>
    <d v="2025-05-30T00:00:00"/>
    <m/>
    <n v="1505.1997809523809"/>
    <n v="12041.598247619047"/>
    <x v="4"/>
  </r>
  <r>
    <n v="390583"/>
    <x v="16"/>
    <n v="47572"/>
    <x v="8"/>
    <s v="Работа"/>
    <d v="2025-03-12T00:00:00"/>
    <n v="1"/>
    <n v="1"/>
    <s v="Созвон по настройке проекта"/>
    <d v="2025-03-12T00:00:00"/>
    <m/>
    <n v="1128.8998357142857"/>
    <n v="1128.8998357142857"/>
    <x v="4"/>
  </r>
  <r>
    <n v="391102"/>
    <x v="9"/>
    <n v="51263"/>
    <x v="11"/>
    <s v="Работа"/>
    <d v="2025-03-12T00:00:00"/>
    <n v="8"/>
    <n v="8"/>
    <s v="Окончил тестирование тарифа склад-&amp;gt;склад. Описание эндпоинтов которые идут на бек. Тестирование локально с тестовым сервером 1с и на тестовом стенде "/>
    <d v="2025-03-13T00:00:00"/>
    <m/>
    <n v="602.07991249999998"/>
    <n v="4816.6392999999998"/>
    <x v="4"/>
  </r>
  <r>
    <n v="390177"/>
    <x v="16"/>
    <n v="47591"/>
    <x v="7"/>
    <s v="Работа"/>
    <d v="2025-03-11T00:00:00"/>
    <n v="3"/>
    <n v="3"/>
    <s v="работы с бэклогом, грумминг"/>
    <d v="2025-03-11T00:00:00"/>
    <m/>
    <n v="1806.2397375"/>
    <n v="5418.7192125000001"/>
    <x v="4"/>
  </r>
  <r>
    <n v="390178"/>
    <x v="16"/>
    <n v="47569"/>
    <x v="7"/>
    <s v="Работа"/>
    <d v="2025-03-11T00:00:00"/>
    <n v="1"/>
    <n v="1"/>
    <s v="анализ и решение"/>
    <d v="2025-03-11T00:00:00"/>
    <m/>
    <n v="1806.2397375"/>
    <n v="1806.2397375"/>
    <x v="4"/>
  </r>
  <r>
    <n v="390179"/>
    <x v="16"/>
    <n v="47539"/>
    <x v="7"/>
    <s v="Работа"/>
    <d v="2025-03-11T00:00:00"/>
    <n v="1.5"/>
    <n v="1.5"/>
    <s v="подготовка к оценке след этапов"/>
    <d v="2025-03-11T00:00:00"/>
    <m/>
    <n v="1806.2397375"/>
    <n v="2709.3596062500001"/>
    <x v="4"/>
  </r>
  <r>
    <n v="390180"/>
    <x v="16"/>
    <n v="47572"/>
    <x v="7"/>
    <s v="Работа"/>
    <d v="2025-03-11T00:00:00"/>
    <n v="2.5"/>
    <n v="2.5"/>
    <s v="on-boarding для Тимофея, коммуникации в команде"/>
    <d v="2025-03-11T00:00:00"/>
    <m/>
    <n v="1806.2397375"/>
    <n v="4515.5993437500001"/>
    <x v="4"/>
  </r>
  <r>
    <n v="390217"/>
    <x v="16"/>
    <n v="47615"/>
    <x v="16"/>
    <s v="Работа"/>
    <d v="2025-03-11T00:00:00"/>
    <n v="8"/>
    <n v="8"/>
    <s v="подробнее в Open Project"/>
    <d v="2025-03-11T00:00:00"/>
    <m/>
    <n v="1128.8998357142857"/>
    <n v="9031.1986857142856"/>
    <x v="4"/>
  </r>
  <r>
    <n v="394095"/>
    <x v="16"/>
    <n v="52114"/>
    <x v="5"/>
    <s v="Работа"/>
    <d v="2025-03-11T00:00:00"/>
    <n v="8"/>
    <n v="8"/>
    <s v="Testing"/>
    <d v="2025-03-21T00:00:00"/>
    <m/>
    <n v="451.55993452380955"/>
    <n v="3612.4794761904764"/>
    <x v="4"/>
  </r>
  <r>
    <n v="393864"/>
    <x v="16"/>
    <n v="47614"/>
    <x v="13"/>
    <s v="Работа"/>
    <d v="2025-03-11T00:00:00"/>
    <n v="0.5"/>
    <n v="0.5"/>
    <n v="544"/>
    <d v="2025-03-21T00:00:00"/>
    <m/>
    <n v="1418"/>
    <n v="709"/>
    <x v="4"/>
  </r>
  <r>
    <n v="390816"/>
    <x v="16"/>
    <n v="47569"/>
    <x v="6"/>
    <s v="Работа"/>
    <d v="2025-03-11T00:00:00"/>
    <n v="8"/>
    <n v="8"/>
    <s v="доработки и улучшения в сервисе комментов к дому"/>
    <d v="2025-03-13T00:00:00"/>
    <m/>
    <n v="602.07991249999998"/>
    <n v="4816.6392999999998"/>
    <x v="4"/>
  </r>
  <r>
    <n v="422323"/>
    <x v="19"/>
    <n v="54643"/>
    <x v="10"/>
    <s v="Работа"/>
    <d v="2025-03-11T00:00:00"/>
    <n v="8"/>
    <n v="8"/>
    <s v="Единичные зачисления"/>
    <d v="2025-05-30T00:00:00"/>
    <m/>
    <n v="1505.1997809523809"/>
    <n v="12041.598247619047"/>
    <x v="4"/>
  </r>
  <r>
    <n v="391101"/>
    <x v="9"/>
    <n v="51263"/>
    <x v="11"/>
    <s v="Работа"/>
    <d v="2025-03-11T00:00:00"/>
    <n v="8"/>
    <n v="8"/>
    <s v="Описание эндпоинтов которые сейчас есть на беке. Исследование документации im.shop. Пополнение postman СДЭК начало тестирование тарифа склад-&amp;gt;склад"/>
    <d v="2025-03-13T00:00:00"/>
    <m/>
    <n v="602.07991249999998"/>
    <n v="4816.6392999999998"/>
    <x v="4"/>
  </r>
  <r>
    <n v="413966"/>
    <x v="2"/>
    <n v="29236"/>
    <x v="15"/>
    <s v="Внутренняя деятельность"/>
    <d v="2025-03-10T00:00:00"/>
    <n v="72"/>
    <n v="72"/>
    <s v="Разработка прототипа Шлюмберже. "/>
    <d v="2025-05-05T00:00:00"/>
    <m/>
    <n v="376.29994523809523"/>
    <n v="27093.596057142859"/>
    <x v="4"/>
  </r>
  <r>
    <n v="390216"/>
    <x v="16"/>
    <n v="47615"/>
    <x v="16"/>
    <s v="Работа"/>
    <d v="2025-03-10T00:00:00"/>
    <n v="8"/>
    <n v="8"/>
    <s v="подробнее в Open Project"/>
    <d v="2025-03-11T00:00:00"/>
    <m/>
    <n v="1128.8998357142857"/>
    <n v="9031.1986857142856"/>
    <x v="4"/>
  </r>
  <r>
    <n v="394093"/>
    <x v="16"/>
    <n v="52114"/>
    <x v="5"/>
    <s v="Работа"/>
    <d v="2025-03-10T00:00:00"/>
    <n v="8"/>
    <n v="8"/>
    <s v="Testing"/>
    <d v="2025-03-21T00:00:00"/>
    <m/>
    <n v="451.55993452380955"/>
    <n v="3612.4794761904764"/>
    <x v="4"/>
  </r>
  <r>
    <n v="389751"/>
    <x v="16"/>
    <n v="47537"/>
    <x v="7"/>
    <s v="Работа"/>
    <d v="2025-03-10T00:00:00"/>
    <n v="2"/>
    <n v="2"/>
    <n v="1526"/>
    <d v="2025-03-10T00:00:00"/>
    <m/>
    <n v="1806.2397375"/>
    <n v="3612.4794750000001"/>
    <x v="4"/>
  </r>
  <r>
    <n v="389752"/>
    <x v="16"/>
    <n v="47569"/>
    <x v="7"/>
    <s v="Работа"/>
    <d v="2025-03-10T00:00:00"/>
    <n v="2.5"/>
    <n v="2.5"/>
    <n v="1351"/>
    <d v="2025-03-10T00:00:00"/>
    <m/>
    <n v="1806.2397375"/>
    <n v="4515.5993437500001"/>
    <x v="4"/>
  </r>
  <r>
    <n v="389753"/>
    <x v="16"/>
    <n v="47572"/>
    <x v="7"/>
    <s v="Работа"/>
    <d v="2025-03-10T00:00:00"/>
    <n v="3.5"/>
    <n v="3.5"/>
    <s v="коммуникация с разработчиками"/>
    <d v="2025-03-10T00:00:00"/>
    <m/>
    <n v="1806.2397375"/>
    <n v="6321.8390812500002"/>
    <x v="4"/>
  </r>
  <r>
    <n v="393861"/>
    <x v="16"/>
    <n v="47614"/>
    <x v="13"/>
    <s v="Работа"/>
    <d v="2025-03-10T00:00:00"/>
    <n v="2"/>
    <n v="2"/>
    <n v="1481"/>
    <d v="2025-03-21T00:00:00"/>
    <m/>
    <n v="1418"/>
    <n v="2836"/>
    <x v="4"/>
  </r>
  <r>
    <n v="393863"/>
    <x v="16"/>
    <n v="47614"/>
    <x v="13"/>
    <s v="Работа"/>
    <d v="2025-03-10T00:00:00"/>
    <n v="0.5"/>
    <n v="0.5"/>
    <n v="544"/>
    <d v="2025-03-21T00:00:00"/>
    <m/>
    <n v="1418"/>
    <n v="709"/>
    <x v="4"/>
  </r>
  <r>
    <n v="390814"/>
    <x v="16"/>
    <n v="47569"/>
    <x v="6"/>
    <s v="Работа"/>
    <d v="2025-03-10T00:00:00"/>
    <n v="9"/>
    <n v="9"/>
    <s v="ревью сервиса комментов"/>
    <d v="2025-03-13T00:00:00"/>
    <m/>
    <n v="602.07991249999998"/>
    <n v="5418.7192125000001"/>
    <x v="4"/>
  </r>
  <r>
    <n v="422322"/>
    <x v="19"/>
    <n v="54643"/>
    <x v="10"/>
    <s v="Работа"/>
    <d v="2025-03-10T00:00:00"/>
    <n v="8"/>
    <n v="8"/>
    <s v="Единичные зачисления"/>
    <d v="2025-05-30T00:00:00"/>
    <m/>
    <n v="1505.1997809523809"/>
    <n v="12041.598247619047"/>
    <x v="4"/>
  </r>
  <r>
    <n v="391100"/>
    <x v="9"/>
    <n v="51263"/>
    <x v="11"/>
    <s v="Работа"/>
    <d v="2025-03-10T00:00:00"/>
    <n v="11"/>
    <n v="11"/>
    <s v="Тестирование тарифа склад -&amp;gt; дверь на тестовом окружении СДЭК. Пополнение общего postman запросами на СДЭК"/>
    <d v="2025-03-13T00:00:00"/>
    <m/>
    <n v="602.07991249999998"/>
    <n v="6622.8790374999999"/>
    <x v="4"/>
  </r>
  <r>
    <n v="393857"/>
    <x v="16"/>
    <n v="47614"/>
    <x v="13"/>
    <s v="Работа"/>
    <d v="2025-03-09T00:00:00"/>
    <n v="1"/>
    <n v="1"/>
    <n v="1491"/>
    <d v="2025-03-21T00:00:00"/>
    <m/>
    <n v="1418"/>
    <n v="1418"/>
    <x v="4"/>
  </r>
  <r>
    <n v="393859"/>
    <x v="16"/>
    <n v="47614"/>
    <x v="13"/>
    <s v="Работа"/>
    <d v="2025-03-09T00:00:00"/>
    <n v="4"/>
    <n v="4"/>
    <n v="1481"/>
    <d v="2025-03-21T00:00:00"/>
    <m/>
    <n v="1418"/>
    <n v="5672"/>
    <x v="4"/>
  </r>
  <r>
    <n v="390215"/>
    <x v="16"/>
    <n v="47615"/>
    <x v="16"/>
    <s v="Работа"/>
    <d v="2025-03-07T00:00:00"/>
    <n v="8"/>
    <n v="8"/>
    <s v="подробнее в Open Project"/>
    <d v="2025-03-11T00:00:00"/>
    <m/>
    <n v="1128.8998357142857"/>
    <n v="9031.1986857142856"/>
    <x v="4"/>
  </r>
  <r>
    <n v="441191"/>
    <x v="5"/>
    <n v="53893"/>
    <x v="15"/>
    <s v="Работа"/>
    <d v="2025-03-07T00:00:00"/>
    <n v="8"/>
    <n v="8"/>
    <s v="работа"/>
    <d v="2025-07-21T00:00:00"/>
    <m/>
    <n v="376.29994523809523"/>
    <n v="3010.3995619047619"/>
    <x v="4"/>
  </r>
  <r>
    <n v="394092"/>
    <x v="16"/>
    <n v="52114"/>
    <x v="5"/>
    <s v="Работа"/>
    <d v="2025-03-07T00:00:00"/>
    <n v="8"/>
    <n v="8"/>
    <s v="Testing"/>
    <d v="2025-03-21T00:00:00"/>
    <m/>
    <n v="451.55993452380955"/>
    <n v="3612.4794761904764"/>
    <x v="4"/>
  </r>
  <r>
    <n v="393855"/>
    <x v="16"/>
    <n v="47614"/>
    <x v="13"/>
    <s v="Работа"/>
    <d v="2025-03-07T00:00:00"/>
    <n v="2"/>
    <n v="2"/>
    <n v="911"/>
    <d v="2025-03-21T00:00:00"/>
    <m/>
    <n v="1418"/>
    <n v="2836"/>
    <x v="4"/>
  </r>
  <r>
    <n v="389517"/>
    <x v="16"/>
    <n v="47569"/>
    <x v="7"/>
    <s v="Работа"/>
    <d v="2025-03-07T00:00:00"/>
    <n v="8"/>
    <n v="8"/>
    <s v="решение задач в бэкенде"/>
    <d v="2025-03-10T00:00:00"/>
    <m/>
    <n v="1806.2397375"/>
    <n v="14449.9179"/>
    <x v="4"/>
  </r>
  <r>
    <n v="412324"/>
    <x v="16"/>
    <n v="47569"/>
    <x v="6"/>
    <s v="Работа"/>
    <d v="2025-03-07T00:00:00"/>
    <n v="31"/>
    <n v="31"/>
    <s v="."/>
    <d v="2025-04-30T00:00:00"/>
    <m/>
    <n v="602.07991249999998"/>
    <n v="18664.477287499998"/>
    <x v="4"/>
  </r>
  <r>
    <n v="422320"/>
    <x v="19"/>
    <n v="54643"/>
    <x v="10"/>
    <s v="Работа"/>
    <d v="2025-03-07T00:00:00"/>
    <n v="8"/>
    <n v="8"/>
    <s v="Безналичные зачисления"/>
    <d v="2025-05-30T00:00:00"/>
    <m/>
    <n v="1505.1997809523809"/>
    <n v="12041.598247619047"/>
    <x v="4"/>
  </r>
  <r>
    <n v="391099"/>
    <x v="9"/>
    <n v="51263"/>
    <x v="11"/>
    <s v="Работа"/>
    <d v="2025-03-07T00:00:00"/>
    <n v="10"/>
    <n v="10"/>
    <s v="Исследование api СДЕК, тестирование на тестовой среде api.edu.cdek.ru"/>
    <d v="2025-03-13T00:00:00"/>
    <m/>
    <n v="602.07991249999998"/>
    <n v="6020.7991249999995"/>
    <x v="4"/>
  </r>
  <r>
    <n v="389569"/>
    <x v="1"/>
    <n v="13970"/>
    <x v="9"/>
    <s v="Внутренняя деятельность"/>
    <d v="2025-03-07T00:00:00"/>
    <n v="25"/>
    <n v="25"/>
    <s v="#13970 - CD - Research "/>
    <d v="2025-03-10T00:00:00"/>
    <m/>
    <n v="1505.1997809523809"/>
    <n v="37629.994523809524"/>
    <x v="4"/>
  </r>
  <r>
    <n v="389319"/>
    <x v="9"/>
    <n v="51262"/>
    <x v="0"/>
    <s v="Работа"/>
    <d v="2025-03-07T00:00:00"/>
    <n v="40"/>
    <n v="40"/>
    <s v="Поддержка и исследование проекта Предубеждай"/>
    <d v="2025-03-09T00:00:00"/>
    <m/>
    <n v="2107.2796934523808"/>
    <n v="84291.187738095236"/>
    <x v="4"/>
  </r>
  <r>
    <n v="414016"/>
    <x v="16"/>
    <n v="47614"/>
    <x v="15"/>
    <s v="Работа"/>
    <d v="2025-03-06T00:00:00"/>
    <n v="32"/>
    <n v="32"/>
    <s v="UC3.59: Редактирование настроек отображения и порядка столбцов журналов системы для всех пользователей"/>
    <d v="2025-05-05T00:00:00"/>
    <m/>
    <n v="376.29994523809523"/>
    <n v="12041.598247619047"/>
    <x v="4"/>
  </r>
  <r>
    <n v="394091"/>
    <x v="16"/>
    <n v="52114"/>
    <x v="5"/>
    <s v="Работа"/>
    <d v="2025-03-06T00:00:00"/>
    <n v="8"/>
    <n v="8"/>
    <s v="Testing"/>
    <d v="2025-03-21T00:00:00"/>
    <m/>
    <n v="451.55993452380955"/>
    <n v="3612.4794761904764"/>
    <x v="4"/>
  </r>
  <r>
    <n v="393852"/>
    <x v="16"/>
    <n v="47614"/>
    <x v="13"/>
    <s v="Работа"/>
    <d v="2025-03-06T00:00:00"/>
    <n v="1"/>
    <n v="1"/>
    <n v="911"/>
    <d v="2025-03-21T00:00:00"/>
    <m/>
    <n v="1418"/>
    <n v="1418"/>
    <x v="4"/>
  </r>
  <r>
    <n v="393854"/>
    <x v="16"/>
    <n v="47614"/>
    <x v="13"/>
    <s v="Работа"/>
    <d v="2025-03-06T00:00:00"/>
    <n v="1"/>
    <n v="1"/>
    <n v="1517"/>
    <d v="2025-03-21T00:00:00"/>
    <m/>
    <n v="1418"/>
    <n v="1418"/>
    <x v="4"/>
  </r>
  <r>
    <n v="388748"/>
    <x v="16"/>
    <n v="47537"/>
    <x v="7"/>
    <s v="Работа"/>
    <d v="2025-03-06T00:00:00"/>
    <n v="3"/>
    <n v="3"/>
    <s v="демо спринт7, оценка АСУ след этап,  тех обсуждение с ПОлиной"/>
    <d v="2025-03-06T00:00:00"/>
    <m/>
    <n v="1806.2397375"/>
    <n v="5418.7192125000001"/>
    <x v="4"/>
  </r>
  <r>
    <n v="388749"/>
    <x v="16"/>
    <n v="47570"/>
    <x v="7"/>
    <s v="Работа"/>
    <d v="2025-03-06T00:00:00"/>
    <n v="1"/>
    <n v="1"/>
    <s v="ревью"/>
    <d v="2025-03-06T00:00:00"/>
    <m/>
    <n v="1806.2397375"/>
    <n v="1806.2397375"/>
    <x v="4"/>
  </r>
  <r>
    <n v="388750"/>
    <x v="16"/>
    <n v="47569"/>
    <x v="7"/>
    <s v="Работа"/>
    <d v="2025-03-06T00:00:00"/>
    <n v="2"/>
    <n v="2"/>
    <s v="1366 траблшутинг"/>
    <d v="2025-03-06T00:00:00"/>
    <m/>
    <n v="1806.2397375"/>
    <n v="3612.4794750000001"/>
    <x v="4"/>
  </r>
  <r>
    <n v="388751"/>
    <x v="16"/>
    <n v="47572"/>
    <x v="7"/>
    <s v="Работа"/>
    <d v="2025-03-06T00:00:00"/>
    <n v="2"/>
    <n v="2"/>
    <s v="технические дискуссии"/>
    <d v="2025-03-06T00:00:00"/>
    <m/>
    <n v="1806.2397375"/>
    <n v="3612.4794750000001"/>
    <x v="4"/>
  </r>
  <r>
    <n v="412323"/>
    <x v="16"/>
    <n v="47569"/>
    <x v="6"/>
    <s v="Работа"/>
    <d v="2025-03-06T00:00:00"/>
    <n v="8"/>
    <n v="8"/>
    <s v="."/>
    <d v="2025-04-30T00:00:00"/>
    <m/>
    <n v="602.07991249999998"/>
    <n v="4816.6392999999998"/>
    <x v="4"/>
  </r>
  <r>
    <n v="422319"/>
    <x v="19"/>
    <n v="54643"/>
    <x v="10"/>
    <s v="Работа"/>
    <d v="2025-03-06T00:00:00"/>
    <n v="8"/>
    <n v="8"/>
    <s v="Безналичные зачисления"/>
    <d v="2025-05-30T00:00:00"/>
    <m/>
    <n v="1505.1997809523809"/>
    <n v="12041.598247619047"/>
    <x v="4"/>
  </r>
  <r>
    <n v="391098"/>
    <x v="9"/>
    <n v="51263"/>
    <x v="11"/>
    <s v="Работа"/>
    <d v="2025-03-06T00:00:00"/>
    <n v="8"/>
    <n v="8"/>
    <s v="Создание решения"/>
    <d v="2025-03-13T00:00:00"/>
    <m/>
    <n v="602.07991249999998"/>
    <n v="4816.6392999999998"/>
    <x v="4"/>
  </r>
  <r>
    <n v="394089"/>
    <x v="16"/>
    <n v="52114"/>
    <x v="5"/>
    <s v="Работа"/>
    <d v="2025-03-05T00:00:00"/>
    <n v="8"/>
    <n v="8"/>
    <s v="Testing"/>
    <d v="2025-03-21T00:00:00"/>
    <m/>
    <n v="451.55993452380955"/>
    <n v="3612.4794761904764"/>
    <x v="4"/>
  </r>
  <r>
    <n v="393848"/>
    <x v="16"/>
    <n v="47614"/>
    <x v="13"/>
    <s v="Работа"/>
    <d v="2025-03-05T00:00:00"/>
    <n v="1"/>
    <n v="1"/>
    <n v="1479"/>
    <d v="2025-03-21T00:00:00"/>
    <m/>
    <n v="1418"/>
    <n v="1418"/>
    <x v="4"/>
  </r>
  <r>
    <n v="393850"/>
    <x v="16"/>
    <n v="47614"/>
    <x v="13"/>
    <s v="Работа"/>
    <d v="2025-03-05T00:00:00"/>
    <n v="0.5"/>
    <n v="0.5"/>
    <n v="544"/>
    <d v="2025-03-21T00:00:00"/>
    <m/>
    <n v="1418"/>
    <n v="709"/>
    <x v="4"/>
  </r>
  <r>
    <n v="412322"/>
    <x v="16"/>
    <n v="47569"/>
    <x v="6"/>
    <s v="Работа"/>
    <d v="2025-03-05T00:00:00"/>
    <n v="8"/>
    <n v="8"/>
    <s v="."/>
    <d v="2025-04-30T00:00:00"/>
    <m/>
    <n v="602.07991249999998"/>
    <n v="4816.6392999999998"/>
    <x v="4"/>
  </r>
  <r>
    <n v="422318"/>
    <x v="19"/>
    <n v="54643"/>
    <x v="10"/>
    <s v="Работа"/>
    <d v="2025-03-05T00:00:00"/>
    <n v="8"/>
    <n v="8"/>
    <s v="Безналичные зачисления"/>
    <d v="2025-05-30T00:00:00"/>
    <m/>
    <n v="1505.1997809523809"/>
    <n v="12041.598247619047"/>
    <x v="4"/>
  </r>
  <r>
    <n v="391097"/>
    <x v="9"/>
    <n v="51263"/>
    <x v="11"/>
    <s v="Работа"/>
    <d v="2025-03-05T00:00:00"/>
    <n v="5"/>
    <n v="5"/>
    <s v="Изучение апи СДЭК и ApiShip и взаимодействие с ними. Debug кода, отслеживание взаимодействие"/>
    <d v="2025-03-13T00:00:00"/>
    <m/>
    <n v="602.07991249999998"/>
    <n v="3010.3995624999998"/>
    <x v="4"/>
  </r>
  <r>
    <n v="388310"/>
    <x v="16"/>
    <n v="47537"/>
    <x v="7"/>
    <s v="Работа"/>
    <d v="2025-03-05T00:00:00"/>
    <n v="2"/>
    <n v="2"/>
    <s v="техническая встреча для подготовки оценок на этап 2"/>
    <d v="2025-03-05T00:00:00"/>
    <m/>
    <n v="1806.2397375"/>
    <n v="3612.4794750000001"/>
    <x v="4"/>
  </r>
  <r>
    <n v="388311"/>
    <x v="16"/>
    <n v="47568"/>
    <x v="7"/>
    <s v="Работа"/>
    <d v="2025-03-05T00:00:00"/>
    <n v="2"/>
    <n v="2"/>
    <s v="1366, 685"/>
    <d v="2025-03-05T00:00:00"/>
    <m/>
    <n v="1806.2397375"/>
    <n v="3612.4794750000001"/>
    <x v="4"/>
  </r>
  <r>
    <n v="388312"/>
    <x v="16"/>
    <n v="50244"/>
    <x v="7"/>
    <s v="Работа"/>
    <d v="2025-03-05T00:00:00"/>
    <n v="1"/>
    <n v="1"/>
    <s v="работа со стейдж  серверами"/>
    <d v="2025-03-05T00:00:00"/>
    <m/>
    <n v="1806.2397375"/>
    <n v="1806.2397375"/>
    <x v="4"/>
  </r>
  <r>
    <n v="388313"/>
    <x v="16"/>
    <n v="47570"/>
    <x v="7"/>
    <s v="Работа"/>
    <d v="2025-03-05T00:00:00"/>
    <n v="1"/>
    <n v="1"/>
    <s v="ревью"/>
    <d v="2025-03-05T00:00:00"/>
    <m/>
    <n v="1806.2397375"/>
    <n v="1806.2397375"/>
    <x v="4"/>
  </r>
  <r>
    <n v="388314"/>
    <x v="16"/>
    <n v="47572"/>
    <x v="7"/>
    <s v="Работа"/>
    <d v="2025-03-05T00:00:00"/>
    <n v="2"/>
    <n v="2"/>
    <s v="разные организационные и тех встречи в команде"/>
    <d v="2025-03-05T00:00:00"/>
    <m/>
    <n v="1806.2397375"/>
    <n v="3612.4794750000001"/>
    <x v="4"/>
  </r>
  <r>
    <n v="388900"/>
    <x v="9"/>
    <n v="51251"/>
    <x v="9"/>
    <s v="Работа"/>
    <d v="2025-03-04T00:00:00"/>
    <n v="26"/>
    <n v="26"/>
    <s v="#51251 - FE"/>
    <d v="2025-03-07T00:00:00"/>
    <m/>
    <n v="1505.1997809523809"/>
    <n v="39135.194304761906"/>
    <x v="4"/>
  </r>
  <r>
    <n v="394088"/>
    <x v="16"/>
    <n v="52114"/>
    <x v="5"/>
    <s v="Работа"/>
    <d v="2025-03-04T00:00:00"/>
    <n v="8"/>
    <n v="8"/>
    <s v="Updating Test Cases"/>
    <d v="2025-03-21T00:00:00"/>
    <m/>
    <n v="451.55993452380955"/>
    <n v="3612.4794761904764"/>
    <x v="4"/>
  </r>
  <r>
    <n v="393842"/>
    <x v="16"/>
    <n v="47614"/>
    <x v="13"/>
    <s v="Работа"/>
    <d v="2025-03-04T00:00:00"/>
    <n v="1"/>
    <n v="1"/>
    <n v="1517"/>
    <d v="2025-03-21T00:00:00"/>
    <m/>
    <n v="1418"/>
    <n v="1418"/>
    <x v="4"/>
  </r>
  <r>
    <n v="393846"/>
    <x v="16"/>
    <n v="47614"/>
    <x v="13"/>
    <s v="Работа"/>
    <d v="2025-03-04T00:00:00"/>
    <n v="2"/>
    <n v="2"/>
    <n v="905"/>
    <d v="2025-03-21T00:00:00"/>
    <m/>
    <n v="1418"/>
    <n v="2836"/>
    <x v="4"/>
  </r>
  <r>
    <n v="387708"/>
    <x v="16"/>
    <n v="47570"/>
    <x v="7"/>
    <s v="Работа"/>
    <d v="2025-03-04T00:00:00"/>
    <n v="1"/>
    <n v="1"/>
    <s v="ревью бэка"/>
    <d v="2025-03-04T00:00:00"/>
    <m/>
    <n v="1806.2397375"/>
    <n v="1806.2397375"/>
    <x v="4"/>
  </r>
  <r>
    <n v="387709"/>
    <x v="16"/>
    <n v="50244"/>
    <x v="7"/>
    <s v="Работа"/>
    <d v="2025-03-04T00:00:00"/>
    <n v="2"/>
    <n v="2"/>
    <s v="работа со стейдж  серверами"/>
    <d v="2025-03-04T00:00:00"/>
    <m/>
    <n v="1806.2397375"/>
    <n v="3612.4794750000001"/>
    <x v="4"/>
  </r>
  <r>
    <n v="387710"/>
    <x v="16"/>
    <n v="47569"/>
    <x v="7"/>
    <s v="Работа"/>
    <d v="2025-03-04T00:00:00"/>
    <n v="0.5"/>
    <n v="0.5"/>
    <n v="1354"/>
    <d v="2025-03-04T00:00:00"/>
    <m/>
    <n v="1806.2397375"/>
    <n v="903.11986875000002"/>
    <x v="4"/>
  </r>
  <r>
    <n v="387711"/>
    <x v="16"/>
    <n v="47572"/>
    <x v="7"/>
    <s v="Работа"/>
    <d v="2025-03-04T00:00:00"/>
    <n v="4.5"/>
    <n v="4.5"/>
    <s v="синки, тех обсуждения"/>
    <d v="2025-03-04T00:00:00"/>
    <m/>
    <n v="1806.2397375"/>
    <n v="8128.0788187500002"/>
    <x v="4"/>
  </r>
  <r>
    <n v="412320"/>
    <x v="16"/>
    <n v="47569"/>
    <x v="6"/>
    <s v="Работа"/>
    <d v="2025-03-04T00:00:00"/>
    <n v="8"/>
    <n v="8"/>
    <s v="."/>
    <d v="2025-04-30T00:00:00"/>
    <m/>
    <n v="602.07991249999998"/>
    <n v="4816.6392999999998"/>
    <x v="4"/>
  </r>
  <r>
    <n v="422317"/>
    <x v="19"/>
    <n v="54643"/>
    <x v="10"/>
    <s v="Работа"/>
    <d v="2025-03-04T00:00:00"/>
    <n v="8"/>
    <n v="8"/>
    <s v="Безналичные зачисления"/>
    <d v="2025-05-30T00:00:00"/>
    <m/>
    <n v="1505.1997809523809"/>
    <n v="12041.598247619047"/>
    <x v="4"/>
  </r>
  <r>
    <n v="391096"/>
    <x v="9"/>
    <n v="51263"/>
    <x v="11"/>
    <s v="Работа"/>
    <d v="2025-03-04T00:00:00"/>
    <n v="8"/>
    <n v="8"/>
    <s v="Описывал причины появления сертификатов без серийного номера. Исследование задачи, кода"/>
    <d v="2025-03-13T00:00:00"/>
    <m/>
    <n v="602.07991249999998"/>
    <n v="4816.6392999999998"/>
    <x v="4"/>
  </r>
  <r>
    <n v="388899"/>
    <x v="16"/>
    <n v="47614"/>
    <x v="9"/>
    <s v="Работа"/>
    <d v="2025-03-03T00:00:00"/>
    <n v="38"/>
    <n v="38"/>
    <s v="#47614 - Разработка FE"/>
    <d v="2025-03-07T00:00:00"/>
    <m/>
    <n v="1505.1997809523809"/>
    <n v="57197.591676190474"/>
    <x v="4"/>
  </r>
  <r>
    <n v="393823"/>
    <x v="16"/>
    <n v="47614"/>
    <x v="13"/>
    <s v="Работа"/>
    <d v="2025-03-03T00:00:00"/>
    <n v="0.5"/>
    <n v="0.5"/>
    <n v="544"/>
    <d v="2025-03-21T00:00:00"/>
    <m/>
    <n v="1418"/>
    <n v="709"/>
    <x v="4"/>
  </r>
  <r>
    <n v="393830"/>
    <x v="16"/>
    <n v="47614"/>
    <x v="13"/>
    <s v="Работа"/>
    <d v="2025-03-03T00:00:00"/>
    <n v="0.5"/>
    <n v="0.5"/>
    <n v="1491"/>
    <d v="2025-03-21T00:00:00"/>
    <m/>
    <n v="1418"/>
    <n v="709"/>
    <x v="4"/>
  </r>
  <r>
    <n v="394087"/>
    <x v="16"/>
    <n v="52114"/>
    <x v="5"/>
    <s v="Работа"/>
    <d v="2025-03-03T00:00:00"/>
    <n v="8"/>
    <n v="8"/>
    <s v="Updating Test Cases"/>
    <d v="2025-03-21T00:00:00"/>
    <m/>
    <n v="451.55993452380955"/>
    <n v="3612.4794761904764"/>
    <x v="4"/>
  </r>
  <r>
    <n v="393838"/>
    <x v="16"/>
    <n v="47614"/>
    <x v="13"/>
    <s v="Работа"/>
    <d v="2025-03-03T00:00:00"/>
    <n v="0.5"/>
    <n v="0.5"/>
    <n v="1491"/>
    <d v="2025-03-21T00:00:00"/>
    <m/>
    <n v="1418"/>
    <n v="709"/>
    <x v="4"/>
  </r>
  <r>
    <n v="387705"/>
    <x v="16"/>
    <n v="47569"/>
    <x v="7"/>
    <s v="Работа"/>
    <d v="2025-03-03T00:00:00"/>
    <n v="5"/>
    <n v="5"/>
    <s v="1351, 1352"/>
    <d v="2025-03-04T00:00:00"/>
    <m/>
    <n v="1806.2397375"/>
    <n v="9031.1986875000002"/>
    <x v="4"/>
  </r>
  <r>
    <n v="387706"/>
    <x v="16"/>
    <n v="47570"/>
    <x v="7"/>
    <s v="Работа"/>
    <d v="2025-03-03T00:00:00"/>
    <n v="2.5"/>
    <n v="2.5"/>
    <s v="ревью бэка"/>
    <d v="2025-03-04T00:00:00"/>
    <m/>
    <n v="1806.2397375"/>
    <n v="4515.5993437500001"/>
    <x v="4"/>
  </r>
  <r>
    <n v="387707"/>
    <x v="16"/>
    <n v="47572"/>
    <x v="7"/>
    <s v="Работа"/>
    <d v="2025-03-03T00:00:00"/>
    <n v="0.5"/>
    <n v="0.5"/>
    <s v="синк"/>
    <d v="2025-03-04T00:00:00"/>
    <m/>
    <n v="1806.2397375"/>
    <n v="903.11986875000002"/>
    <x v="4"/>
  </r>
  <r>
    <n v="412314"/>
    <x v="16"/>
    <n v="47569"/>
    <x v="6"/>
    <s v="Работа"/>
    <d v="2025-03-03T00:00:00"/>
    <n v="8"/>
    <n v="8"/>
    <s v="."/>
    <d v="2025-04-30T00:00:00"/>
    <m/>
    <n v="602.07991249999998"/>
    <n v="4816.6392999999998"/>
    <x v="4"/>
  </r>
  <r>
    <n v="422316"/>
    <x v="19"/>
    <n v="54643"/>
    <x v="10"/>
    <s v="Работа"/>
    <d v="2025-03-03T00:00:00"/>
    <n v="8"/>
    <n v="8"/>
    <s v="Безналичные зачисления"/>
    <d v="2025-05-30T00:00:00"/>
    <m/>
    <n v="1505.1997809523809"/>
    <n v="12041.598247619047"/>
    <x v="4"/>
  </r>
  <r>
    <n v="391095"/>
    <x v="9"/>
    <n v="51263"/>
    <x v="11"/>
    <s v="Работа"/>
    <d v="2025-03-03T00:00:00"/>
    <n v="6"/>
    <n v="6"/>
    <s v="Изменил обработку создания заказа, чтобы серийный номер не генерился, а возвращался из 1с. Изменил запрос в 1с, чтобы отправлялся не только значение сертификата, но и id заказа. Создал пр на сертификаты. Описание процесса покупки и активации сертификатов."/>
    <d v="2025-03-13T00:00:00"/>
    <m/>
    <n v="602.07991249999998"/>
    <n v="3612.4794750000001"/>
    <x v="4"/>
  </r>
  <r>
    <n v="393815"/>
    <x v="16"/>
    <n v="47614"/>
    <x v="13"/>
    <s v="Работа"/>
    <d v="2025-03-02T00:00:00"/>
    <n v="2"/>
    <n v="2"/>
    <n v="1497"/>
    <d v="2025-03-21T00:00:00"/>
    <m/>
    <n v="1418"/>
    <n v="2836"/>
    <x v="4"/>
  </r>
  <r>
    <n v="393817"/>
    <x v="16"/>
    <n v="47614"/>
    <x v="13"/>
    <s v="Работа"/>
    <d v="2025-03-02T00:00:00"/>
    <n v="2"/>
    <n v="2"/>
    <n v="1497"/>
    <d v="2025-03-21T00:00:00"/>
    <m/>
    <n v="1418"/>
    <n v="2836"/>
    <x v="4"/>
  </r>
  <r>
    <n v="393808"/>
    <x v="16"/>
    <n v="47614"/>
    <x v="13"/>
    <s v="Работа"/>
    <d v="2025-03-01T00:00:00"/>
    <n v="5"/>
    <n v="5"/>
    <s v="1517, Внесение символов и знаков в в обязательные поля ввода в созданном доме"/>
    <d v="2025-03-21T00:00:00"/>
    <m/>
    <n v="1418"/>
    <n v="7090"/>
    <x v="4"/>
  </r>
  <r>
    <n v="393812"/>
    <x v="16"/>
    <n v="47614"/>
    <x v="13"/>
    <s v="Работа"/>
    <d v="2025-03-01T00:00:00"/>
    <n v="1"/>
    <n v="1"/>
    <s v="1518, Количество пробелов в полях "/>
    <d v="2025-03-21T00:00:00"/>
    <m/>
    <n v="1418"/>
    <n v="1418"/>
    <x v="4"/>
  </r>
  <r>
    <n v="393814"/>
    <x v="16"/>
    <n v="47614"/>
    <x v="13"/>
    <s v="Работа"/>
    <d v="2025-03-01T00:00:00"/>
    <n v="1"/>
    <n v="1"/>
    <s v="1491, Проверить, что вид журнала меняется в зависимости от фильтров. Фильтр не работает, по заданной логике "/>
    <d v="2025-03-21T00:00:00"/>
    <m/>
    <n v="1418"/>
    <n v="1418"/>
    <x v="4"/>
  </r>
  <r>
    <n v="431906"/>
    <x v="20"/>
    <n v="52107"/>
    <x v="1"/>
    <s v="Работа"/>
    <d v="2025-02-28T00:00:00"/>
    <n v="1"/>
    <n v="1"/>
    <s v="Task planning, meetings with client"/>
    <d v="2025-06-27T00:00:00"/>
    <m/>
    <n v="1975.5747125000003"/>
    <n v="1975.5747125000003"/>
    <x v="5"/>
  </r>
  <r>
    <n v="412994"/>
    <x v="3"/>
    <n v="21152"/>
    <x v="1"/>
    <s v="Внутренняя деятельность"/>
    <d v="2025-02-28T00:00:00"/>
    <n v="30"/>
    <n v="30"/>
    <s v="Presales activities: offers, proposals, meetings"/>
    <d v="2025-04-30T00:00:00"/>
    <m/>
    <n v="1975.5747125000003"/>
    <n v="59267.241375000005"/>
    <x v="5"/>
  </r>
  <r>
    <n v="390210"/>
    <x v="16"/>
    <n v="47615"/>
    <x v="16"/>
    <s v="Работа"/>
    <d v="2025-02-28T00:00:00"/>
    <n v="8"/>
    <n v="8"/>
    <s v="подробнее в Open Project"/>
    <d v="2025-03-11T00:00:00"/>
    <m/>
    <n v="1185.3448275000001"/>
    <n v="9482.7586200000005"/>
    <x v="5"/>
  </r>
  <r>
    <n v="432254"/>
    <x v="3"/>
    <n v="21152"/>
    <x v="7"/>
    <s v="Внутренняя деятельность"/>
    <d v="2025-02-28T00:00:00"/>
    <n v="48"/>
    <n v="48"/>
    <s v="R&amp;amp;D"/>
    <d v="2025-06-28T00:00:00"/>
    <m/>
    <n v="1896.551724375"/>
    <n v="91034.482770000002"/>
    <x v="5"/>
  </r>
  <r>
    <n v="412288"/>
    <x v="16"/>
    <n v="47569"/>
    <x v="6"/>
    <s v="Работа"/>
    <d v="2025-02-28T00:00:00"/>
    <n v="8"/>
    <n v="8"/>
    <s v="."/>
    <d v="2025-04-30T00:00:00"/>
    <m/>
    <n v="632.18390812500002"/>
    <n v="5057.4712650000001"/>
    <x v="5"/>
  </r>
  <r>
    <n v="432012"/>
    <x v="16"/>
    <n v="47614"/>
    <x v="15"/>
    <s v="Работа"/>
    <d v="2025-02-28T00:00:00"/>
    <n v="112"/>
    <n v="112"/>
    <s v="Работа над багами, улучшения. "/>
    <d v="2025-06-27T00:00:00"/>
    <m/>
    <n v="395.11494249999998"/>
    <n v="44252.87356"/>
    <x v="5"/>
  </r>
  <r>
    <n v="432013"/>
    <x v="2"/>
    <n v="34"/>
    <x v="15"/>
    <s v="Внутренняя деятельность"/>
    <d v="2025-02-28T00:00:00"/>
    <n v="48"/>
    <n v="48"/>
    <s v="Обучение."/>
    <d v="2025-06-27T00:00:00"/>
    <m/>
    <n v="395.11494249999998"/>
    <n v="18965.517240000001"/>
    <x v="5"/>
  </r>
  <r>
    <n v="432269"/>
    <x v="2"/>
    <n v="29"/>
    <x v="5"/>
    <s v="Внутренняя деятельность"/>
    <d v="2025-02-28T00:00:00"/>
    <n v="72"/>
    <n v="72"/>
    <s v="-"/>
    <d v="2025-06-28T00:00:00"/>
    <m/>
    <n v="316.09195375000002"/>
    <n v="22758.62067"/>
    <x v="5"/>
  </r>
  <r>
    <n v="432275"/>
    <x v="16"/>
    <n v="47614"/>
    <x v="12"/>
    <s v="Работа"/>
    <d v="2025-02-28T00:00:00"/>
    <n v="157"/>
    <n v="157"/>
    <s v="R&amp;amp;D"/>
    <d v="2025-06-28T00:00:00"/>
    <m/>
    <n v="1380"/>
    <n v="216660"/>
    <x v="5"/>
  </r>
  <r>
    <n v="393883"/>
    <x v="16"/>
    <n v="47572"/>
    <x v="14"/>
    <s v="Работа"/>
    <d v="2025-02-28T00:00:00"/>
    <n v="1.5"/>
    <n v="1.5"/>
    <s v="Обсудили обработку ошибок, справочник"/>
    <d v="2025-03-21T00:00:00"/>
    <m/>
    <n v="1778.0172412500001"/>
    <n v="2667.0258618750004"/>
    <x v="5"/>
  </r>
  <r>
    <n v="432283"/>
    <x v="9"/>
    <n v="51263"/>
    <x v="0"/>
    <s v="Работа"/>
    <d v="2025-02-28T00:00:00"/>
    <n v="27"/>
    <n v="27"/>
    <s v="R&amp;amp;D"/>
    <d v="2025-06-28T00:00:00"/>
    <m/>
    <n v="2212.643678125"/>
    <n v="59741.379309374999"/>
    <x v="5"/>
  </r>
  <r>
    <n v="393886"/>
    <x v="10"/>
    <n v="51353"/>
    <x v="14"/>
    <s v="Работа"/>
    <d v="2025-02-28T00:00:00"/>
    <n v="6.5"/>
    <n v="6.5"/>
    <s v="начисление балов"/>
    <d v="2025-03-21T00:00:00"/>
    <m/>
    <n v="1778.0172412500001"/>
    <n v="11557.112068125001"/>
    <x v="5"/>
  </r>
  <r>
    <n v="415661"/>
    <x v="16"/>
    <n v="47614"/>
    <x v="13"/>
    <s v="Работа"/>
    <d v="2025-02-28T00:00:00"/>
    <n v="0.45"/>
    <n v="0.45"/>
    <s v="траблшутинг мр 906, 907, 908"/>
    <d v="2025-05-12T00:00:00"/>
    <m/>
    <n v="1418"/>
    <n v="638.1"/>
    <x v="5"/>
  </r>
  <r>
    <n v="415662"/>
    <x v="16"/>
    <n v="47614"/>
    <x v="13"/>
    <s v="Работа"/>
    <d v="2025-02-28T00:00:00"/>
    <n v="1"/>
    <n v="1"/>
    <n v="974"/>
    <d v="2025-05-12T00:00:00"/>
    <m/>
    <n v="1418"/>
    <n v="1418"/>
    <x v="5"/>
  </r>
  <r>
    <n v="415663"/>
    <x v="16"/>
    <n v="47614"/>
    <x v="13"/>
    <s v="Работа"/>
    <d v="2025-02-28T00:00:00"/>
    <n v="1"/>
    <n v="1"/>
    <n v="1497"/>
    <d v="2025-05-12T00:00:00"/>
    <m/>
    <n v="1418"/>
    <n v="1418"/>
    <x v="5"/>
  </r>
  <r>
    <n v="415664"/>
    <x v="16"/>
    <n v="47614"/>
    <x v="13"/>
    <s v="Работа"/>
    <d v="2025-02-28T00:00:00"/>
    <n v="1"/>
    <n v="1"/>
    <n v="1494"/>
    <d v="2025-05-12T00:00:00"/>
    <m/>
    <n v="1418"/>
    <n v="1418"/>
    <x v="5"/>
  </r>
  <r>
    <n v="415665"/>
    <x v="16"/>
    <n v="47572"/>
    <x v="13"/>
    <s v="Работа"/>
    <d v="2025-02-28T00:00:00"/>
    <n v="0.5"/>
    <n v="0.5"/>
    <s v="дейл"/>
    <d v="2025-05-12T00:00:00"/>
    <m/>
    <n v="1418"/>
    <n v="709"/>
    <x v="5"/>
  </r>
  <r>
    <n v="415666"/>
    <x v="16"/>
    <n v="47572"/>
    <x v="13"/>
    <s v="Работа"/>
    <d v="2025-02-28T00:00:00"/>
    <n v="0.45"/>
    <n v="0.45"/>
    <s v="резюмирующий дейл месяца"/>
    <d v="2025-05-12T00:00:00"/>
    <m/>
    <n v="1418"/>
    <n v="638.1"/>
    <x v="5"/>
  </r>
  <r>
    <n v="415667"/>
    <x v="16"/>
    <n v="47614"/>
    <x v="13"/>
    <s v="Работа"/>
    <d v="2025-02-28T00:00:00"/>
    <n v="1"/>
    <n v="1"/>
    <n v="1494"/>
    <d v="2025-05-12T00:00:00"/>
    <m/>
    <n v="1418"/>
    <n v="1418"/>
    <x v="5"/>
  </r>
  <r>
    <n v="391094"/>
    <x v="9"/>
    <n v="51263"/>
    <x v="11"/>
    <s v="Работа"/>
    <d v="2025-02-28T00:00:00"/>
    <n v="6"/>
    <n v="6"/>
    <s v="Писал Wiki покупки сертификатов и активации. Расписывал в виде диаграммы более глубокое взаимодействие. Разработка решения"/>
    <d v="2025-03-13T00:00:00"/>
    <m/>
    <n v="632.18390812500002"/>
    <n v="3793.1034487500001"/>
    <x v="5"/>
  </r>
  <r>
    <n v="389318"/>
    <x v="9"/>
    <n v="51262"/>
    <x v="0"/>
    <s v="Работа"/>
    <d v="2025-02-28T00:00:00"/>
    <n v="40"/>
    <n v="40"/>
    <s v="Поддержка и исследование проекта Предубеждай"/>
    <d v="2025-03-09T00:00:00"/>
    <m/>
    <n v="2212.643678125"/>
    <n v="88505.747124999994"/>
    <x v="5"/>
  </r>
  <r>
    <n v="431898"/>
    <x v="9"/>
    <n v="52108"/>
    <x v="1"/>
    <s v="Работа"/>
    <d v="2025-02-27T00:00:00"/>
    <n v="3"/>
    <n v="3"/>
    <s v="Task planning, meetings"/>
    <d v="2025-06-27T00:00:00"/>
    <m/>
    <n v="1975.5747125000003"/>
    <n v="5926.7241375000012"/>
    <x v="5"/>
  </r>
  <r>
    <n v="390209"/>
    <x v="16"/>
    <n v="47615"/>
    <x v="16"/>
    <s v="Работа"/>
    <d v="2025-02-27T00:00:00"/>
    <n v="8"/>
    <n v="8"/>
    <s v="подробнее в Open Project"/>
    <d v="2025-03-11T00:00:00"/>
    <m/>
    <n v="1185.3448275000001"/>
    <n v="9482.7586200000005"/>
    <x v="5"/>
  </r>
  <r>
    <n v="412286"/>
    <x v="16"/>
    <n v="47569"/>
    <x v="6"/>
    <s v="Работа"/>
    <d v="2025-02-27T00:00:00"/>
    <n v="8"/>
    <n v="8"/>
    <s v="."/>
    <d v="2025-04-30T00:00:00"/>
    <m/>
    <n v="632.18390812500002"/>
    <n v="5057.4712650000001"/>
    <x v="5"/>
  </r>
  <r>
    <n v="393873"/>
    <x v="16"/>
    <n v="47569"/>
    <x v="14"/>
    <s v="Работа"/>
    <d v="2025-02-27T00:00:00"/>
    <n v="3"/>
    <n v="3"/>
    <s v="user QR code"/>
    <d v="2025-03-21T00:00:00"/>
    <m/>
    <n v="1778.0172412500001"/>
    <n v="5334.0517237500007"/>
    <x v="5"/>
  </r>
  <r>
    <n v="393875"/>
    <x v="16"/>
    <n v="47572"/>
    <x v="14"/>
    <s v="Работа"/>
    <d v="2025-02-27T00:00:00"/>
    <n v="0.5"/>
    <n v="0.5"/>
    <s v="синк"/>
    <d v="2025-03-21T00:00:00"/>
    <m/>
    <n v="1778.0172412500001"/>
    <n v="889.00862062500005"/>
    <x v="5"/>
  </r>
  <r>
    <n v="393877"/>
    <x v="16"/>
    <n v="47572"/>
    <x v="14"/>
    <s v="Работа"/>
    <d v="2025-02-27T00:00:00"/>
    <n v="1.5"/>
    <n v="1.5"/>
    <s v="Созвон по шаблонам, группам, справочни"/>
    <d v="2025-03-21T00:00:00"/>
    <m/>
    <n v="1778.0172412500001"/>
    <n v="2667.0258618750004"/>
    <x v="5"/>
  </r>
  <r>
    <n v="393880"/>
    <x v="16"/>
    <n v="47568"/>
    <x v="14"/>
    <s v="Работа"/>
    <d v="2025-02-27T00:00:00"/>
    <n v="3"/>
    <n v="3"/>
    <s v="анализ вариантов решения для accessGroups"/>
    <d v="2025-03-21T00:00:00"/>
    <m/>
    <n v="1778.0172412500001"/>
    <n v="5334.0517237500007"/>
    <x v="5"/>
  </r>
  <r>
    <n v="415660"/>
    <x v="16"/>
    <n v="47572"/>
    <x v="13"/>
    <s v="Работа"/>
    <d v="2025-02-27T00:00:00"/>
    <n v="0.5"/>
    <n v="0.5"/>
    <s v="дейл"/>
    <d v="2025-05-12T00:00:00"/>
    <m/>
    <n v="1418"/>
    <n v="709"/>
    <x v="5"/>
  </r>
  <r>
    <n v="391093"/>
    <x v="9"/>
    <n v="51263"/>
    <x v="11"/>
    <s v="Работа"/>
    <d v="2025-02-27T00:00:00"/>
    <n v="8"/>
    <n v="8"/>
    <s v="Писал Wiki покупки сертификатов. Расписывал в виде диаграммы более глубокое взаимодействие. Разработка решения"/>
    <d v="2025-03-13T00:00:00"/>
    <m/>
    <n v="632.18390812500002"/>
    <n v="5057.4712650000001"/>
    <x v="5"/>
  </r>
  <r>
    <n v="384055"/>
    <x v="24"/>
    <n v="45146"/>
    <x v="10"/>
    <s v="Работа"/>
    <d v="2025-02-26T00:00:00"/>
    <n v="10"/>
    <n v="10"/>
    <s v="Отправка уведомлений на email"/>
    <d v="2025-02-26T00:00:00"/>
    <m/>
    <n v="1580.4597699999999"/>
    <n v="15804.597699999998"/>
    <x v="5"/>
  </r>
  <r>
    <n v="390208"/>
    <x v="16"/>
    <n v="47615"/>
    <x v="16"/>
    <s v="Работа"/>
    <d v="2025-02-26T00:00:00"/>
    <n v="8"/>
    <n v="8"/>
    <s v="подробнее в Open Project"/>
    <d v="2025-03-11T00:00:00"/>
    <m/>
    <n v="1185.3448275000001"/>
    <n v="9482.7586200000005"/>
    <x v="5"/>
  </r>
  <r>
    <n v="412285"/>
    <x v="16"/>
    <n v="47569"/>
    <x v="6"/>
    <s v="Работа"/>
    <d v="2025-02-26T00:00:00"/>
    <n v="8"/>
    <n v="8"/>
    <s v="."/>
    <d v="2025-04-30T00:00:00"/>
    <m/>
    <n v="632.18390812500002"/>
    <n v="5057.4712650000001"/>
    <x v="5"/>
  </r>
  <r>
    <n v="393868"/>
    <x v="16"/>
    <n v="47569"/>
    <x v="14"/>
    <s v="Работа"/>
    <d v="2025-02-26T00:00:00"/>
    <n v="7"/>
    <n v="7"/>
    <s v="Закончил, обработка ошибок в wrapper и во всех сервисах"/>
    <d v="2025-03-21T00:00:00"/>
    <m/>
    <n v="1778.0172412500001"/>
    <n v="12446.120688750001"/>
    <x v="5"/>
  </r>
  <r>
    <n v="393870"/>
    <x v="16"/>
    <n v="47572"/>
    <x v="14"/>
    <s v="Работа"/>
    <d v="2025-02-26T00:00:00"/>
    <n v="1"/>
    <n v="1"/>
    <s v="синк"/>
    <d v="2025-03-21T00:00:00"/>
    <m/>
    <n v="1778.0172412500001"/>
    <n v="1778.0172412500001"/>
    <x v="5"/>
  </r>
  <r>
    <n v="415655"/>
    <x v="16"/>
    <n v="47572"/>
    <x v="13"/>
    <s v="Работа"/>
    <d v="2025-02-26T00:00:00"/>
    <n v="0.5"/>
    <n v="0.5"/>
    <s v="дейл"/>
    <d v="2025-05-12T00:00:00"/>
    <m/>
    <n v="1418"/>
    <n v="709"/>
    <x v="5"/>
  </r>
  <r>
    <n v="415656"/>
    <x v="16"/>
    <n v="47614"/>
    <x v="13"/>
    <s v="Работа"/>
    <d v="2025-02-26T00:00:00"/>
    <n v="0.5"/>
    <n v="0.5"/>
    <s v="905, мр траблшутинг"/>
    <d v="2025-05-12T00:00:00"/>
    <m/>
    <n v="1418"/>
    <n v="709"/>
    <x v="5"/>
  </r>
  <r>
    <n v="415657"/>
    <x v="16"/>
    <n v="47614"/>
    <x v="13"/>
    <s v="Работа"/>
    <d v="2025-02-26T00:00:00"/>
    <n v="3"/>
    <n v="3"/>
    <n v="909"/>
    <d v="2025-05-12T00:00:00"/>
    <m/>
    <n v="1418"/>
    <n v="4254"/>
    <x v="5"/>
  </r>
  <r>
    <n v="415658"/>
    <x v="16"/>
    <n v="47614"/>
    <x v="13"/>
    <s v="Работа"/>
    <d v="2025-02-26T00:00:00"/>
    <n v="5"/>
    <n v="5"/>
    <n v="910"/>
    <d v="2025-05-12T00:00:00"/>
    <m/>
    <n v="1418"/>
    <n v="7090"/>
    <x v="5"/>
  </r>
  <r>
    <n v="415659"/>
    <x v="16"/>
    <n v="47614"/>
    <x v="13"/>
    <s v="Работа"/>
    <d v="2025-02-26T00:00:00"/>
    <n v="2"/>
    <n v="2"/>
    <n v="911"/>
    <d v="2025-05-12T00:00:00"/>
    <m/>
    <n v="1418"/>
    <n v="2836"/>
    <x v="5"/>
  </r>
  <r>
    <n v="432299"/>
    <x v="16"/>
    <n v="47569"/>
    <x v="17"/>
    <s v="Работа"/>
    <d v="2025-02-26T00:00:00"/>
    <n v="56"/>
    <n v="56"/>
    <s v="R&amp;amp;D"/>
    <d v="2025-06-28T00:00:00"/>
    <m/>
    <n v="1422.413793125"/>
    <n v="79655.172414999994"/>
    <x v="5"/>
  </r>
  <r>
    <n v="432301"/>
    <x v="2"/>
    <n v="29"/>
    <x v="17"/>
    <s v="Внутренняя деятельность"/>
    <d v="2025-02-26T00:00:00"/>
    <n v="97"/>
    <n v="97"/>
    <s v="-"/>
    <d v="2025-06-28T00:00:00"/>
    <m/>
    <n v="1422.413793125"/>
    <n v="137974.13793312499"/>
    <x v="5"/>
  </r>
  <r>
    <n v="432302"/>
    <x v="20"/>
    <n v="45363"/>
    <x v="17"/>
    <s v="Работа"/>
    <d v="2025-02-26T00:00:00"/>
    <n v="7"/>
    <n v="7"/>
    <s v="R&amp;amp;D"/>
    <d v="2025-06-28T00:00:00"/>
    <m/>
    <n v="1422.413793125"/>
    <n v="9956.8965518749992"/>
    <x v="5"/>
  </r>
  <r>
    <n v="391092"/>
    <x v="9"/>
    <n v="51263"/>
    <x v="11"/>
    <s v="Работа"/>
    <d v="2025-02-26T00:00:00"/>
    <n v="8"/>
    <n v="8"/>
    <s v="Писал Wiki покупки сертификатов. Разработка решения"/>
    <d v="2025-03-13T00:00:00"/>
    <m/>
    <n v="632.18390812500002"/>
    <n v="5057.4712650000001"/>
    <x v="5"/>
  </r>
  <r>
    <n v="390207"/>
    <x v="16"/>
    <n v="47615"/>
    <x v="16"/>
    <s v="Работа"/>
    <d v="2025-02-25T00:00:00"/>
    <n v="8"/>
    <n v="8"/>
    <s v="подробнее в Open Project"/>
    <d v="2025-03-11T00:00:00"/>
    <m/>
    <n v="1185.3448275000001"/>
    <n v="9482.7586200000005"/>
    <x v="5"/>
  </r>
  <r>
    <n v="412283"/>
    <x v="16"/>
    <n v="47570"/>
    <x v="6"/>
    <s v="Работа"/>
    <d v="2025-02-25T00:00:00"/>
    <n v="8"/>
    <n v="8"/>
    <s v="."/>
    <d v="2025-04-30T00:00:00"/>
    <m/>
    <n v="632.18390812500002"/>
    <n v="5057.4712650000001"/>
    <x v="5"/>
  </r>
  <r>
    <n v="393858"/>
    <x v="10"/>
    <n v="46185"/>
    <x v="14"/>
    <s v="Работа"/>
    <d v="2025-02-25T00:00:00"/>
    <n v="7"/>
    <n v="7"/>
    <s v="Добил агенты и разбор с блокировкой"/>
    <d v="2025-03-21T00:00:00"/>
    <m/>
    <n v="1778.0172412500001"/>
    <n v="12446.120688750001"/>
    <x v="5"/>
  </r>
  <r>
    <n v="393860"/>
    <x v="16"/>
    <n v="47572"/>
    <x v="14"/>
    <s v="Работа"/>
    <d v="2025-02-25T00:00:00"/>
    <n v="0.5"/>
    <n v="0.5"/>
    <s v="Созвон бек по permissions"/>
    <d v="2025-03-21T00:00:00"/>
    <m/>
    <n v="1778.0172412500001"/>
    <n v="889.00862062500005"/>
    <x v="5"/>
  </r>
  <r>
    <n v="432260"/>
    <x v="25"/>
    <n v="49386"/>
    <x v="3"/>
    <s v="Работа"/>
    <d v="2025-02-25T00:00:00"/>
    <n v="20"/>
    <n v="20"/>
    <s v="R&amp;amp;D"/>
    <d v="2025-06-28T00:00:00"/>
    <m/>
    <n v="1027.2988506249999"/>
    <n v="20545.9770125"/>
    <x v="5"/>
  </r>
  <r>
    <n v="393862"/>
    <x v="16"/>
    <n v="47572"/>
    <x v="14"/>
    <s v="Работа"/>
    <d v="2025-02-25T00:00:00"/>
    <n v="0.5"/>
    <n v="0.5"/>
    <s v="синк"/>
    <d v="2025-03-21T00:00:00"/>
    <m/>
    <n v="1778.0172412500001"/>
    <n v="889.00862062500005"/>
    <x v="5"/>
  </r>
  <r>
    <n v="432265"/>
    <x v="1"/>
    <n v="13969"/>
    <x v="3"/>
    <s v="Внутренняя деятельность"/>
    <d v="2025-02-25T00:00:00"/>
    <n v="78"/>
    <n v="78"/>
    <s v="CustomDev Daily Sync"/>
    <d v="2025-06-28T00:00:00"/>
    <m/>
    <n v="1027.2988506249999"/>
    <n v="80129.31034874999"/>
    <x v="5"/>
  </r>
  <r>
    <n v="383882"/>
    <x v="3"/>
    <n v="21152"/>
    <x v="9"/>
    <s v="Внутренняя деятельность"/>
    <d v="2025-02-25T00:00:00"/>
    <n v="20"/>
    <n v="20"/>
    <s v="Обсуждение ребрендинга основного сайта"/>
    <d v="2025-02-26T00:00:00"/>
    <m/>
    <n v="1580.4597699999999"/>
    <n v="31609.195399999997"/>
    <x v="5"/>
  </r>
  <r>
    <n v="383883"/>
    <x v="1"/>
    <n v="13970"/>
    <x v="9"/>
    <s v="Внутренняя деятельность"/>
    <d v="2025-02-25T00:00:00"/>
    <n v="30"/>
    <n v="30"/>
    <s v=" Ресерч технологий, разработка общих компонентов"/>
    <d v="2025-02-26T00:00:00"/>
    <m/>
    <n v="1580.4597699999999"/>
    <n v="47413.793099999995"/>
    <x v="5"/>
  </r>
  <r>
    <n v="415654"/>
    <x v="16"/>
    <n v="47614"/>
    <x v="13"/>
    <s v="Работа"/>
    <d v="2025-02-25T00:00:00"/>
    <n v="1"/>
    <n v="1"/>
    <s v="905, мр траблшутинг"/>
    <d v="2025-05-12T00:00:00"/>
    <m/>
    <n v="1418"/>
    <n v="1418"/>
    <x v="5"/>
  </r>
  <r>
    <n v="391091"/>
    <x v="9"/>
    <n v="51263"/>
    <x v="11"/>
    <s v="Работа"/>
    <d v="2025-02-25T00:00:00"/>
    <n v="6"/>
    <n v="6"/>
    <s v="Разработка. Тестирование на реальных данных"/>
    <d v="2025-03-13T00:00:00"/>
    <m/>
    <n v="632.18390812500002"/>
    <n v="3793.1034487500001"/>
    <x v="5"/>
  </r>
  <r>
    <n v="390206"/>
    <x v="16"/>
    <n v="47615"/>
    <x v="16"/>
    <s v="Работа"/>
    <d v="2025-02-24T00:00:00"/>
    <n v="8"/>
    <n v="8"/>
    <s v="подробнее в Open Project"/>
    <d v="2025-03-11T00:00:00"/>
    <m/>
    <n v="1185.3448275000001"/>
    <n v="9482.7586200000005"/>
    <x v="5"/>
  </r>
  <r>
    <n v="383320"/>
    <x v="16"/>
    <n v="47572"/>
    <x v="14"/>
    <s v="Работа"/>
    <d v="2025-02-24T00:00:00"/>
    <n v="0.5"/>
    <n v="0.5"/>
    <s v="Созвон по созданию entityType"/>
    <d v="2025-02-24T00:00:00"/>
    <m/>
    <n v="1778.0172412500001"/>
    <n v="889.00862062500005"/>
    <x v="5"/>
  </r>
  <r>
    <n v="383322"/>
    <x v="10"/>
    <n v="45135"/>
    <x v="14"/>
    <s v="Работа"/>
    <d v="2025-02-24T00:00:00"/>
    <n v="1"/>
    <n v="1"/>
    <s v="Созвон с заказчиком по текущим задачам"/>
    <d v="2025-02-24T00:00:00"/>
    <m/>
    <n v="1778.0172412500001"/>
    <n v="1778.0172412500001"/>
    <x v="5"/>
  </r>
  <r>
    <n v="383323"/>
    <x v="10"/>
    <n v="51353"/>
    <x v="14"/>
    <s v="Работа"/>
    <d v="2025-02-24T00:00:00"/>
    <n v="4"/>
    <n v="4"/>
    <s v="интеграция с мос ру"/>
    <d v="2025-02-24T00:00:00"/>
    <m/>
    <n v="1778.0172412500001"/>
    <n v="7112.0689650000004"/>
    <x v="5"/>
  </r>
  <r>
    <n v="383324"/>
    <x v="16"/>
    <n v="47572"/>
    <x v="14"/>
    <s v="Работа"/>
    <d v="2025-02-24T00:00:00"/>
    <n v="1"/>
    <n v="1"/>
    <s v="обсуждение шаблонов"/>
    <d v="2025-02-24T00:00:00"/>
    <m/>
    <n v="1778.0172412500001"/>
    <n v="1778.0172412500001"/>
    <x v="5"/>
  </r>
  <r>
    <n v="383325"/>
    <x v="16"/>
    <n v="47569"/>
    <x v="14"/>
    <s v="Работа"/>
    <d v="2025-02-24T00:00:00"/>
    <n v="0.5"/>
    <n v="0.5"/>
    <s v="Обработка ошибок"/>
    <d v="2025-02-24T00:00:00"/>
    <m/>
    <n v="1778.0172412500001"/>
    <n v="889.00862062500005"/>
    <x v="5"/>
  </r>
  <r>
    <n v="412282"/>
    <x v="16"/>
    <n v="47569"/>
    <x v="6"/>
    <s v="Работа"/>
    <d v="2025-02-24T00:00:00"/>
    <n v="8"/>
    <n v="8"/>
    <s v="."/>
    <d v="2025-04-30T00:00:00"/>
    <m/>
    <n v="632.18390812500002"/>
    <n v="5057.4712650000001"/>
    <x v="5"/>
  </r>
  <r>
    <n v="415650"/>
    <x v="16"/>
    <n v="47614"/>
    <x v="13"/>
    <s v="Работа"/>
    <d v="2025-02-24T00:00:00"/>
    <n v="3"/>
    <n v="3"/>
    <n v="903"/>
    <d v="2025-05-12T00:00:00"/>
    <m/>
    <n v="1418"/>
    <n v="4254"/>
    <x v="5"/>
  </r>
  <r>
    <n v="415651"/>
    <x v="16"/>
    <n v="47614"/>
    <x v="13"/>
    <s v="Работа"/>
    <d v="2025-02-24T00:00:00"/>
    <n v="3"/>
    <n v="3"/>
    <n v="904"/>
    <d v="2025-05-12T00:00:00"/>
    <m/>
    <n v="1418"/>
    <n v="4254"/>
    <x v="5"/>
  </r>
  <r>
    <n v="415652"/>
    <x v="16"/>
    <n v="47614"/>
    <x v="13"/>
    <s v="Работа"/>
    <d v="2025-02-24T00:00:00"/>
    <n v="4"/>
    <n v="4"/>
    <n v="905"/>
    <d v="2025-05-12T00:00:00"/>
    <m/>
    <n v="1418"/>
    <n v="5672"/>
    <x v="5"/>
  </r>
  <r>
    <n v="415653"/>
    <x v="16"/>
    <n v="47572"/>
    <x v="13"/>
    <s v="Работа"/>
    <d v="2025-02-24T00:00:00"/>
    <n v="0.5"/>
    <n v="0.5"/>
    <s v="дейл"/>
    <d v="2025-05-12T00:00:00"/>
    <m/>
    <n v="1418"/>
    <n v="709"/>
    <x v="5"/>
  </r>
  <r>
    <n v="391090"/>
    <x v="9"/>
    <n v="51263"/>
    <x v="11"/>
    <s v="Работа"/>
    <d v="2025-02-24T00:00:00"/>
    <n v="6"/>
    <n v="6"/>
    <s v="Изучение репозитория. Изменил методы активации сертификата и создание заказа сертификатов, теперь они берут из бд сертификаты. Начал тестирование"/>
    <d v="2025-03-13T00:00:00"/>
    <m/>
    <n v="632.18390812500002"/>
    <n v="3793.1034487500001"/>
    <x v="5"/>
  </r>
  <r>
    <n v="382751"/>
    <x v="24"/>
    <n v="45146"/>
    <x v="10"/>
    <s v="Работа"/>
    <d v="2025-02-21T00:00:00"/>
    <n v="10"/>
    <n v="10"/>
    <s v="Настройка на проде + сверка с ТЗ"/>
    <d v="2025-02-21T00:00:00"/>
    <m/>
    <n v="1580.4597699999999"/>
    <n v="15804.597699999998"/>
    <x v="5"/>
  </r>
  <r>
    <n v="390205"/>
    <x v="16"/>
    <n v="47615"/>
    <x v="16"/>
    <s v="Работа"/>
    <d v="2025-02-21T00:00:00"/>
    <n v="8"/>
    <n v="8"/>
    <s v="подробнее в Open Project"/>
    <d v="2025-03-11T00:00:00"/>
    <m/>
    <n v="1185.3448275000001"/>
    <n v="9482.7586200000005"/>
    <x v="5"/>
  </r>
  <r>
    <n v="412280"/>
    <x v="16"/>
    <n v="47569"/>
    <x v="6"/>
    <s v="Работа"/>
    <d v="2025-02-21T00:00:00"/>
    <n v="8"/>
    <n v="8"/>
    <s v="."/>
    <d v="2025-04-30T00:00:00"/>
    <m/>
    <n v="632.18390812500002"/>
    <n v="5057.4712650000001"/>
    <x v="5"/>
  </r>
  <r>
    <n v="393851"/>
    <x v="16"/>
    <n v="47568"/>
    <x v="14"/>
    <s v="Работа"/>
    <d v="2025-02-21T00:00:00"/>
    <n v="4"/>
    <n v="4"/>
    <s v="Разбирался с dgraph, как отлавливать оши"/>
    <d v="2025-03-21T00:00:00"/>
    <m/>
    <n v="1778.0172412500001"/>
    <n v="7112.0689650000004"/>
    <x v="5"/>
  </r>
  <r>
    <n v="393853"/>
    <x v="16"/>
    <n v="47572"/>
    <x v="14"/>
    <s v="Работа"/>
    <d v="2025-02-21T00:00:00"/>
    <n v="1.5"/>
    <n v="1.5"/>
    <s v="Созвон по шаблонам"/>
    <d v="2025-03-21T00:00:00"/>
    <m/>
    <n v="1778.0172412500001"/>
    <n v="2667.0258618750004"/>
    <x v="5"/>
  </r>
  <r>
    <n v="438655"/>
    <x v="5"/>
    <n v="52454"/>
    <x v="10"/>
    <s v="Работа"/>
    <d v="2025-02-21T00:00:00"/>
    <n v="8"/>
    <n v="8"/>
    <s v="Проверял Back end, разбирался по какой причине не прошло создание договоров и вручную запускал процессы, чтобы конкретные договоры досоздались"/>
    <d v="2025-07-14T00:00:00"/>
    <m/>
    <n v="1580.4597699999999"/>
    <n v="12643.678159999999"/>
    <x v="5"/>
  </r>
  <r>
    <n v="393856"/>
    <x v="10"/>
    <n v="46185"/>
    <x v="14"/>
    <s v="Работа"/>
    <d v="2025-02-21T00:00:00"/>
    <n v="2.5"/>
    <n v="2.5"/>
    <s v="Решение проблемы с агентами"/>
    <d v="2025-03-21T00:00:00"/>
    <m/>
    <n v="1778.0172412500001"/>
    <n v="4445.043103125"/>
    <x v="5"/>
  </r>
  <r>
    <n v="415648"/>
    <x v="16"/>
    <n v="47614"/>
    <x v="13"/>
    <s v="Работа"/>
    <d v="2025-02-21T00:00:00"/>
    <n v="3"/>
    <n v="3"/>
    <n v="904"/>
    <d v="2025-05-12T00:00:00"/>
    <m/>
    <n v="1418"/>
    <n v="4254"/>
    <x v="5"/>
  </r>
  <r>
    <n v="415649"/>
    <x v="16"/>
    <n v="47572"/>
    <x v="13"/>
    <s v="Работа"/>
    <d v="2025-02-21T00:00:00"/>
    <n v="0.5"/>
    <n v="0.5"/>
    <s v="дейл"/>
    <d v="2025-05-12T00:00:00"/>
    <m/>
    <n v="1418"/>
    <n v="709"/>
    <x v="5"/>
  </r>
  <r>
    <n v="391089"/>
    <x v="9"/>
    <n v="51263"/>
    <x v="11"/>
    <s v="Работа"/>
    <d v="2025-02-21T00:00:00"/>
    <n v="7"/>
    <n v="7"/>
    <s v="Развертывание и дебаг сервера локально. Создание условий для появления кнопки &quot;активировать сертификат&quot;"/>
    <d v="2025-03-13T00:00:00"/>
    <m/>
    <n v="632.18390812500002"/>
    <n v="4425.2873568750001"/>
    <x v="5"/>
  </r>
  <r>
    <n v="389316"/>
    <x v="9"/>
    <n v="51262"/>
    <x v="0"/>
    <s v="Работа"/>
    <d v="2025-02-21T00:00:00"/>
    <n v="37"/>
    <n v="37"/>
    <s v="Поддержка и исследование проекта Предубеждай"/>
    <d v="2025-03-09T00:00:00"/>
    <m/>
    <n v="2212.643678125"/>
    <n v="81867.816090624998"/>
    <x v="5"/>
  </r>
  <r>
    <n v="390204"/>
    <x v="16"/>
    <n v="47615"/>
    <x v="16"/>
    <s v="Работа"/>
    <d v="2025-02-20T00:00:00"/>
    <n v="8"/>
    <n v="8"/>
    <s v="подробнее в Open Project"/>
    <d v="2025-03-11T00:00:00"/>
    <m/>
    <n v="1185.3448275000001"/>
    <n v="9482.7586200000005"/>
    <x v="5"/>
  </r>
  <r>
    <n v="393843"/>
    <x v="10"/>
    <n v="51353"/>
    <x v="14"/>
    <s v="Работа"/>
    <d v="2025-02-20T00:00:00"/>
    <n v="5.5"/>
    <n v="5.5"/>
    <s v="Созвоны с миллион призов, интеграция с ними"/>
    <d v="2025-03-21T00:00:00"/>
    <m/>
    <n v="1778.0172412500001"/>
    <n v="9779.0948268749999"/>
    <x v="5"/>
  </r>
  <r>
    <n v="393844"/>
    <x v="16"/>
    <n v="47572"/>
    <x v="14"/>
    <s v="Работа"/>
    <d v="2025-02-20T00:00:00"/>
    <n v="1"/>
    <n v="1"/>
    <s v="Созвон по справочникам, добавил задачи"/>
    <d v="2025-03-21T00:00:00"/>
    <m/>
    <n v="1778.0172412500001"/>
    <n v="1778.0172412500001"/>
    <x v="5"/>
  </r>
  <r>
    <n v="393847"/>
    <x v="16"/>
    <n v="50749"/>
    <x v="14"/>
    <s v="Работа"/>
    <d v="2025-02-20T00:00:00"/>
    <n v="1"/>
    <n v="1"/>
    <s v="Придумал описание полей кастомных"/>
    <d v="2025-03-21T00:00:00"/>
    <m/>
    <n v="1778.0172412500001"/>
    <n v="1778.0172412500001"/>
    <x v="5"/>
  </r>
  <r>
    <n v="412279"/>
    <x v="16"/>
    <n v="47569"/>
    <x v="6"/>
    <s v="Работа"/>
    <d v="2025-02-20T00:00:00"/>
    <n v="8"/>
    <n v="8"/>
    <s v="."/>
    <d v="2025-04-30T00:00:00"/>
    <m/>
    <n v="632.18390812500002"/>
    <n v="5057.4712650000001"/>
    <x v="5"/>
  </r>
  <r>
    <n v="393849"/>
    <x v="16"/>
    <n v="47572"/>
    <x v="14"/>
    <s v="Работа"/>
    <d v="2025-02-20T00:00:00"/>
    <n v="0.5"/>
    <n v="0.5"/>
    <s v="синк"/>
    <d v="2025-03-21T00:00:00"/>
    <m/>
    <n v="1778.0172412500001"/>
    <n v="889.00862062500005"/>
    <x v="5"/>
  </r>
  <r>
    <n v="383384"/>
    <x v="16"/>
    <n v="47569"/>
    <x v="7"/>
    <s v="Работа"/>
    <d v="2025-02-20T00:00:00"/>
    <n v="3"/>
    <n v="3"/>
    <n v="1395"/>
    <d v="2025-02-24T00:00:00"/>
    <m/>
    <n v="1896.551724375"/>
    <n v="5689.6551731250001"/>
    <x v="5"/>
  </r>
  <r>
    <n v="383386"/>
    <x v="16"/>
    <n v="50244"/>
    <x v="7"/>
    <s v="Работа"/>
    <d v="2025-02-20T00:00:00"/>
    <n v="4"/>
    <n v="4"/>
    <n v="1398"/>
    <d v="2025-02-24T00:00:00"/>
    <m/>
    <n v="1896.551724375"/>
    <n v="7586.2068975000002"/>
    <x v="5"/>
  </r>
  <r>
    <n v="415646"/>
    <x v="16"/>
    <n v="47572"/>
    <x v="13"/>
    <s v="Работа"/>
    <d v="2025-02-20T00:00:00"/>
    <n v="0.5"/>
    <n v="0.5"/>
    <s v="дейл"/>
    <d v="2025-05-12T00:00:00"/>
    <m/>
    <n v="1418"/>
    <n v="709"/>
    <x v="5"/>
  </r>
  <r>
    <n v="415647"/>
    <x v="16"/>
    <n v="47614"/>
    <x v="13"/>
    <s v="Работа"/>
    <d v="2025-02-20T00:00:00"/>
    <n v="1"/>
    <n v="1"/>
    <n v="903"/>
    <d v="2025-05-12T00:00:00"/>
    <m/>
    <n v="1418"/>
    <n v="1418"/>
    <x v="5"/>
  </r>
  <r>
    <n v="382453"/>
    <x v="26"/>
    <n v="51295"/>
    <x v="11"/>
    <s v="Работа"/>
    <d v="2025-02-20T00:00:00"/>
    <n v="55"/>
    <n v="55"/>
    <s v="Добавил баннер локально и протестировал, позже добавил на сервер и внёс изменения в базу данных. На мобильной версии сайта половина баннера перекрывается нижним элементом. Необходимо было изменить в /src/static/assets/css/style.css во всех .html-banner высоту на 100%"/>
    <d v="2025-02-20T00:00:00"/>
    <m/>
    <n v="632.18390812500002"/>
    <n v="34770.114946875001"/>
    <x v="5"/>
  </r>
  <r>
    <n v="382456"/>
    <x v="9"/>
    <n v="51263"/>
    <x v="11"/>
    <s v="Работа"/>
    <d v="2025-02-20T00:00:00"/>
    <n v="2.5"/>
    <n v="2.5"/>
    <s v="Изучение коммитов. Начал писать возможное решение"/>
    <d v="2025-02-20T00:00:00"/>
    <m/>
    <n v="632.18390812500002"/>
    <n v="1580.4597703125"/>
    <x v="5"/>
  </r>
  <r>
    <n v="390203"/>
    <x v="16"/>
    <n v="47615"/>
    <x v="16"/>
    <s v="Работа"/>
    <d v="2025-02-19T00:00:00"/>
    <n v="8"/>
    <n v="8"/>
    <s v="подробнее в Open Project"/>
    <d v="2025-03-11T00:00:00"/>
    <m/>
    <n v="1185.3448275000001"/>
    <n v="9482.7586200000005"/>
    <x v="5"/>
  </r>
  <r>
    <n v="393833"/>
    <x v="16"/>
    <n v="47569"/>
    <x v="14"/>
    <s v="Работа"/>
    <d v="2025-02-19T00:00:00"/>
    <n v="5"/>
    <n v="5"/>
    <s v="Готово подсчет, с учетом сортировки и фильтрации"/>
    <d v="2025-03-21T00:00:00"/>
    <m/>
    <n v="1778.0172412500001"/>
    <n v="8890.08620625"/>
    <x v="5"/>
  </r>
  <r>
    <n v="393834"/>
    <x v="16"/>
    <n v="47572"/>
    <x v="14"/>
    <s v="Работа"/>
    <d v="2025-02-19T00:00:00"/>
    <n v="1.5"/>
    <n v="1.5"/>
    <s v="Груминг задач sprint 7"/>
    <d v="2025-03-21T00:00:00"/>
    <m/>
    <n v="1778.0172412500001"/>
    <n v="2667.0258618750004"/>
    <x v="5"/>
  </r>
  <r>
    <n v="393839"/>
    <x v="10"/>
    <n v="46185"/>
    <x v="14"/>
    <s v="Работа"/>
    <d v="2025-02-19T00:00:00"/>
    <n v="1.5"/>
    <n v="1.5"/>
    <s v="Результаты переделка"/>
    <d v="2025-03-21T00:00:00"/>
    <m/>
    <n v="1778.0172412500001"/>
    <n v="2667.0258618750004"/>
    <x v="5"/>
  </r>
  <r>
    <n v="412277"/>
    <x v="16"/>
    <n v="47569"/>
    <x v="6"/>
    <s v="Работа"/>
    <d v="2025-02-19T00:00:00"/>
    <n v="8"/>
    <n v="8"/>
    <s v="."/>
    <d v="2025-04-30T00:00:00"/>
    <m/>
    <n v="632.18390812500002"/>
    <n v="5057.4712650000001"/>
    <x v="5"/>
  </r>
  <r>
    <n v="381837"/>
    <x v="9"/>
    <n v="51251"/>
    <x v="9"/>
    <s v="Работа"/>
    <d v="2025-02-19T00:00:00"/>
    <n v="22"/>
    <n v="22"/>
    <s v="https://projects-customdev.wone-it.ru/projects/tp-priedubiezhdai/work_packages/1392/activity"/>
    <d v="2025-02-19T00:00:00"/>
    <m/>
    <n v="1580.4597699999999"/>
    <n v="34770.114939999999"/>
    <x v="5"/>
  </r>
  <r>
    <n v="383383"/>
    <x v="16"/>
    <n v="47572"/>
    <x v="7"/>
    <s v="Работа"/>
    <d v="2025-02-19T00:00:00"/>
    <n v="8"/>
    <n v="8"/>
    <s v="разные организационные и тех встречи в команде"/>
    <d v="2025-02-24T00:00:00"/>
    <m/>
    <n v="1896.551724375"/>
    <n v="15172.413795"/>
    <x v="5"/>
  </r>
  <r>
    <n v="415644"/>
    <x v="16"/>
    <n v="47572"/>
    <x v="13"/>
    <s v="Работа"/>
    <d v="2025-02-19T00:00:00"/>
    <n v="1"/>
    <n v="1"/>
    <s v="общий дейл"/>
    <d v="2025-05-12T00:00:00"/>
    <m/>
    <n v="1418"/>
    <n v="1418"/>
    <x v="5"/>
  </r>
  <r>
    <n v="415645"/>
    <x v="16"/>
    <n v="47614"/>
    <x v="13"/>
    <s v="Работа"/>
    <d v="2025-02-19T00:00:00"/>
    <n v="1"/>
    <n v="1"/>
    <s v="903, мр траблшутинг"/>
    <d v="2025-05-12T00:00:00"/>
    <m/>
    <n v="1418"/>
    <n v="1418"/>
    <x v="5"/>
  </r>
  <r>
    <n v="382455"/>
    <x v="9"/>
    <n v="51263"/>
    <x v="11"/>
    <s v="Работа"/>
    <d v="2025-02-19T00:00:00"/>
    <n v="6.5"/>
    <n v="6.5"/>
    <s v=" Развёртывание локально. Поднял в докере локальный код сервера. Создание условий для появление кнопки &quot;активировать сертификат&quot; на странице заказа."/>
    <d v="2025-02-20T00:00:00"/>
    <m/>
    <n v="632.18390812500002"/>
    <n v="4109.1954028125001"/>
    <x v="5"/>
  </r>
  <r>
    <n v="390202"/>
    <x v="16"/>
    <n v="47615"/>
    <x v="16"/>
    <s v="Работа"/>
    <d v="2025-02-18T00:00:00"/>
    <n v="8"/>
    <n v="8"/>
    <s v="подробнее в Open Project"/>
    <d v="2025-03-11T00:00:00"/>
    <m/>
    <n v="1185.3448275000001"/>
    <n v="9482.7586200000005"/>
    <x v="5"/>
  </r>
  <r>
    <n v="393829"/>
    <x v="16"/>
    <n v="47537"/>
    <x v="14"/>
    <s v="Работа"/>
    <d v="2025-02-18T00:00:00"/>
    <n v="1"/>
    <n v="1"/>
    <s v="Показ спринта 6"/>
    <d v="2025-03-21T00:00:00"/>
    <m/>
    <n v="1778.0172412500001"/>
    <n v="1778.0172412500001"/>
    <x v="5"/>
  </r>
  <r>
    <n v="393831"/>
    <x v="16"/>
    <n v="47569"/>
    <x v="14"/>
    <s v="Работа"/>
    <d v="2025-02-18T00:00:00"/>
    <n v="4"/>
    <n v="4"/>
    <s v="Различные варианты реализации подсчета"/>
    <d v="2025-03-21T00:00:00"/>
    <m/>
    <n v="1778.0172412500001"/>
    <n v="7112.0689650000004"/>
    <x v="5"/>
  </r>
  <r>
    <n v="393832"/>
    <x v="16"/>
    <n v="47572"/>
    <x v="14"/>
    <s v="Работа"/>
    <d v="2025-02-18T00:00:00"/>
    <n v="3"/>
    <n v="3"/>
    <s v="Созвон по созданию сущностей, шаблонов"/>
    <d v="2025-03-21T00:00:00"/>
    <m/>
    <n v="1778.0172412500001"/>
    <n v="5334.0517237500007"/>
    <x v="5"/>
  </r>
  <r>
    <n v="412275"/>
    <x v="16"/>
    <n v="47569"/>
    <x v="6"/>
    <s v="Работа"/>
    <d v="2025-02-18T00:00:00"/>
    <n v="8"/>
    <n v="8"/>
    <s v="."/>
    <d v="2025-04-30T00:00:00"/>
    <m/>
    <n v="632.18390812500002"/>
    <n v="5057.4712650000001"/>
    <x v="5"/>
  </r>
  <r>
    <n v="415643"/>
    <x v="16"/>
    <n v="47614"/>
    <x v="13"/>
    <s v="Работа"/>
    <d v="2025-02-18T00:00:00"/>
    <n v="4"/>
    <n v="4"/>
    <n v="1137"/>
    <d v="2025-05-12T00:00:00"/>
    <m/>
    <n v="1418"/>
    <n v="5672"/>
    <x v="5"/>
  </r>
  <r>
    <n v="381610"/>
    <x v="16"/>
    <n v="47537"/>
    <x v="7"/>
    <s v="Работа"/>
    <d v="2025-02-18T00:00:00"/>
    <n v="1"/>
    <n v="1"/>
    <s v="демо спринт6"/>
    <d v="2025-02-18T00:00:00"/>
    <m/>
    <n v="1896.551724375"/>
    <n v="1896.551724375"/>
    <x v="5"/>
  </r>
  <r>
    <n v="381611"/>
    <x v="16"/>
    <n v="47569"/>
    <x v="7"/>
    <s v="Работа"/>
    <d v="2025-02-18T00:00:00"/>
    <n v="2"/>
    <n v="2"/>
    <s v="проблема с журналом действий пользователей"/>
    <d v="2025-02-18T00:00:00"/>
    <m/>
    <n v="1896.551724375"/>
    <n v="3793.1034487500001"/>
    <x v="5"/>
  </r>
  <r>
    <n v="381612"/>
    <x v="16"/>
    <n v="47572"/>
    <x v="7"/>
    <s v="Работа"/>
    <d v="2025-02-18T00:00:00"/>
    <n v="5"/>
    <n v="5"/>
    <s v="разные технические обсуждения"/>
    <d v="2025-02-18T00:00:00"/>
    <m/>
    <n v="1896.551724375"/>
    <n v="9482.7586218750002"/>
    <x v="5"/>
  </r>
  <r>
    <n v="390201"/>
    <x v="16"/>
    <n v="47615"/>
    <x v="16"/>
    <s v="Работа"/>
    <d v="2025-02-17T00:00:00"/>
    <n v="8"/>
    <n v="8"/>
    <s v="подробнее в Open Project"/>
    <d v="2025-03-11T00:00:00"/>
    <m/>
    <n v="1185.3448275000001"/>
    <n v="9482.7586200000005"/>
    <x v="5"/>
  </r>
  <r>
    <n v="394077"/>
    <x v="16"/>
    <n v="52114"/>
    <x v="5"/>
    <s v="Работа"/>
    <d v="2025-02-17T00:00:00"/>
    <n v="4"/>
    <n v="4"/>
    <s v="Testing"/>
    <d v="2025-03-21T00:00:00"/>
    <m/>
    <n v="316.09195375000002"/>
    <n v="1264.3678150000001"/>
    <x v="5"/>
  </r>
  <r>
    <n v="393824"/>
    <x v="16"/>
    <n v="47572"/>
    <x v="14"/>
    <s v="Работа"/>
    <d v="2025-02-17T00:00:00"/>
    <n v="1"/>
    <n v="1"/>
    <s v="Созвон по спринту 7, растановка часов"/>
    <d v="2025-03-21T00:00:00"/>
    <m/>
    <n v="1778.0172412500001"/>
    <n v="1778.0172412500001"/>
    <x v="5"/>
  </r>
  <r>
    <n v="393825"/>
    <x v="16"/>
    <n v="47572"/>
    <x v="14"/>
    <s v="Работа"/>
    <d v="2025-02-17T00:00:00"/>
    <n v="1"/>
    <n v="1"/>
    <s v="синк"/>
    <d v="2025-03-21T00:00:00"/>
    <m/>
    <n v="1778.0172412500001"/>
    <n v="1778.0172412500001"/>
    <x v="5"/>
  </r>
  <r>
    <n v="393826"/>
    <x v="16"/>
    <n v="47572"/>
    <x v="14"/>
    <s v="Работа"/>
    <d v="2025-02-17T00:00:00"/>
    <n v="1"/>
    <n v="1"/>
    <s v="Созвон по беку"/>
    <d v="2025-03-21T00:00:00"/>
    <m/>
    <n v="1778.0172412500001"/>
    <n v="1778.0172412500001"/>
    <x v="5"/>
  </r>
  <r>
    <n v="393828"/>
    <x v="16"/>
    <n v="47569"/>
    <x v="14"/>
    <s v="Работа"/>
    <d v="2025-02-17T00:00:00"/>
    <n v="5"/>
    <n v="5"/>
    <s v="Подсчет количества помещений, универсальный метод работой с math"/>
    <d v="2025-03-21T00:00:00"/>
    <m/>
    <n v="1778.0172412500001"/>
    <n v="8890.08620625"/>
    <x v="5"/>
  </r>
  <r>
    <n v="412274"/>
    <x v="16"/>
    <n v="47569"/>
    <x v="6"/>
    <s v="Работа"/>
    <d v="2025-02-17T00:00:00"/>
    <n v="8"/>
    <n v="8"/>
    <s v="."/>
    <d v="2025-04-30T00:00:00"/>
    <m/>
    <n v="632.18390812500002"/>
    <n v="5057.4712650000001"/>
    <x v="5"/>
  </r>
  <r>
    <n v="415639"/>
    <x v="16"/>
    <n v="47614"/>
    <x v="13"/>
    <s v="Работа"/>
    <d v="2025-02-17T00:00:00"/>
    <n v="3"/>
    <n v="3"/>
    <n v="1134"/>
    <d v="2025-05-12T00:00:00"/>
    <m/>
    <n v="1418"/>
    <n v="4254"/>
    <x v="5"/>
  </r>
  <r>
    <n v="415640"/>
    <x v="16"/>
    <n v="47572"/>
    <x v="13"/>
    <s v="Работа"/>
    <d v="2025-02-17T00:00:00"/>
    <n v="0.5"/>
    <n v="0.5"/>
    <s v="дейл"/>
    <d v="2025-05-12T00:00:00"/>
    <m/>
    <n v="1418"/>
    <n v="709"/>
    <x v="5"/>
  </r>
  <r>
    <n v="415641"/>
    <x v="16"/>
    <n v="47614"/>
    <x v="13"/>
    <s v="Работа"/>
    <d v="2025-02-17T00:00:00"/>
    <n v="2"/>
    <n v="2"/>
    <n v="1136"/>
    <d v="2025-05-12T00:00:00"/>
    <m/>
    <n v="1418"/>
    <n v="2836"/>
    <x v="5"/>
  </r>
  <r>
    <n v="415642"/>
    <x v="16"/>
    <n v="47614"/>
    <x v="13"/>
    <s v="Работа"/>
    <d v="2025-02-17T00:00:00"/>
    <n v="2"/>
    <n v="2"/>
    <n v="1135"/>
    <d v="2025-05-12T00:00:00"/>
    <m/>
    <n v="1418"/>
    <n v="2836"/>
    <x v="5"/>
  </r>
  <r>
    <n v="381608"/>
    <x v="16"/>
    <n v="47568"/>
    <x v="7"/>
    <s v="Работа"/>
    <d v="2025-02-17T00:00:00"/>
    <n v="1.5"/>
    <n v="1.5"/>
    <s v="доработка словарей"/>
    <d v="2025-02-18T00:00:00"/>
    <m/>
    <n v="1896.551724375"/>
    <n v="2844.8275865625001"/>
    <x v="5"/>
  </r>
  <r>
    <n v="381609"/>
    <x v="16"/>
    <n v="47572"/>
    <x v="7"/>
    <s v="Работа"/>
    <d v="2025-02-17T00:00:00"/>
    <n v="6.5"/>
    <n v="6.5"/>
    <s v="разные встречи и тех обсуждения"/>
    <d v="2025-02-18T00:00:00"/>
    <m/>
    <n v="1896.551724375"/>
    <n v="12327.5862084375"/>
    <x v="5"/>
  </r>
  <r>
    <n v="390200"/>
    <x v="16"/>
    <n v="47615"/>
    <x v="16"/>
    <s v="Работа"/>
    <d v="2025-02-14T00:00:00"/>
    <n v="8"/>
    <n v="8"/>
    <s v="подробнее в Open Project"/>
    <d v="2025-03-11T00:00:00"/>
    <m/>
    <n v="1185.3448275000001"/>
    <n v="9482.7586200000005"/>
    <x v="5"/>
  </r>
  <r>
    <n v="380989"/>
    <x v="16"/>
    <n v="47572"/>
    <x v="7"/>
    <s v="Работа"/>
    <d v="2025-02-14T00:00:00"/>
    <n v="8"/>
    <n v="8"/>
    <s v="разное"/>
    <d v="2025-02-17T00:00:00"/>
    <m/>
    <n v="1896.551724375"/>
    <n v="15172.413795"/>
    <x v="5"/>
  </r>
  <r>
    <n v="393816"/>
    <x v="10"/>
    <n v="46185"/>
    <x v="14"/>
    <s v="Работа"/>
    <d v="2025-02-14T00:00:00"/>
    <n v="5"/>
    <n v="5"/>
    <s v="Исправить ошибку, возникающую при замене почты в ЛК на уже используемый на сайте логин"/>
    <d v="2025-03-21T00:00:00"/>
    <m/>
    <n v="1778.0172412500001"/>
    <n v="8890.08620625"/>
    <x v="5"/>
  </r>
  <r>
    <n v="382552"/>
    <x v="16"/>
    <n v="47570"/>
    <x v="9"/>
    <s v="Работа"/>
    <d v="2025-02-14T00:00:00"/>
    <n v="88"/>
    <n v="88"/>
    <s v="review"/>
    <d v="2025-02-21T00:00:00"/>
    <m/>
    <n v="1580.4597699999999"/>
    <n v="139080.45976"/>
    <x v="5"/>
  </r>
  <r>
    <n v="393819"/>
    <x v="10"/>
    <n v="51353"/>
    <x v="14"/>
    <s v="Работа"/>
    <d v="2025-02-14T00:00:00"/>
    <n v="3"/>
    <n v="3"/>
    <s v="Интеграция продолжение"/>
    <d v="2025-03-21T00:00:00"/>
    <m/>
    <n v="1778.0172412500001"/>
    <n v="5334.0517237500007"/>
    <x v="5"/>
  </r>
  <r>
    <n v="394076"/>
    <x v="16"/>
    <n v="52114"/>
    <x v="5"/>
    <s v="Работа"/>
    <d v="2025-02-14T00:00:00"/>
    <n v="8"/>
    <n v="8"/>
    <s v="Testing"/>
    <d v="2025-03-21T00:00:00"/>
    <m/>
    <n v="316.09195375000002"/>
    <n v="2528.7356300000001"/>
    <x v="5"/>
  </r>
  <r>
    <n v="412272"/>
    <x v="16"/>
    <n v="47569"/>
    <x v="6"/>
    <s v="Работа"/>
    <d v="2025-02-14T00:00:00"/>
    <n v="8"/>
    <n v="8"/>
    <s v="."/>
    <d v="2025-04-30T00:00:00"/>
    <m/>
    <n v="632.18390812500002"/>
    <n v="5057.4712650000001"/>
    <x v="5"/>
  </r>
  <r>
    <n v="415637"/>
    <x v="16"/>
    <n v="47614"/>
    <x v="13"/>
    <s v="Работа"/>
    <d v="2025-02-14T00:00:00"/>
    <n v="7"/>
    <n v="7"/>
    <n v="1134"/>
    <d v="2025-05-12T00:00:00"/>
    <m/>
    <n v="1418"/>
    <n v="9926"/>
    <x v="5"/>
  </r>
  <r>
    <n v="415638"/>
    <x v="16"/>
    <n v="47572"/>
    <x v="13"/>
    <s v="Работа"/>
    <d v="2025-02-14T00:00:00"/>
    <n v="1"/>
    <n v="1"/>
    <n v="1134"/>
    <d v="2025-05-12T00:00:00"/>
    <m/>
    <n v="1418"/>
    <n v="1418"/>
    <x v="5"/>
  </r>
  <r>
    <n v="381351"/>
    <x v="21"/>
    <n v="47707"/>
    <x v="2"/>
    <s v="Внутренняя деятельность"/>
    <d v="2025-02-14T00:00:00"/>
    <n v="88"/>
    <n v="88"/>
    <s v="Работа с проектом СПБ (Биржа), обследование, проектирование, анализ, тз"/>
    <d v="2025-02-18T00:00:00"/>
    <m/>
    <n v="790.22988499999997"/>
    <n v="69540.229879999999"/>
    <x v="5"/>
  </r>
  <r>
    <n v="390199"/>
    <x v="16"/>
    <n v="47615"/>
    <x v="16"/>
    <s v="Работа"/>
    <d v="2025-02-13T00:00:00"/>
    <n v="8"/>
    <n v="8"/>
    <s v="подробнее в Open Project"/>
    <d v="2025-03-11T00:00:00"/>
    <m/>
    <n v="1185.3448275000001"/>
    <n v="9482.7586200000005"/>
    <x v="5"/>
  </r>
  <r>
    <n v="380988"/>
    <x v="16"/>
    <n v="47572"/>
    <x v="7"/>
    <s v="Работа"/>
    <d v="2025-02-13T00:00:00"/>
    <n v="8"/>
    <n v="8"/>
    <s v="разное"/>
    <d v="2025-02-17T00:00:00"/>
    <m/>
    <n v="1896.551724375"/>
    <n v="15172.413795"/>
    <x v="5"/>
  </r>
  <r>
    <n v="393809"/>
    <x v="16"/>
    <n v="47572"/>
    <x v="14"/>
    <s v="Работа"/>
    <d v="2025-02-13T00:00:00"/>
    <n v="1"/>
    <n v="1"/>
    <s v="Обсуждение entityType"/>
    <d v="2025-03-21T00:00:00"/>
    <m/>
    <n v="1778.0172412500001"/>
    <n v="1778.0172412500001"/>
    <x v="5"/>
  </r>
  <r>
    <n v="393810"/>
    <x v="16"/>
    <n v="47572"/>
    <x v="14"/>
    <s v="Работа"/>
    <d v="2025-02-13T00:00:00"/>
    <n v="1"/>
    <n v="1"/>
    <s v="синк"/>
    <d v="2025-03-21T00:00:00"/>
    <m/>
    <n v="1778.0172412500001"/>
    <n v="1778.0172412500001"/>
    <x v="5"/>
  </r>
  <r>
    <n v="393811"/>
    <x v="16"/>
    <n v="47572"/>
    <x v="14"/>
    <s v="Работа"/>
    <d v="2025-02-13T00:00:00"/>
    <n v="1.5"/>
    <n v="1.5"/>
    <s v="Созвон с Мишей по задачам"/>
    <d v="2025-03-21T00:00:00"/>
    <m/>
    <n v="1778.0172412500001"/>
    <n v="2667.0258618750004"/>
    <x v="5"/>
  </r>
  <r>
    <n v="393813"/>
    <x v="10"/>
    <n v="51353"/>
    <x v="14"/>
    <s v="Работа"/>
    <d v="2025-02-13T00:00:00"/>
    <n v="0.5"/>
    <n v="0.5"/>
    <s v="Занимался интеграцией с мос ру"/>
    <d v="2025-03-21T00:00:00"/>
    <m/>
    <n v="1778.0172412500001"/>
    <n v="889.00862062500005"/>
    <x v="5"/>
  </r>
  <r>
    <n v="394075"/>
    <x v="16"/>
    <n v="52114"/>
    <x v="5"/>
    <s v="Работа"/>
    <d v="2025-02-13T00:00:00"/>
    <n v="8"/>
    <n v="8"/>
    <s v="Testing"/>
    <d v="2025-03-21T00:00:00"/>
    <m/>
    <n v="316.09195375000002"/>
    <n v="2528.7356300000001"/>
    <x v="5"/>
  </r>
  <r>
    <n v="412270"/>
    <x v="16"/>
    <n v="47569"/>
    <x v="6"/>
    <s v="Работа"/>
    <d v="2025-02-13T00:00:00"/>
    <n v="8"/>
    <n v="8"/>
    <s v="."/>
    <d v="2025-04-30T00:00:00"/>
    <m/>
    <n v="632.18390812500002"/>
    <n v="5057.4712650000001"/>
    <x v="5"/>
  </r>
  <r>
    <n v="415624"/>
    <x v="16"/>
    <n v="47572"/>
    <x v="13"/>
    <s v="Работа"/>
    <d v="2025-02-13T00:00:00"/>
    <n v="0.5"/>
    <n v="0.5"/>
    <s v="дейл"/>
    <d v="2025-05-12T00:00:00"/>
    <m/>
    <n v="1418"/>
    <n v="709"/>
    <x v="5"/>
  </r>
  <r>
    <n v="415636"/>
    <x v="16"/>
    <n v="47614"/>
    <x v="13"/>
    <s v="Работа"/>
    <d v="2025-02-13T00:00:00"/>
    <n v="6"/>
    <n v="6"/>
    <n v="1134"/>
    <d v="2025-05-12T00:00:00"/>
    <m/>
    <n v="1418"/>
    <n v="8508"/>
    <x v="5"/>
  </r>
  <r>
    <n v="381350"/>
    <x v="21"/>
    <n v="47707"/>
    <x v="2"/>
    <s v="Внутренняя деятельность"/>
    <d v="2025-02-13T00:00:00"/>
    <n v="8"/>
    <n v="8"/>
    <s v="Работа с проектом СПБ (Биржа), обследование, проектирование, анализ, тз"/>
    <d v="2025-02-18T00:00:00"/>
    <m/>
    <n v="790.22988499999997"/>
    <n v="6321.8390799999997"/>
    <x v="5"/>
  </r>
  <r>
    <n v="390198"/>
    <x v="16"/>
    <n v="47615"/>
    <x v="16"/>
    <s v="Работа"/>
    <d v="2025-02-12T00:00:00"/>
    <n v="8"/>
    <n v="8"/>
    <s v="подробнее в Open Project"/>
    <d v="2025-03-11T00:00:00"/>
    <m/>
    <n v="1185.3448275000001"/>
    <n v="9482.7586200000005"/>
    <x v="5"/>
  </r>
  <r>
    <n v="393807"/>
    <x v="16"/>
    <n v="47569"/>
    <x v="14"/>
    <s v="Работа"/>
    <d v="2025-02-12T00:00:00"/>
    <n v="4"/>
    <n v="4"/>
    <s v="Изменил delete, добавил универсальный метод restore. Правки по wrapper"/>
    <d v="2025-03-21T00:00:00"/>
    <m/>
    <n v="1778.0172412500001"/>
    <n v="7112.0689650000004"/>
    <x v="5"/>
  </r>
  <r>
    <n v="394074"/>
    <x v="16"/>
    <n v="52114"/>
    <x v="5"/>
    <s v="Работа"/>
    <d v="2025-02-12T00:00:00"/>
    <n v="8"/>
    <n v="8"/>
    <s v="Testing"/>
    <d v="2025-03-21T00:00:00"/>
    <m/>
    <n v="316.09195375000002"/>
    <n v="2528.7356300000001"/>
    <x v="5"/>
  </r>
  <r>
    <n v="412763"/>
    <x v="16"/>
    <n v="47538"/>
    <x v="1"/>
    <s v="Работа"/>
    <d v="2025-02-12T00:00:00"/>
    <n v="100"/>
    <n v="100"/>
    <s v="Task planning, meetings with client"/>
    <d v="2025-04-30T00:00:00"/>
    <m/>
    <n v="1975.5747125000003"/>
    <n v="197557.47125000003"/>
    <x v="5"/>
  </r>
  <r>
    <n v="412269"/>
    <x v="16"/>
    <n v="47569"/>
    <x v="6"/>
    <s v="Работа"/>
    <d v="2025-02-12T00:00:00"/>
    <n v="8"/>
    <n v="8"/>
    <s v="."/>
    <d v="2025-04-30T00:00:00"/>
    <m/>
    <n v="632.18390812500002"/>
    <n v="5057.4712650000001"/>
    <x v="5"/>
  </r>
  <r>
    <n v="432247"/>
    <x v="2"/>
    <n v="34"/>
    <x v="11"/>
    <s v="Внутренняя деятельность"/>
    <d v="2025-02-12T00:00:00"/>
    <n v="56"/>
    <n v="56"/>
    <s v="R&amp;amp;D"/>
    <d v="2025-06-28T00:00:00"/>
    <m/>
    <n v="632.18390812500002"/>
    <n v="35402.298855000001"/>
    <x v="5"/>
  </r>
  <r>
    <n v="379520"/>
    <x v="16"/>
    <n v="47569"/>
    <x v="14"/>
    <s v="Работа"/>
    <d v="2025-02-12T00:00:00"/>
    <n v="4"/>
    <n v="4"/>
    <s v="backend: Удаление значений поля или связи, если значение = null, правки по нежилым"/>
    <d v="2025-02-12T00:00:00"/>
    <m/>
    <n v="1778.0172412500001"/>
    <n v="7112.0689650000004"/>
    <x v="5"/>
  </r>
  <r>
    <n v="415623"/>
    <x v="16"/>
    <n v="47572"/>
    <x v="13"/>
    <s v="Работа"/>
    <d v="2025-02-12T00:00:00"/>
    <n v="0.5"/>
    <n v="0.5"/>
    <s v="дейл"/>
    <d v="2025-05-12T00:00:00"/>
    <m/>
    <n v="1418"/>
    <n v="709"/>
    <x v="5"/>
  </r>
  <r>
    <n v="415634"/>
    <x v="16"/>
    <n v="47614"/>
    <x v="13"/>
    <s v="Работа"/>
    <d v="2025-02-12T00:00:00"/>
    <n v="4"/>
    <n v="4"/>
    <n v="1134"/>
    <d v="2025-05-12T00:00:00"/>
    <m/>
    <n v="1418"/>
    <n v="5672"/>
    <x v="5"/>
  </r>
  <r>
    <n v="415635"/>
    <x v="16"/>
    <n v="47614"/>
    <x v="13"/>
    <s v="Работа"/>
    <d v="2025-02-12T00:00:00"/>
    <n v="3"/>
    <n v="3"/>
    <n v="1134"/>
    <d v="2025-05-12T00:00:00"/>
    <m/>
    <n v="1418"/>
    <n v="4254"/>
    <x v="5"/>
  </r>
  <r>
    <n v="381349"/>
    <x v="21"/>
    <n v="47707"/>
    <x v="2"/>
    <s v="Внутренняя деятельность"/>
    <d v="2025-02-12T00:00:00"/>
    <n v="8"/>
    <n v="8"/>
    <s v="Работа с проектом СПБ (Биржа), обследование, проектирование, анализ, тз"/>
    <d v="2025-02-18T00:00:00"/>
    <m/>
    <n v="790.22988499999997"/>
    <n v="6321.8390799999997"/>
    <x v="5"/>
  </r>
  <r>
    <n v="379630"/>
    <x v="16"/>
    <n v="47569"/>
    <x v="7"/>
    <s v="Работа"/>
    <d v="2025-02-12T00:00:00"/>
    <n v="5"/>
    <n v="5"/>
    <s v="реализация сервисов"/>
    <d v="2025-02-12T00:00:00"/>
    <m/>
    <n v="1896.551724375"/>
    <n v="9482.7586218750002"/>
    <x v="5"/>
  </r>
  <r>
    <n v="379631"/>
    <x v="16"/>
    <n v="47570"/>
    <x v="7"/>
    <s v="Работа"/>
    <d v="2025-02-12T00:00:00"/>
    <n v="1.75"/>
    <n v="1.75"/>
    <s v="ревью"/>
    <d v="2025-02-12T00:00:00"/>
    <m/>
    <n v="1896.551724375"/>
    <n v="3318.9655176562501"/>
    <x v="5"/>
  </r>
  <r>
    <n v="379632"/>
    <x v="16"/>
    <n v="47572"/>
    <x v="7"/>
    <s v="Работа"/>
    <d v="2025-02-12T00:00:00"/>
    <n v="2"/>
    <n v="2"/>
    <s v="коммуникация с разработчиками и дизайнером интерфейса"/>
    <d v="2025-02-12T00:00:00"/>
    <m/>
    <n v="1896.551724375"/>
    <n v="3793.1034487500001"/>
    <x v="5"/>
  </r>
  <r>
    <n v="390197"/>
    <x v="16"/>
    <n v="47615"/>
    <x v="16"/>
    <s v="Работа"/>
    <d v="2025-02-11T00:00:00"/>
    <n v="8"/>
    <n v="8"/>
    <s v="подробнее в Open Project"/>
    <d v="2025-03-11T00:00:00"/>
    <m/>
    <n v="1185.3448275000001"/>
    <n v="9482.7586200000005"/>
    <x v="5"/>
  </r>
  <r>
    <n v="394073"/>
    <x v="16"/>
    <n v="52114"/>
    <x v="5"/>
    <s v="Работа"/>
    <d v="2025-02-11T00:00:00"/>
    <n v="8"/>
    <n v="8"/>
    <s v="Updating Test Cases"/>
    <d v="2025-03-21T00:00:00"/>
    <m/>
    <n v="316.09195375000002"/>
    <n v="2528.7356300000001"/>
    <x v="5"/>
  </r>
  <r>
    <n v="412267"/>
    <x v="16"/>
    <n v="47569"/>
    <x v="6"/>
    <s v="Работа"/>
    <d v="2025-02-11T00:00:00"/>
    <n v="8"/>
    <n v="8"/>
    <s v="."/>
    <d v="2025-04-30T00:00:00"/>
    <m/>
    <n v="632.18390812500002"/>
    <n v="5057.4712650000001"/>
    <x v="5"/>
  </r>
  <r>
    <n v="379516"/>
    <x v="16"/>
    <n v="47572"/>
    <x v="14"/>
    <s v="Работа"/>
    <d v="2025-02-11T00:00:00"/>
    <n v="1.5"/>
    <n v="1.5"/>
    <s v="Созвон по беку"/>
    <d v="2025-02-12T00:00:00"/>
    <m/>
    <n v="1778.0172412500001"/>
    <n v="2667.0258618750004"/>
    <x v="5"/>
  </r>
  <r>
    <n v="379517"/>
    <x v="16"/>
    <n v="47569"/>
    <x v="14"/>
    <s v="Работа"/>
    <d v="2025-02-11T00:00:00"/>
    <n v="1.5"/>
    <n v="1.5"/>
    <s v="backend: реализовать endpoint для привязки услуги к парадной дома / дому"/>
    <d v="2025-02-12T00:00:00"/>
    <m/>
    <n v="1778.0172412500001"/>
    <n v="2667.0258618750004"/>
    <x v="5"/>
  </r>
  <r>
    <n v="379518"/>
    <x v="16"/>
    <n v="47569"/>
    <x v="14"/>
    <s v="Работа"/>
    <d v="2025-02-11T00:00:00"/>
    <n v="2"/>
    <n v="2"/>
    <s v="backend: реализовать endpoint для редактирования услуги"/>
    <d v="2025-02-12T00:00:00"/>
    <m/>
    <n v="1778.0172412500001"/>
    <n v="3556.0344825000002"/>
    <x v="5"/>
  </r>
  <r>
    <n v="379519"/>
    <x v="16"/>
    <n v="47569"/>
    <x v="14"/>
    <s v="Работа"/>
    <d v="2025-02-11T00:00:00"/>
    <n v="3"/>
    <n v="3"/>
    <s v="backend: Удаление значений поля или связи, если значение = null"/>
    <d v="2025-02-12T00:00:00"/>
    <m/>
    <n v="1778.0172412500001"/>
    <n v="5334.0517237500007"/>
    <x v="5"/>
  </r>
  <r>
    <n v="415633"/>
    <x v="16"/>
    <n v="47614"/>
    <x v="13"/>
    <s v="Работа"/>
    <d v="2025-02-11T00:00:00"/>
    <n v="5"/>
    <n v="5"/>
    <n v="1133"/>
    <d v="2025-05-12T00:00:00"/>
    <m/>
    <n v="1418"/>
    <n v="7090"/>
    <x v="5"/>
  </r>
  <r>
    <n v="381348"/>
    <x v="21"/>
    <n v="47707"/>
    <x v="2"/>
    <s v="Внутренняя деятельность"/>
    <d v="2025-02-11T00:00:00"/>
    <n v="8"/>
    <n v="8"/>
    <s v="Работа с проектом СПБ (Биржа), обследование, проектирование, анализ, тз"/>
    <d v="2025-02-18T00:00:00"/>
    <m/>
    <n v="790.22988499999997"/>
    <n v="6321.8390799999997"/>
    <x v="5"/>
  </r>
  <r>
    <n v="412853"/>
    <x v="1"/>
    <n v="42715"/>
    <x v="1"/>
    <s v="Внутренняя деятельность"/>
    <d v="2025-02-11T00:00:00"/>
    <n v="26"/>
    <n v="26"/>
    <s v="R&amp;amp;D"/>
    <d v="2025-04-30T00:00:00"/>
    <m/>
    <n v="1975.5747125000003"/>
    <n v="51364.942525000006"/>
    <x v="5"/>
  </r>
  <r>
    <n v="379628"/>
    <x v="16"/>
    <n v="47569"/>
    <x v="7"/>
    <s v="Работа"/>
    <d v="2025-02-11T00:00:00"/>
    <n v="6"/>
    <n v="6"/>
    <s v="реализация сервисов"/>
    <d v="2025-02-12T00:00:00"/>
    <m/>
    <n v="1896.551724375"/>
    <n v="11379.31034625"/>
    <x v="5"/>
  </r>
  <r>
    <n v="379629"/>
    <x v="16"/>
    <n v="47570"/>
    <x v="7"/>
    <s v="Работа"/>
    <d v="2025-02-11T00:00:00"/>
    <n v="2"/>
    <n v="2"/>
    <s v="ревью"/>
    <d v="2025-02-12T00:00:00"/>
    <m/>
    <n v="1896.551724375"/>
    <n v="3793.1034487500001"/>
    <x v="5"/>
  </r>
  <r>
    <n v="390196"/>
    <x v="16"/>
    <n v="47615"/>
    <x v="16"/>
    <s v="Работа"/>
    <d v="2025-02-10T00:00:00"/>
    <n v="8"/>
    <n v="8"/>
    <s v="подробнее в Open Project"/>
    <d v="2025-03-11T00:00:00"/>
    <m/>
    <n v="1185.3448275000001"/>
    <n v="9482.7586200000005"/>
    <x v="5"/>
  </r>
  <r>
    <n v="394072"/>
    <x v="16"/>
    <n v="52114"/>
    <x v="5"/>
    <s v="Работа"/>
    <d v="2025-02-10T00:00:00"/>
    <n v="8"/>
    <n v="8"/>
    <s v="Updating Test Cases"/>
    <d v="2025-03-21T00:00:00"/>
    <m/>
    <n v="316.09195375000002"/>
    <n v="2528.7356300000001"/>
    <x v="5"/>
  </r>
  <r>
    <n v="412265"/>
    <x v="16"/>
    <n v="47570"/>
    <x v="6"/>
    <s v="Работа"/>
    <d v="2025-02-10T00:00:00"/>
    <n v="8"/>
    <n v="8"/>
    <s v="."/>
    <d v="2025-04-30T00:00:00"/>
    <m/>
    <n v="632.18390812500002"/>
    <n v="5057.4712650000001"/>
    <x v="5"/>
  </r>
  <r>
    <n v="379511"/>
    <x v="16"/>
    <n v="47569"/>
    <x v="14"/>
    <s v="Работа"/>
    <d v="2025-02-10T00:00:00"/>
    <n v="1"/>
    <n v="1"/>
    <s v="Созвон бек по услугам и коммуналкам"/>
    <d v="2025-02-12T00:00:00"/>
    <m/>
    <n v="1778.0172412500001"/>
    <n v="1778.0172412500001"/>
    <x v="5"/>
  </r>
  <r>
    <n v="379512"/>
    <x v="16"/>
    <n v="47569"/>
    <x v="14"/>
    <s v="Работа"/>
    <d v="2025-02-10T00:00:00"/>
    <n v="2"/>
    <n v="2"/>
    <s v="backend: добавить в dgraph-seeder справочник услуг"/>
    <d v="2025-02-12T00:00:00"/>
    <m/>
    <n v="1778.0172412500001"/>
    <n v="3556.0344825000002"/>
    <x v="5"/>
  </r>
  <r>
    <n v="379513"/>
    <x v="16"/>
    <n v="47569"/>
    <x v="14"/>
    <s v="Работа"/>
    <d v="2025-02-10T00:00:00"/>
    <n v="0.5"/>
    <n v="0.5"/>
    <s v="backend: реализовать endpoint для удаления услуги"/>
    <d v="2025-02-12T00:00:00"/>
    <m/>
    <n v="1778.0172412500001"/>
    <n v="889.00862062500005"/>
    <x v="5"/>
  </r>
  <r>
    <n v="379514"/>
    <x v="16"/>
    <n v="47569"/>
    <x v="14"/>
    <s v="Работа"/>
    <d v="2025-02-10T00:00:00"/>
    <n v="2"/>
    <n v="2"/>
    <s v="backend: реализовать endpoint для выдачи пагинированного списка услуг"/>
    <d v="2025-02-12T00:00:00"/>
    <m/>
    <n v="1778.0172412500001"/>
    <n v="3556.0344825000002"/>
    <x v="5"/>
  </r>
  <r>
    <n v="379515"/>
    <x v="16"/>
    <n v="47569"/>
    <x v="14"/>
    <s v="Работа"/>
    <d v="2025-02-10T00:00:00"/>
    <n v="2.5"/>
    <n v="2.5"/>
    <s v="backend: реализовать endpoint для создания услуги"/>
    <d v="2025-02-12T00:00:00"/>
    <m/>
    <n v="1778.0172412500001"/>
    <n v="4445.043103125"/>
    <x v="5"/>
  </r>
  <r>
    <n v="415622"/>
    <x v="16"/>
    <n v="47572"/>
    <x v="13"/>
    <s v="Работа"/>
    <d v="2025-02-10T00:00:00"/>
    <n v="0.5"/>
    <n v="0.5"/>
    <s v="дейл"/>
    <d v="2025-05-12T00:00:00"/>
    <m/>
    <n v="1418"/>
    <n v="709"/>
    <x v="5"/>
  </r>
  <r>
    <n v="415632"/>
    <x v="16"/>
    <n v="47614"/>
    <x v="13"/>
    <s v="Работа"/>
    <d v="2025-02-10T00:00:00"/>
    <n v="4"/>
    <n v="4"/>
    <n v="1133"/>
    <d v="2025-05-12T00:00:00"/>
    <m/>
    <n v="1418"/>
    <n v="5672"/>
    <x v="5"/>
  </r>
  <r>
    <n v="381347"/>
    <x v="21"/>
    <n v="47707"/>
    <x v="2"/>
    <s v="Внутренняя деятельность"/>
    <d v="2025-02-10T00:00:00"/>
    <n v="8"/>
    <n v="8"/>
    <s v="Работа с проектом СПБ (Биржа), обследование, проектирование, анализ, тз"/>
    <d v="2025-02-18T00:00:00"/>
    <m/>
    <n v="790.22988499999997"/>
    <n v="6321.8390799999997"/>
    <x v="5"/>
  </r>
  <r>
    <n v="379624"/>
    <x v="16"/>
    <n v="47569"/>
    <x v="7"/>
    <s v="Работа"/>
    <d v="2025-02-10T00:00:00"/>
    <n v="4"/>
    <n v="4"/>
    <s v="эндпоинты для работы с коммунальными комнатами"/>
    <d v="2025-02-12T00:00:00"/>
    <m/>
    <n v="1896.551724375"/>
    <n v="7586.2068975000002"/>
    <x v="5"/>
  </r>
  <r>
    <n v="379625"/>
    <x v="16"/>
    <n v="47570"/>
    <x v="7"/>
    <s v="Работа"/>
    <d v="2025-02-10T00:00:00"/>
    <n v="1.5"/>
    <n v="1.5"/>
    <s v="ревью решений в бэкенде"/>
    <d v="2025-02-12T00:00:00"/>
    <m/>
    <n v="1896.551724375"/>
    <n v="2844.8275865625001"/>
    <x v="5"/>
  </r>
  <r>
    <n v="379626"/>
    <x v="16"/>
    <n v="50244"/>
    <x v="7"/>
    <s v="Работа"/>
    <d v="2025-02-10T00:00:00"/>
    <n v="2"/>
    <n v="2"/>
    <s v="дисковое пространство fury - поиск и чистка"/>
    <d v="2025-02-12T00:00:00"/>
    <m/>
    <n v="1896.551724375"/>
    <n v="3793.1034487500001"/>
    <x v="5"/>
  </r>
  <r>
    <n v="379627"/>
    <x v="16"/>
    <n v="47572"/>
    <x v="7"/>
    <s v="Работа"/>
    <d v="2025-02-10T00:00:00"/>
    <n v="1"/>
    <n v="1"/>
    <s v="коммуникация с разработчиками"/>
    <d v="2025-02-12T00:00:00"/>
    <m/>
    <n v="1896.551724375"/>
    <n v="1896.551724375"/>
    <x v="5"/>
  </r>
  <r>
    <n v="415630"/>
    <x v="16"/>
    <n v="47614"/>
    <x v="13"/>
    <s v="Работа"/>
    <d v="2025-02-09T00:00:00"/>
    <n v="6"/>
    <n v="6"/>
    <n v="904"/>
    <d v="2025-05-12T00:00:00"/>
    <m/>
    <n v="1418"/>
    <n v="8508"/>
    <x v="5"/>
  </r>
  <r>
    <n v="415631"/>
    <x v="16"/>
    <n v="47614"/>
    <x v="13"/>
    <s v="Работа"/>
    <d v="2025-02-09T00:00:00"/>
    <n v="8"/>
    <n v="8"/>
    <n v="1132"/>
    <d v="2025-05-12T00:00:00"/>
    <m/>
    <n v="1418"/>
    <n v="11344"/>
    <x v="5"/>
  </r>
  <r>
    <n v="390195"/>
    <x v="16"/>
    <n v="47615"/>
    <x v="16"/>
    <s v="Работа"/>
    <d v="2025-02-07T00:00:00"/>
    <n v="8"/>
    <n v="8"/>
    <s v="подробнее в Open Project"/>
    <d v="2025-03-11T00:00:00"/>
    <m/>
    <n v="1185.3448275000001"/>
    <n v="9482.7586200000005"/>
    <x v="5"/>
  </r>
  <r>
    <n v="394071"/>
    <x v="16"/>
    <n v="52114"/>
    <x v="5"/>
    <s v="Работа"/>
    <d v="2025-02-07T00:00:00"/>
    <n v="6"/>
    <n v="6"/>
    <s v="Updating Test Cases"/>
    <d v="2025-03-21T00:00:00"/>
    <m/>
    <n v="316.09195375000002"/>
    <n v="1896.5517225000001"/>
    <x v="5"/>
  </r>
  <r>
    <n v="412263"/>
    <x v="16"/>
    <n v="47570"/>
    <x v="6"/>
    <s v="Работа"/>
    <d v="2025-02-07T00:00:00"/>
    <n v="8"/>
    <n v="8"/>
    <s v="."/>
    <d v="2025-04-30T00:00:00"/>
    <m/>
    <n v="632.18390812500002"/>
    <n v="5057.4712650000001"/>
    <x v="5"/>
  </r>
  <r>
    <n v="379504"/>
    <x v="16"/>
    <n v="47569"/>
    <x v="14"/>
    <s v="Работа"/>
    <d v="2025-02-07T00:00:00"/>
    <n v="4"/>
    <n v="4"/>
    <s v="backend: доработка db-seeder для хранения информации о тех помещениях дома"/>
    <d v="2025-02-12T00:00:00"/>
    <m/>
    <n v="1778.0172412500001"/>
    <n v="7112.0689650000004"/>
    <x v="5"/>
  </r>
  <r>
    <n v="379505"/>
    <x v="16"/>
    <n v="47569"/>
    <x v="14"/>
    <s v="Работа"/>
    <d v="2025-02-07T00:00:00"/>
    <n v="0.2"/>
    <n v="0.2"/>
    <s v="backend: реализовать endpoint для удаления технического помещения"/>
    <d v="2025-02-12T00:00:00"/>
    <m/>
    <n v="1778.0172412500001"/>
    <n v="355.60344825000004"/>
    <x v="5"/>
  </r>
  <r>
    <n v="379506"/>
    <x v="16"/>
    <n v="47569"/>
    <x v="14"/>
    <s v="Работа"/>
    <d v="2025-02-07T00:00:00"/>
    <n v="1"/>
    <n v="1"/>
    <s v="backend: реализовать endpoint для показа детальной информации оп тех помещении"/>
    <d v="2025-02-12T00:00:00"/>
    <m/>
    <n v="1778.0172412500001"/>
    <n v="1778.0172412500001"/>
    <x v="5"/>
  </r>
  <r>
    <n v="379507"/>
    <x v="16"/>
    <n v="47569"/>
    <x v="14"/>
    <s v="Работа"/>
    <d v="2025-02-07T00:00:00"/>
    <n v="0.8"/>
    <n v="0.8"/>
    <s v="backend: реализовать endpoint для выдачи пагинированного списка тех помещений привязанных к дому"/>
    <d v="2025-02-12T00:00:00"/>
    <m/>
    <n v="1778.0172412500001"/>
    <n v="1422.4137930000002"/>
    <x v="5"/>
  </r>
  <r>
    <n v="379508"/>
    <x v="16"/>
    <n v="47569"/>
    <x v="14"/>
    <s v="Работа"/>
    <d v="2025-02-07T00:00:00"/>
    <n v="1"/>
    <n v="1"/>
    <s v="backend: реализовать endpoint для редактирования технических помещений "/>
    <d v="2025-02-12T00:00:00"/>
    <m/>
    <n v="1778.0172412500001"/>
    <n v="1778.0172412500001"/>
    <x v="5"/>
  </r>
  <r>
    <n v="379509"/>
    <x v="16"/>
    <n v="47569"/>
    <x v="14"/>
    <s v="Работа"/>
    <d v="2025-02-07T00:00:00"/>
    <n v="1"/>
    <n v="1"/>
    <s v="backend: реализовать endpoint для создания технических помещений"/>
    <d v="2025-02-12T00:00:00"/>
    <m/>
    <n v="1778.0172412500001"/>
    <n v="1778.0172412500001"/>
    <x v="5"/>
  </r>
  <r>
    <n v="378497"/>
    <x v="16"/>
    <n v="47568"/>
    <x v="7"/>
    <s v="Работа"/>
    <d v="2025-02-07T00:00:00"/>
    <n v="2.5"/>
    <n v="2.5"/>
    <s v="API спецификация"/>
    <d v="2025-02-07T00:00:00"/>
    <m/>
    <n v="1896.551724375"/>
    <n v="4741.3793109375001"/>
    <x v="5"/>
  </r>
  <r>
    <n v="378498"/>
    <x v="16"/>
    <n v="50244"/>
    <x v="7"/>
    <s v="Работа"/>
    <d v="2025-02-07T00:00:00"/>
    <n v="0.7"/>
    <n v="0.7"/>
    <s v="деплой в staging, sanity checks"/>
    <d v="2025-02-07T00:00:00"/>
    <m/>
    <n v="1896.551724375"/>
    <n v="1327.5862070624999"/>
    <x v="5"/>
  </r>
  <r>
    <n v="378499"/>
    <x v="16"/>
    <n v="47570"/>
    <x v="7"/>
    <s v="Работа"/>
    <d v="2025-02-07T00:00:00"/>
    <n v="2.5"/>
    <n v="2.5"/>
    <s v="ревью кода"/>
    <d v="2025-02-07T00:00:00"/>
    <m/>
    <n v="1896.551724375"/>
    <n v="4741.3793109375001"/>
    <x v="5"/>
  </r>
  <r>
    <n v="378500"/>
    <x v="16"/>
    <n v="47572"/>
    <x v="7"/>
    <s v="Работа"/>
    <d v="2025-02-07T00:00:00"/>
    <n v="2.2999999999999998"/>
    <n v="2.2999999999999998"/>
    <s v="технические дискуссии"/>
    <d v="2025-02-07T00:00:00"/>
    <m/>
    <n v="1896.551724375"/>
    <n v="4362.0689660624994"/>
    <x v="5"/>
  </r>
  <r>
    <n v="415621"/>
    <x v="16"/>
    <n v="47572"/>
    <x v="13"/>
    <s v="Работа"/>
    <d v="2025-02-07T00:00:00"/>
    <n v="0.5"/>
    <n v="0.5"/>
    <s v="дейл"/>
    <d v="2025-05-12T00:00:00"/>
    <m/>
    <n v="1418"/>
    <n v="709"/>
    <x v="5"/>
  </r>
  <r>
    <n v="415629"/>
    <x v="16"/>
    <n v="47614"/>
    <x v="13"/>
    <s v="Работа"/>
    <d v="2025-02-07T00:00:00"/>
    <n v="8"/>
    <n v="8"/>
    <n v="904"/>
    <d v="2025-05-12T00:00:00"/>
    <m/>
    <n v="1418"/>
    <n v="11344"/>
    <x v="5"/>
  </r>
  <r>
    <n v="381346"/>
    <x v="21"/>
    <n v="47707"/>
    <x v="2"/>
    <s v="Внутренняя деятельность"/>
    <d v="2025-02-07T00:00:00"/>
    <n v="8"/>
    <n v="8"/>
    <s v="Работа с проектом СПБ (Биржа), обследование, проектирование, анализ, тз"/>
    <d v="2025-02-18T00:00:00"/>
    <m/>
    <n v="790.22988499999997"/>
    <n v="6321.8390799999997"/>
    <x v="5"/>
  </r>
  <r>
    <n v="378328"/>
    <x v="24"/>
    <n v="45146"/>
    <x v="10"/>
    <s v="Работа"/>
    <d v="2025-02-07T00:00:00"/>
    <n v="1"/>
    <n v="1"/>
    <s v="Комментарий"/>
    <d v="2025-02-07T00:00:00"/>
    <m/>
    <n v="1580.4597699999999"/>
    <n v="1580.4597699999999"/>
    <x v="5"/>
  </r>
  <r>
    <n v="378151"/>
    <x v="16"/>
    <n v="47568"/>
    <x v="7"/>
    <s v="Работа"/>
    <d v="2025-02-06T00:00:00"/>
    <n v="3"/>
    <n v="3"/>
    <s v="API спецификация"/>
    <d v="2025-02-06T00:00:00"/>
    <m/>
    <n v="1896.551724375"/>
    <n v="5689.6551731250001"/>
    <x v="5"/>
  </r>
  <r>
    <n v="378152"/>
    <x v="16"/>
    <n v="47570"/>
    <x v="7"/>
    <s v="Работа"/>
    <d v="2025-02-06T00:00:00"/>
    <n v="1.5"/>
    <n v="1.5"/>
    <s v="ревью"/>
    <d v="2025-02-06T00:00:00"/>
    <m/>
    <n v="1896.551724375"/>
    <n v="2844.8275865625001"/>
    <x v="5"/>
  </r>
  <r>
    <n v="378153"/>
    <x v="16"/>
    <n v="50244"/>
    <x v="7"/>
    <s v="Работа"/>
    <d v="2025-02-06T00:00:00"/>
    <n v="2"/>
    <n v="2"/>
    <s v="деплой, анализ проблем с  build failure"/>
    <d v="2025-02-06T00:00:00"/>
    <m/>
    <n v="1896.551724375"/>
    <n v="3793.1034487500001"/>
    <x v="5"/>
  </r>
  <r>
    <n v="378154"/>
    <x v="16"/>
    <n v="47572"/>
    <x v="7"/>
    <s v="Работа"/>
    <d v="2025-02-06T00:00:00"/>
    <n v="1.5"/>
    <n v="1.5"/>
    <s v="внутри проектные встречи, тех обсуждения, работа с бэклогом задач команды бэкенда"/>
    <d v="2025-02-06T00:00:00"/>
    <m/>
    <n v="1896.551724375"/>
    <n v="2844.8275865625001"/>
    <x v="5"/>
  </r>
  <r>
    <n v="379435"/>
    <x v="10"/>
    <n v="46185"/>
    <x v="14"/>
    <s v="Работа"/>
    <d v="2025-02-06T00:00:00"/>
    <n v="2"/>
    <n v="2"/>
    <s v="Ошибка при загрузке результатов на сайт"/>
    <d v="2025-02-12T00:00:00"/>
    <m/>
    <n v="1778.0172412500001"/>
    <n v="3556.0344825000002"/>
    <x v="5"/>
  </r>
  <r>
    <n v="390194"/>
    <x v="16"/>
    <n v="47615"/>
    <x v="16"/>
    <s v="Работа"/>
    <d v="2025-02-06T00:00:00"/>
    <n v="8"/>
    <n v="8"/>
    <s v="подробнее в Open Project"/>
    <d v="2025-03-11T00:00:00"/>
    <m/>
    <n v="1185.3448275000001"/>
    <n v="9482.7586200000005"/>
    <x v="5"/>
  </r>
  <r>
    <n v="394070"/>
    <x v="16"/>
    <n v="52114"/>
    <x v="5"/>
    <s v="Работа"/>
    <d v="2025-02-06T00:00:00"/>
    <n v="6"/>
    <n v="6"/>
    <s v="Updating Test Cases"/>
    <d v="2025-03-21T00:00:00"/>
    <m/>
    <n v="316.09195375000002"/>
    <n v="1896.5517225000001"/>
    <x v="5"/>
  </r>
  <r>
    <n v="412261"/>
    <x v="16"/>
    <n v="47569"/>
    <x v="6"/>
    <s v="Работа"/>
    <d v="2025-02-06T00:00:00"/>
    <n v="8"/>
    <n v="8"/>
    <s v="."/>
    <d v="2025-04-30T00:00:00"/>
    <m/>
    <n v="632.18390812500002"/>
    <n v="5057.4712650000001"/>
    <x v="5"/>
  </r>
  <r>
    <n v="379500"/>
    <x v="16"/>
    <n v="47569"/>
    <x v="14"/>
    <s v="Работа"/>
    <d v="2025-02-06T00:00:00"/>
    <n v="4"/>
    <n v="4"/>
    <s v="backend: реализовать endpoint для создания нежилого помещения в доме"/>
    <d v="2025-02-12T00:00:00"/>
    <m/>
    <n v="1778.0172412500001"/>
    <n v="7112.0689650000004"/>
    <x v="5"/>
  </r>
  <r>
    <n v="379501"/>
    <x v="16"/>
    <n v="47569"/>
    <x v="14"/>
    <s v="Работа"/>
    <d v="2025-02-06T00:00:00"/>
    <n v="1"/>
    <n v="1"/>
    <s v="backend: реализовать endpoint для удаления нежилого помещения"/>
    <d v="2025-02-12T00:00:00"/>
    <m/>
    <n v="1778.0172412500001"/>
    <n v="1778.0172412500001"/>
    <x v="5"/>
  </r>
  <r>
    <n v="379502"/>
    <x v="16"/>
    <n v="47569"/>
    <x v="14"/>
    <s v="Работа"/>
    <d v="2025-02-06T00:00:00"/>
    <n v="1"/>
    <n v="1"/>
    <s v="backend: реализовать endpoint для детальной информации по нежилым помещениям"/>
    <d v="2025-02-12T00:00:00"/>
    <m/>
    <n v="1778.0172412500001"/>
    <n v="1778.0172412500001"/>
    <x v="5"/>
  </r>
  <r>
    <n v="415620"/>
    <x v="16"/>
    <n v="47572"/>
    <x v="13"/>
    <s v="Работа"/>
    <d v="2025-02-06T00:00:00"/>
    <n v="0.5"/>
    <n v="0.5"/>
    <s v="дейл"/>
    <d v="2025-05-12T00:00:00"/>
    <m/>
    <n v="1418"/>
    <n v="709"/>
    <x v="5"/>
  </r>
  <r>
    <n v="381345"/>
    <x v="21"/>
    <n v="47707"/>
    <x v="2"/>
    <s v="Внутренняя деятельность"/>
    <d v="2025-02-06T00:00:00"/>
    <n v="8"/>
    <n v="8"/>
    <s v="Работа с проектом СПБ (Биржа), обследование, проектирование, анализ, тз"/>
    <d v="2025-02-18T00:00:00"/>
    <m/>
    <n v="790.22988499999997"/>
    <n v="6321.8390799999997"/>
    <x v="5"/>
  </r>
  <r>
    <n v="377601"/>
    <x v="24"/>
    <n v="45146"/>
    <x v="3"/>
    <s v="Работа"/>
    <d v="2025-02-05T00:00:00"/>
    <n v="40"/>
    <n v="40"/>
    <s v="Исправление пайплайнов"/>
    <d v="2025-02-05T00:00:00"/>
    <m/>
    <n v="1027.2988506249999"/>
    <n v="41091.954024999999"/>
    <x v="5"/>
  </r>
  <r>
    <n v="378149"/>
    <x v="16"/>
    <n v="47569"/>
    <x v="7"/>
    <s v="Работа"/>
    <d v="2025-02-05T00:00:00"/>
    <n v="5"/>
    <n v="5"/>
    <n v="1303"/>
    <d v="2025-02-06T00:00:00"/>
    <m/>
    <n v="1896.551724375"/>
    <n v="9482.7586218750002"/>
    <x v="5"/>
  </r>
  <r>
    <n v="378150"/>
    <x v="16"/>
    <n v="47572"/>
    <x v="7"/>
    <s v="Работа"/>
    <d v="2025-02-05T00:00:00"/>
    <n v="3"/>
    <n v="3"/>
    <s v="внутри проектные встречи, тех обсуждения, работа с бэклогом задач команды бэкенда"/>
    <d v="2025-02-06T00:00:00"/>
    <m/>
    <n v="1896.551724375"/>
    <n v="5689.6551731250001"/>
    <x v="5"/>
  </r>
  <r>
    <n v="390193"/>
    <x v="16"/>
    <n v="47615"/>
    <x v="16"/>
    <s v="Работа"/>
    <d v="2025-02-05T00:00:00"/>
    <n v="8"/>
    <n v="8"/>
    <s v="подробнее в Open Project"/>
    <d v="2025-03-11T00:00:00"/>
    <m/>
    <n v="1185.3448275000001"/>
    <n v="9482.7586200000005"/>
    <x v="5"/>
  </r>
  <r>
    <n v="377431"/>
    <x v="25"/>
    <n v="49384"/>
    <x v="5"/>
    <s v="Работа"/>
    <d v="2025-02-05T00:00:00"/>
    <n v="32"/>
    <n v="32"/>
    <s v="Написание и тестирование тест-кейсов"/>
    <d v="2025-02-05T00:00:00"/>
    <m/>
    <n v="316.09195375000002"/>
    <n v="10114.942520000001"/>
    <x v="5"/>
  </r>
  <r>
    <n v="412260"/>
    <x v="16"/>
    <n v="47570"/>
    <x v="6"/>
    <s v="Работа"/>
    <d v="2025-02-05T00:00:00"/>
    <n v="8"/>
    <n v="8"/>
    <s v="."/>
    <d v="2025-04-30T00:00:00"/>
    <m/>
    <n v="632.18390812500002"/>
    <n v="5057.4712650000001"/>
    <x v="5"/>
  </r>
  <r>
    <n v="379496"/>
    <x v="16"/>
    <n v="47572"/>
    <x v="14"/>
    <s v="Работа"/>
    <d v="2025-02-05T00:00:00"/>
    <n v="1"/>
    <n v="1"/>
    <s v="Созвон по беку"/>
    <d v="2025-02-12T00:00:00"/>
    <m/>
    <n v="1778.0172412500001"/>
    <n v="1778.0172412500001"/>
    <x v="5"/>
  </r>
  <r>
    <n v="379497"/>
    <x v="16"/>
    <n v="47569"/>
    <x v="14"/>
    <s v="Работа"/>
    <d v="2025-02-05T00:00:00"/>
    <n v="4"/>
    <n v="4"/>
    <s v="backend: реализовать endpoint для выдачи пагинированного списка нежилых помещений"/>
    <d v="2025-02-12T00:00:00"/>
    <m/>
    <n v="1778.0172412500001"/>
    <n v="7112.0689650000004"/>
    <x v="5"/>
  </r>
  <r>
    <n v="379498"/>
    <x v="16"/>
    <n v="47569"/>
    <x v="14"/>
    <s v="Работа"/>
    <d v="2025-02-05T00:00:00"/>
    <n v="3"/>
    <n v="3"/>
    <s v="backend: реализовать endpoint для редактирования нежилого помещения"/>
    <d v="2025-02-12T00:00:00"/>
    <m/>
    <n v="1778.0172412500001"/>
    <n v="5334.0517237500007"/>
    <x v="5"/>
  </r>
  <r>
    <n v="379499"/>
    <x v="16"/>
    <n v="47572"/>
    <x v="14"/>
    <s v="Работа"/>
    <d v="2025-02-05T00:00:00"/>
    <n v="0.5"/>
    <n v="0.5"/>
    <s v="Созвон с Мишей"/>
    <d v="2025-02-12T00:00:00"/>
    <m/>
    <n v="1778.0172412500001"/>
    <n v="889.00862062500005"/>
    <x v="5"/>
  </r>
  <r>
    <n v="415619"/>
    <x v="16"/>
    <n v="47572"/>
    <x v="13"/>
    <s v="Работа"/>
    <d v="2025-02-05T00:00:00"/>
    <n v="0.5"/>
    <n v="0.5"/>
    <s v="дейл"/>
    <d v="2025-05-12T00:00:00"/>
    <m/>
    <n v="1418"/>
    <n v="709"/>
    <x v="5"/>
  </r>
  <r>
    <n v="415628"/>
    <x v="16"/>
    <n v="47614"/>
    <x v="13"/>
    <s v="Работа"/>
    <d v="2025-02-05T00:00:00"/>
    <n v="3"/>
    <n v="3"/>
    <n v="903"/>
    <d v="2025-05-12T00:00:00"/>
    <m/>
    <n v="1418"/>
    <n v="4254"/>
    <x v="5"/>
  </r>
  <r>
    <n v="381344"/>
    <x v="21"/>
    <n v="47707"/>
    <x v="2"/>
    <s v="Внутренняя деятельность"/>
    <d v="2025-02-05T00:00:00"/>
    <n v="8"/>
    <n v="8"/>
    <s v="Работа с проектом СПБ (Биржа), обследование, проектирование, анализ, тз"/>
    <d v="2025-02-18T00:00:00"/>
    <m/>
    <n v="790.22988499999997"/>
    <n v="6321.8390799999997"/>
    <x v="5"/>
  </r>
  <r>
    <n v="377253"/>
    <x v="25"/>
    <n v="49383"/>
    <x v="10"/>
    <s v="Работа"/>
    <d v="2025-02-05T00:00:00"/>
    <n v="46"/>
    <n v="46"/>
    <s v="Разработка"/>
    <d v="2025-02-05T00:00:00"/>
    <m/>
    <n v="1580.4597699999999"/>
    <n v="72701.149420000002"/>
    <x v="5"/>
  </r>
  <r>
    <n v="377254"/>
    <x v="25"/>
    <n v="49384"/>
    <x v="10"/>
    <s v="Работа"/>
    <d v="2025-02-05T00:00:00"/>
    <n v="34"/>
    <n v="34"/>
    <s v="Отладка ошибок"/>
    <d v="2025-02-05T00:00:00"/>
    <m/>
    <n v="1580.4597699999999"/>
    <n v="53735.632180000001"/>
    <x v="5"/>
  </r>
  <r>
    <n v="377255"/>
    <x v="25"/>
    <n v="49385"/>
    <x v="10"/>
    <s v="Работа"/>
    <d v="2025-02-05T00:00:00"/>
    <n v="3"/>
    <n v="3"/>
    <s v="Встречи с заказчиком"/>
    <d v="2025-02-05T00:00:00"/>
    <m/>
    <n v="1580.4597699999999"/>
    <n v="4741.3793100000003"/>
    <x v="5"/>
  </r>
  <r>
    <n v="377256"/>
    <x v="25"/>
    <n v="49386"/>
    <x v="10"/>
    <s v="Работа"/>
    <d v="2025-02-05T00:00:00"/>
    <n v="8"/>
    <n v="8"/>
    <s v="Демо, отладка багов"/>
    <d v="2025-02-05T00:00:00"/>
    <m/>
    <n v="1580.4597699999999"/>
    <n v="12643.678159999999"/>
    <x v="5"/>
  </r>
  <r>
    <n v="378146"/>
    <x v="16"/>
    <n v="47570"/>
    <x v="7"/>
    <s v="Работа"/>
    <d v="2025-02-04T00:00:00"/>
    <n v="3.5"/>
    <n v="3.5"/>
    <s v="ревью кода"/>
    <d v="2025-02-06T00:00:00"/>
    <m/>
    <n v="1896.551724375"/>
    <n v="6637.9310353125002"/>
    <x v="5"/>
  </r>
  <r>
    <n v="378147"/>
    <x v="16"/>
    <n v="47569"/>
    <x v="7"/>
    <s v="Работа"/>
    <d v="2025-02-04T00:00:00"/>
    <n v="1"/>
    <n v="1"/>
    <s v="решение задач"/>
    <d v="2025-02-06T00:00:00"/>
    <m/>
    <n v="1896.551724375"/>
    <n v="1896.551724375"/>
    <x v="5"/>
  </r>
  <r>
    <n v="378148"/>
    <x v="16"/>
    <n v="47572"/>
    <x v="7"/>
    <s v="Работа"/>
    <d v="2025-02-04T00:00:00"/>
    <n v="3.5"/>
    <n v="3.5"/>
    <s v="внутри проектные встречи, тех обсуждения, работа с бэклогом задач команды бэкенда"/>
    <d v="2025-02-06T00:00:00"/>
    <m/>
    <n v="1896.551724375"/>
    <n v="6637.9310353125002"/>
    <x v="5"/>
  </r>
  <r>
    <n v="390192"/>
    <x v="16"/>
    <n v="47615"/>
    <x v="16"/>
    <s v="Работа"/>
    <d v="2025-02-04T00:00:00"/>
    <n v="8"/>
    <n v="8"/>
    <s v="подробнее в Open Project"/>
    <d v="2025-03-11T00:00:00"/>
    <m/>
    <n v="1185.3448275000001"/>
    <n v="9482.7586200000005"/>
    <x v="5"/>
  </r>
  <r>
    <n v="412243"/>
    <x v="10"/>
    <n v="52828"/>
    <x v="14"/>
    <s v="Работа"/>
    <d v="2025-02-04T00:00:00"/>
    <n v="1.5"/>
    <n v="1.5"/>
    <s v="Системное администрирование"/>
    <d v="2025-04-30T00:00:00"/>
    <m/>
    <n v="1778.0172412500001"/>
    <n v="2667.0258618750004"/>
    <x v="5"/>
  </r>
  <r>
    <n v="412259"/>
    <x v="16"/>
    <n v="47569"/>
    <x v="6"/>
    <s v="Работа"/>
    <d v="2025-02-04T00:00:00"/>
    <n v="8"/>
    <n v="8"/>
    <s v="."/>
    <d v="2025-04-30T00:00:00"/>
    <m/>
    <n v="632.18390812500002"/>
    <n v="5057.4712650000001"/>
    <x v="5"/>
  </r>
  <r>
    <n v="379492"/>
    <x v="16"/>
    <n v="47572"/>
    <x v="14"/>
    <s v="Работа"/>
    <d v="2025-02-04T00:00:00"/>
    <n v="0.5"/>
    <n v="0.5"/>
    <s v="Созвон с Юлей по нежилым помещениям"/>
    <d v="2025-02-12T00:00:00"/>
    <m/>
    <n v="1778.0172412500001"/>
    <n v="889.00862062500005"/>
    <x v="5"/>
  </r>
  <r>
    <n v="379493"/>
    <x v="16"/>
    <n v="47572"/>
    <x v="14"/>
    <s v="Работа"/>
    <d v="2025-02-04T00:00:00"/>
    <n v="0.5"/>
    <n v="0.5"/>
    <s v="синк"/>
    <d v="2025-02-12T00:00:00"/>
    <m/>
    <n v="1778.0172412500001"/>
    <n v="889.00862062500005"/>
    <x v="5"/>
  </r>
  <r>
    <n v="379494"/>
    <x v="16"/>
    <n v="47572"/>
    <x v="14"/>
    <s v="Работа"/>
    <d v="2025-02-04T00:00:00"/>
    <n v="0.5"/>
    <n v="0.5"/>
    <s v="Созвон с Мишей по задачам, сиду"/>
    <d v="2025-02-12T00:00:00"/>
    <m/>
    <n v="1778.0172412500001"/>
    <n v="889.00862062500005"/>
    <x v="5"/>
  </r>
  <r>
    <n v="379495"/>
    <x v="16"/>
    <n v="47569"/>
    <x v="14"/>
    <s v="Работа"/>
    <d v="2025-02-04T00:00:00"/>
    <n v="5"/>
    <n v="5"/>
    <s v="Сидер для нежилых помещений, все справочники"/>
    <d v="2025-02-12T00:00:00"/>
    <m/>
    <n v="1778.0172412500001"/>
    <n v="8890.08620625"/>
    <x v="5"/>
  </r>
  <r>
    <n v="415618"/>
    <x v="16"/>
    <n v="47572"/>
    <x v="13"/>
    <s v="Работа"/>
    <d v="2025-02-04T00:00:00"/>
    <n v="0.5"/>
    <n v="0.5"/>
    <s v="дейл"/>
    <d v="2025-05-12T00:00:00"/>
    <m/>
    <n v="1418"/>
    <n v="709"/>
    <x v="5"/>
  </r>
  <r>
    <n v="381343"/>
    <x v="21"/>
    <n v="47707"/>
    <x v="2"/>
    <s v="Внутренняя деятельность"/>
    <d v="2025-02-04T00:00:00"/>
    <n v="8"/>
    <n v="8"/>
    <s v="Работа с проектом СПБ (Биржа), обследование, проектирование, анализ, тз"/>
    <d v="2025-02-18T00:00:00"/>
    <m/>
    <n v="790.22988499999997"/>
    <n v="6321.8390799999997"/>
    <x v="5"/>
  </r>
  <r>
    <n v="378142"/>
    <x v="16"/>
    <n v="47537"/>
    <x v="7"/>
    <s v="Работа"/>
    <d v="2025-02-03T00:00:00"/>
    <n v="1"/>
    <n v="1"/>
    <s v="дискуссия по интеграции с АД"/>
    <d v="2025-02-06T00:00:00"/>
    <m/>
    <n v="1896.551724375"/>
    <n v="1896.551724375"/>
    <x v="5"/>
  </r>
  <r>
    <n v="378143"/>
    <x v="16"/>
    <n v="47570"/>
    <x v="7"/>
    <s v="Работа"/>
    <d v="2025-02-03T00:00:00"/>
    <n v="2.5"/>
    <n v="2.5"/>
    <s v="ревью кода"/>
    <d v="2025-02-06T00:00:00"/>
    <m/>
    <n v="1896.551724375"/>
    <n v="4741.3793109375001"/>
    <x v="5"/>
  </r>
  <r>
    <n v="378144"/>
    <x v="16"/>
    <n v="47568"/>
    <x v="7"/>
    <s v="Работа"/>
    <d v="2025-02-03T00:00:00"/>
    <n v="2.75"/>
    <n v="2.75"/>
    <s v="проектирование"/>
    <d v="2025-02-06T00:00:00"/>
    <m/>
    <n v="1896.551724375"/>
    <n v="5215.5172420312501"/>
    <x v="5"/>
  </r>
  <r>
    <n v="378145"/>
    <x v="16"/>
    <n v="47572"/>
    <x v="7"/>
    <s v="Работа"/>
    <d v="2025-02-03T00:00:00"/>
    <n v="1.5"/>
    <n v="1.5"/>
    <s v="коммуникация внутри команды"/>
    <d v="2025-02-06T00:00:00"/>
    <m/>
    <n v="1896.551724375"/>
    <n v="2844.8275865625001"/>
    <x v="5"/>
  </r>
  <r>
    <n v="390191"/>
    <x v="16"/>
    <n v="47615"/>
    <x v="16"/>
    <s v="Работа"/>
    <d v="2025-02-03T00:00:00"/>
    <n v="8"/>
    <n v="8"/>
    <s v="подробнее в Open Project"/>
    <d v="2025-03-11T00:00:00"/>
    <m/>
    <n v="1185.3448275000001"/>
    <n v="9482.7586200000005"/>
    <x v="5"/>
  </r>
  <r>
    <n v="379487"/>
    <x v="16"/>
    <n v="47572"/>
    <x v="14"/>
    <s v="Работа"/>
    <d v="2025-02-03T00:00:00"/>
    <n v="0.5"/>
    <n v="0.5"/>
    <s v="синк"/>
    <d v="2025-02-12T00:00:00"/>
    <m/>
    <n v="1778.0172412500001"/>
    <n v="889.00862062500005"/>
    <x v="5"/>
  </r>
  <r>
    <n v="379488"/>
    <x v="16"/>
    <n v="47572"/>
    <x v="14"/>
    <s v="Работа"/>
    <d v="2025-02-03T00:00:00"/>
    <n v="1.5"/>
    <n v="1.5"/>
    <s v="Созвон по ролям и разрешениям"/>
    <d v="2025-02-12T00:00:00"/>
    <m/>
    <n v="1778.0172412500001"/>
    <n v="2667.0258618750004"/>
    <x v="5"/>
  </r>
  <r>
    <n v="412258"/>
    <x v="16"/>
    <n v="47569"/>
    <x v="6"/>
    <s v="Работа"/>
    <d v="2025-02-03T00:00:00"/>
    <n v="8"/>
    <n v="8"/>
    <s v="журналилование"/>
    <d v="2025-04-30T00:00:00"/>
    <m/>
    <n v="632.18390812500002"/>
    <n v="5057.4712650000001"/>
    <x v="5"/>
  </r>
  <r>
    <n v="379490"/>
    <x v="16"/>
    <n v="47569"/>
    <x v="14"/>
    <s v="Работа"/>
    <d v="2025-02-03T00:00:00"/>
    <n v="5"/>
    <n v="5"/>
    <s v="Добавил проверку в dgraph wrapper fullAddress"/>
    <d v="2025-02-12T00:00:00"/>
    <m/>
    <n v="1778.0172412500001"/>
    <n v="8890.08620625"/>
    <x v="5"/>
  </r>
  <r>
    <n v="379491"/>
    <x v="16"/>
    <n v="47569"/>
    <x v="14"/>
    <s v="Работа"/>
    <d v="2025-02-03T00:00:00"/>
    <n v="5.5"/>
    <n v="5.5"/>
    <s v="backend: Доработка реализации генерации разрешений"/>
    <d v="2025-02-12T00:00:00"/>
    <m/>
    <n v="1778.0172412500001"/>
    <n v="9779.0948268749999"/>
    <x v="5"/>
  </r>
  <r>
    <n v="415627"/>
    <x v="16"/>
    <n v="47614"/>
    <x v="13"/>
    <s v="Работа"/>
    <d v="2025-02-03T00:00:00"/>
    <n v="6"/>
    <n v="6"/>
    <n v="1187"/>
    <d v="2025-05-12T00:00:00"/>
    <m/>
    <n v="1418"/>
    <n v="8508"/>
    <x v="5"/>
  </r>
  <r>
    <n v="381342"/>
    <x v="21"/>
    <n v="47707"/>
    <x v="2"/>
    <s v="Внутренняя деятельность"/>
    <d v="2025-02-03T00:00:00"/>
    <n v="8"/>
    <n v="8"/>
    <s v="Работа с проектом СПБ (Биржа), обследование, проектирование, анализ, тз"/>
    <d v="2025-02-18T00:00:00"/>
    <m/>
    <n v="790.22988499999997"/>
    <n v="6321.8390799999997"/>
    <x v="5"/>
  </r>
  <r>
    <n v="415626"/>
    <x v="16"/>
    <n v="47614"/>
    <x v="13"/>
    <s v="Работа"/>
    <d v="2025-02-02T00:00:00"/>
    <n v="2"/>
    <n v="2"/>
    <n v="187"/>
    <d v="2025-05-12T00:00:00"/>
    <m/>
    <n v="1418"/>
    <n v="2836"/>
    <x v="5"/>
  </r>
  <r>
    <n v="415625"/>
    <x v="16"/>
    <n v="47614"/>
    <x v="13"/>
    <s v="Работа"/>
    <d v="2025-02-01T00:00:00"/>
    <n v="2"/>
    <n v="2"/>
    <n v="1187"/>
    <d v="2025-05-12T00:00:00"/>
    <m/>
    <n v="1418"/>
    <n v="2836"/>
    <x v="5"/>
  </r>
  <r>
    <n v="390190"/>
    <x v="16"/>
    <n v="47615"/>
    <x v="16"/>
    <s v="Работа"/>
    <d v="2025-01-31T00:00:00"/>
    <n v="8"/>
    <n v="8"/>
    <s v="подробнее в Open Project"/>
    <d v="2025-03-11T00:00:00"/>
    <m/>
    <n v="1394.5233264705882"/>
    <n v="11156.186611764706"/>
    <x v="6"/>
  </r>
  <r>
    <n v="393801"/>
    <x v="16"/>
    <n v="47569"/>
    <x v="14"/>
    <s v="Работа"/>
    <d v="2025-01-31T00:00:00"/>
    <n v="6"/>
    <n v="6"/>
    <s v="Разработка сервисов, обсуждение нового спринта"/>
    <d v="2025-03-21T00:00:00"/>
    <m/>
    <n v="2091.7849897058823"/>
    <n v="12550.709938235294"/>
    <x v="6"/>
  </r>
  <r>
    <n v="379485"/>
    <x v="16"/>
    <n v="47537"/>
    <x v="14"/>
    <s v="Работа"/>
    <d v="2025-01-31T00:00:00"/>
    <n v="1"/>
    <n v="1"/>
    <s v="Демонстрация Спринт 5"/>
    <d v="2025-02-12T00:00:00"/>
    <m/>
    <n v="2091.7849897058823"/>
    <n v="2091.7849897058823"/>
    <x v="6"/>
  </r>
  <r>
    <n v="379486"/>
    <x v="16"/>
    <n v="47572"/>
    <x v="14"/>
    <s v="Работа"/>
    <d v="2025-01-31T00:00:00"/>
    <n v="1"/>
    <n v="1"/>
    <s v="Созвон после синка"/>
    <d v="2025-02-12T00:00:00"/>
    <m/>
    <n v="2091.7849897058823"/>
    <n v="2091.7849897058823"/>
    <x v="6"/>
  </r>
  <r>
    <n v="432268"/>
    <x v="2"/>
    <n v="29"/>
    <x v="5"/>
    <s v="Внутренняя деятельность"/>
    <d v="2025-01-31T00:00:00"/>
    <n v="72"/>
    <n v="72"/>
    <s v="-"/>
    <d v="2025-06-28T00:00:00"/>
    <m/>
    <n v="371.87288676470587"/>
    <n v="26774.847847058823"/>
    <x v="6"/>
  </r>
  <r>
    <n v="432280"/>
    <x v="16"/>
    <n v="47614"/>
    <x v="12"/>
    <s v="Работа"/>
    <d v="2025-01-31T00:00:00"/>
    <n v="136"/>
    <n v="136"/>
    <s v="R&amp;amp;D"/>
    <d v="2025-06-28T00:00:00"/>
    <m/>
    <n v="1380"/>
    <n v="187680"/>
    <x v="6"/>
  </r>
  <r>
    <n v="432281"/>
    <x v="16"/>
    <n v="47614"/>
    <x v="13"/>
    <s v="Работа"/>
    <d v="2025-01-31T00:00:00"/>
    <n v="4"/>
    <n v="4"/>
    <s v="R&amp;amp;D"/>
    <d v="2025-06-28T00:00:00"/>
    <m/>
    <n v="1418"/>
    <n v="5672"/>
    <x v="6"/>
  </r>
  <r>
    <n v="432291"/>
    <x v="2"/>
    <n v="29"/>
    <x v="14"/>
    <s v="Внутренняя деятельность"/>
    <d v="2025-01-31T00:00:00"/>
    <n v="36"/>
    <n v="36"/>
    <s v="-"/>
    <d v="2025-06-28T00:00:00"/>
    <m/>
    <n v="2091.7849897058823"/>
    <n v="75304.259629411768"/>
    <x v="6"/>
  </r>
  <r>
    <n v="412370"/>
    <x v="16"/>
    <n v="47569"/>
    <x v="6"/>
    <s v="Работа"/>
    <d v="2025-01-31T00:00:00"/>
    <n v="8"/>
    <n v="8"/>
    <s v="."/>
    <d v="2025-04-30T00:00:00"/>
    <m/>
    <n v="743.74577426470591"/>
    <n v="5949.9661941176473"/>
    <x v="6"/>
  </r>
  <r>
    <n v="372958"/>
    <x v="21"/>
    <n v="47707"/>
    <x v="2"/>
    <s v="Внутренняя деятельность"/>
    <d v="2025-01-31T00:00:00"/>
    <n v="24"/>
    <n v="24"/>
    <s v="Работа с проектом СПБ (Биржа), обследование, проектирование, анализ, тз"/>
    <d v="2025-01-27T00:00:00"/>
    <m/>
    <n v="929.68221764705879"/>
    <n v="22312.373223529412"/>
    <x v="6"/>
  </r>
  <r>
    <n v="379433"/>
    <x v="10"/>
    <n v="50787"/>
    <x v="14"/>
    <s v="Работа"/>
    <d v="2025-01-30T00:00:00"/>
    <n v="3"/>
    <n v="3"/>
    <s v="Проведение диктанта 30.01, решение ошибок в процессе проведения."/>
    <d v="2025-02-12T00:00:00"/>
    <m/>
    <n v="2091.7849897058823"/>
    <n v="6275.3549691176468"/>
    <x v="6"/>
  </r>
  <r>
    <n v="390189"/>
    <x v="16"/>
    <n v="47615"/>
    <x v="16"/>
    <s v="Работа"/>
    <d v="2025-01-30T00:00:00"/>
    <n v="8"/>
    <n v="8"/>
    <s v="подробнее в Open Project"/>
    <d v="2025-03-11T00:00:00"/>
    <m/>
    <n v="1394.5233264705882"/>
    <n v="11156.186611764706"/>
    <x v="6"/>
  </r>
  <r>
    <n v="412991"/>
    <x v="3"/>
    <n v="21152"/>
    <x v="1"/>
    <s v="Внутренняя деятельность"/>
    <d v="2025-01-30T00:00:00"/>
    <n v="28"/>
    <n v="28"/>
    <s v="Presales activities: offers, proposals, meetings"/>
    <d v="2025-04-30T00:00:00"/>
    <m/>
    <n v="2324.2055441176472"/>
    <n v="65077.75523529412"/>
    <x v="6"/>
  </r>
  <r>
    <n v="379482"/>
    <x v="16"/>
    <n v="47569"/>
    <x v="14"/>
    <s v="Работа"/>
    <d v="2025-01-30T00:00:00"/>
    <n v="5"/>
    <n v="5"/>
    <s v="автогенерация в работе"/>
    <d v="2025-02-12T00:00:00"/>
    <m/>
    <n v="2091.7849897058823"/>
    <n v="10458.924948529411"/>
    <x v="6"/>
  </r>
  <r>
    <n v="374158"/>
    <x v="16"/>
    <n v="50749"/>
    <x v="18"/>
    <s v="Работа"/>
    <d v="2025-01-30T00:00:00"/>
    <n v="38"/>
    <n v="38"/>
    <s v="документация Руководство пользователя"/>
    <d v="2025-01-30T00:00:00"/>
    <m/>
    <n v="929.68221764705879"/>
    <n v="35327.924270588235"/>
    <x v="6"/>
  </r>
  <r>
    <n v="432294"/>
    <x v="21"/>
    <n v="49440"/>
    <x v="19"/>
    <s v="Внутренняя деятельность"/>
    <d v="2025-01-30T00:00:00"/>
    <n v="32"/>
    <n v="32"/>
    <s v="R&amp;amp;D"/>
    <d v="2025-06-28T00:00:00"/>
    <m/>
    <n v="1952.3326573529412"/>
    <n v="62474.645035294117"/>
    <x v="6"/>
  </r>
  <r>
    <n v="432295"/>
    <x v="2"/>
    <n v="29"/>
    <x v="19"/>
    <s v="Внутренняя деятельность"/>
    <d v="2025-01-30T00:00:00"/>
    <n v="40"/>
    <n v="40"/>
    <s v="-"/>
    <d v="2025-06-28T00:00:00"/>
    <m/>
    <n v="1952.3326573529412"/>
    <n v="78093.306294117647"/>
    <x v="6"/>
  </r>
  <r>
    <n v="432296"/>
    <x v="2"/>
    <n v="29"/>
    <x v="17"/>
    <s v="Внутренняя деятельность"/>
    <d v="2025-01-30T00:00:00"/>
    <n v="47"/>
    <n v="47"/>
    <s v="-"/>
    <d v="2025-06-28T00:00:00"/>
    <m/>
    <n v="1673.4279919117646"/>
    <n v="78651.115619852935"/>
    <x v="6"/>
  </r>
  <r>
    <n v="432297"/>
    <x v="20"/>
    <n v="45363"/>
    <x v="17"/>
    <s v="Работа"/>
    <d v="2025-01-30T00:00:00"/>
    <n v="49"/>
    <n v="49"/>
    <s v="R&amp;amp;D"/>
    <d v="2025-06-28T00:00:00"/>
    <m/>
    <n v="1673.4279919117646"/>
    <n v="81997.971603676458"/>
    <x v="6"/>
  </r>
  <r>
    <n v="432298"/>
    <x v="16"/>
    <n v="47569"/>
    <x v="17"/>
    <s v="Работа"/>
    <d v="2025-01-30T00:00:00"/>
    <n v="40"/>
    <n v="40"/>
    <s v="R&amp;amp;D"/>
    <d v="2025-06-28T00:00:00"/>
    <m/>
    <n v="1673.4279919117646"/>
    <n v="66937.119676470582"/>
    <x v="6"/>
  </r>
  <r>
    <n v="412369"/>
    <x v="16"/>
    <n v="47569"/>
    <x v="6"/>
    <s v="Работа"/>
    <d v="2025-01-30T00:00:00"/>
    <n v="8"/>
    <n v="8"/>
    <s v="."/>
    <d v="2025-04-30T00:00:00"/>
    <m/>
    <n v="743.74577426470591"/>
    <n v="5949.9661941176473"/>
    <x v="6"/>
  </r>
  <r>
    <n v="372957"/>
    <x v="21"/>
    <n v="47707"/>
    <x v="2"/>
    <s v="Внутренняя деятельность"/>
    <d v="2025-01-30T00:00:00"/>
    <n v="8"/>
    <n v="8"/>
    <s v="Работа с проектом СПБ (Биржа), обследование, проектирование, анализ, тз"/>
    <d v="2025-01-27T00:00:00"/>
    <m/>
    <n v="929.68221764705879"/>
    <n v="7437.4577411764703"/>
    <x v="6"/>
  </r>
  <r>
    <n v="390188"/>
    <x v="16"/>
    <n v="47615"/>
    <x v="16"/>
    <s v="Работа"/>
    <d v="2025-01-29T00:00:00"/>
    <n v="8"/>
    <n v="8"/>
    <s v="подробнее в Open Project"/>
    <d v="2025-03-11T00:00:00"/>
    <m/>
    <n v="1394.5233264705882"/>
    <n v="11156.186611764706"/>
    <x v="6"/>
  </r>
  <r>
    <n v="393800"/>
    <x v="16"/>
    <n v="47569"/>
    <x v="14"/>
    <s v="Работа"/>
    <d v="2025-01-29T00:00:00"/>
    <n v="3.5"/>
    <n v="3.5"/>
    <s v="Работы с пермиссионс"/>
    <d v="2025-03-21T00:00:00"/>
    <m/>
    <n v="2091.7849897058823"/>
    <n v="7321.2474639705879"/>
    <x v="6"/>
  </r>
  <r>
    <n v="379481"/>
    <x v="16"/>
    <n v="47572"/>
    <x v="14"/>
    <s v="Работа"/>
    <d v="2025-01-29T00:00:00"/>
    <n v="3"/>
    <n v="3"/>
    <s v="Созвоны по permissions и ролям, продумали новую логику создания составных permissions"/>
    <d v="2025-02-12T00:00:00"/>
    <m/>
    <n v="2091.7849897058823"/>
    <n v="6275.3549691176468"/>
    <x v="6"/>
  </r>
  <r>
    <n v="379483"/>
    <x v="16"/>
    <n v="47572"/>
    <x v="14"/>
    <s v="Работа"/>
    <d v="2025-01-29T00:00:00"/>
    <n v="1.5"/>
    <n v="1.5"/>
    <s v="Спринт 6, обсуждение задач и простановка времени"/>
    <d v="2025-02-12T00:00:00"/>
    <m/>
    <n v="2091.7849897058823"/>
    <n v="3137.6774845588234"/>
    <x v="6"/>
  </r>
  <r>
    <n v="432245"/>
    <x v="26"/>
    <n v="51887"/>
    <x v="11"/>
    <s v="Работа"/>
    <d v="2025-01-29T00:00:00"/>
    <n v="104"/>
    <n v="104"/>
    <s v="R&amp;amp;D"/>
    <d v="2025-06-28T00:00:00"/>
    <m/>
    <n v="743.74577426470591"/>
    <n v="77349.560523529421"/>
    <x v="6"/>
  </r>
  <r>
    <n v="432246"/>
    <x v="2"/>
    <n v="34"/>
    <x v="11"/>
    <s v="Внутренняя деятельность"/>
    <d v="2025-01-29T00:00:00"/>
    <n v="32"/>
    <n v="32"/>
    <s v="R&amp;amp;D"/>
    <d v="2025-06-28T00:00:00"/>
    <m/>
    <n v="743.74577426470591"/>
    <n v="23799.864776470589"/>
    <x v="6"/>
  </r>
  <r>
    <n v="374159"/>
    <x v="16"/>
    <n v="47539"/>
    <x v="18"/>
    <s v="Работа"/>
    <d v="2025-01-29T00:00:00"/>
    <n v="6"/>
    <n v="6"/>
    <s v="проработка задачи по интеграции AD"/>
    <d v="2025-01-30T00:00:00"/>
    <m/>
    <n v="929.68221764705879"/>
    <n v="5578.093305882353"/>
    <x v="6"/>
  </r>
  <r>
    <n v="374160"/>
    <x v="16"/>
    <n v="50749"/>
    <x v="18"/>
    <s v="Работа"/>
    <d v="2025-01-29T00:00:00"/>
    <n v="9"/>
    <n v="9"/>
    <s v="структура документа"/>
    <d v="2025-01-30T00:00:00"/>
    <m/>
    <n v="929.68221764705879"/>
    <n v="8367.139958823529"/>
    <x v="6"/>
  </r>
  <r>
    <n v="412367"/>
    <x v="16"/>
    <n v="47568"/>
    <x v="6"/>
    <s v="Работа"/>
    <d v="2025-01-29T00:00:00"/>
    <n v="8"/>
    <n v="8"/>
    <s v="."/>
    <d v="2025-04-30T00:00:00"/>
    <m/>
    <n v="743.74577426470591"/>
    <n v="5949.9661941176473"/>
    <x v="6"/>
  </r>
  <r>
    <n v="372956"/>
    <x v="21"/>
    <n v="47707"/>
    <x v="2"/>
    <s v="Внутренняя деятельность"/>
    <d v="2025-01-29T00:00:00"/>
    <n v="8"/>
    <n v="8"/>
    <s v="Работа с проектом СПБ (Биржа), обследование, проектирование, анализ, тз"/>
    <d v="2025-01-27T00:00:00"/>
    <m/>
    <n v="929.68221764705879"/>
    <n v="7437.4577411764703"/>
    <x v="6"/>
  </r>
  <r>
    <n v="390187"/>
    <x v="16"/>
    <n v="47615"/>
    <x v="16"/>
    <s v="Работа"/>
    <d v="2025-01-28T00:00:00"/>
    <n v="8"/>
    <n v="8"/>
    <s v="подробнее в Open Project"/>
    <d v="2025-03-11T00:00:00"/>
    <m/>
    <n v="1394.5233264705882"/>
    <n v="11156.186611764706"/>
    <x v="6"/>
  </r>
  <r>
    <n v="379477"/>
    <x v="16"/>
    <n v="47569"/>
    <x v="14"/>
    <s v="Работа"/>
    <d v="2025-01-28T00:00:00"/>
    <n v="2"/>
    <n v="2"/>
    <s v="Создание придомовой территории"/>
    <d v="2025-02-12T00:00:00"/>
    <m/>
    <n v="2091.7849897058823"/>
    <n v="4183.5699794117645"/>
    <x v="6"/>
  </r>
  <r>
    <n v="379478"/>
    <x v="16"/>
    <n v="47569"/>
    <x v="14"/>
    <s v="Работа"/>
    <d v="2025-01-28T00:00:00"/>
    <n v="2"/>
    <n v="2"/>
    <s v="Редактирование придомовой территории"/>
    <d v="2025-02-12T00:00:00"/>
    <m/>
    <n v="2091.7849897058823"/>
    <n v="4183.5699794117645"/>
    <x v="6"/>
  </r>
  <r>
    <n v="379479"/>
    <x v="16"/>
    <n v="47569"/>
    <x v="14"/>
    <s v="Работа"/>
    <d v="2025-01-28T00:00:00"/>
    <n v="3"/>
    <n v="3"/>
    <s v="Добавил придомовую территорию и исправил спеку под доп поля"/>
    <d v="2025-02-12T00:00:00"/>
    <m/>
    <n v="2091.7849897058823"/>
    <n v="6275.3549691176468"/>
    <x v="6"/>
  </r>
  <r>
    <n v="379480"/>
    <x v="16"/>
    <n v="47572"/>
    <x v="14"/>
    <s v="Работа"/>
    <d v="2025-01-28T00:00:00"/>
    <n v="1"/>
    <n v="1"/>
    <s v="Созвон с Мишей по жилым помещениям, мапингу и другим вопросам"/>
    <d v="2025-02-12T00:00:00"/>
    <m/>
    <n v="2091.7849897058823"/>
    <n v="2091.7849897058823"/>
    <x v="6"/>
  </r>
  <r>
    <n v="432010"/>
    <x v="16"/>
    <n v="47614"/>
    <x v="15"/>
    <s v="Работа"/>
    <d v="2025-01-28T00:00:00"/>
    <n v="84"/>
    <n v="84"/>
    <s v="Работа над багами, улучшения. "/>
    <d v="2025-06-27T00:00:00"/>
    <m/>
    <n v="464.8411088235294"/>
    <n v="39046.653141176466"/>
    <x v="6"/>
  </r>
  <r>
    <n v="432011"/>
    <x v="2"/>
    <n v="34"/>
    <x v="15"/>
    <s v="Внутренняя деятельность"/>
    <d v="2025-01-28T00:00:00"/>
    <n v="52"/>
    <n v="52"/>
    <s v="Обучение."/>
    <d v="2025-06-27T00:00:00"/>
    <m/>
    <n v="464.8411088235294"/>
    <n v="24171.737658823527"/>
    <x v="6"/>
  </r>
  <r>
    <n v="374161"/>
    <x v="16"/>
    <n v="47572"/>
    <x v="18"/>
    <s v="Работа"/>
    <d v="2025-01-28T00:00:00"/>
    <n v="3"/>
    <n v="3"/>
    <s v="встречи"/>
    <d v="2025-01-30T00:00:00"/>
    <m/>
    <n v="929.68221764705879"/>
    <n v="2789.0466529411765"/>
    <x v="6"/>
  </r>
  <r>
    <n v="374162"/>
    <x v="16"/>
    <n v="47538"/>
    <x v="18"/>
    <s v="Работа"/>
    <d v="2025-01-28T00:00:00"/>
    <n v="5"/>
    <n v="5"/>
    <s v="правки в вики"/>
    <d v="2025-01-30T00:00:00"/>
    <m/>
    <n v="929.68221764705879"/>
    <n v="4648.4110882352943"/>
    <x v="6"/>
  </r>
  <r>
    <n v="412366"/>
    <x v="16"/>
    <n v="47569"/>
    <x v="6"/>
    <s v="Работа"/>
    <d v="2025-01-28T00:00:00"/>
    <n v="8"/>
    <n v="8"/>
    <s v="."/>
    <d v="2025-04-30T00:00:00"/>
    <m/>
    <n v="743.74577426470591"/>
    <n v="5949.9661941176473"/>
    <x v="6"/>
  </r>
  <r>
    <n v="372955"/>
    <x v="21"/>
    <n v="47707"/>
    <x v="2"/>
    <s v="Внутренняя деятельность"/>
    <d v="2025-01-28T00:00:00"/>
    <n v="8"/>
    <n v="8"/>
    <s v="Работа с проектом СПБ (Биржа), обследование, проектирование, анализ, тз"/>
    <d v="2025-01-27T00:00:00"/>
    <m/>
    <n v="929.68221764705879"/>
    <n v="7437.4577411764703"/>
    <x v="6"/>
  </r>
  <r>
    <n v="390186"/>
    <x v="16"/>
    <n v="47615"/>
    <x v="16"/>
    <s v="Работа"/>
    <d v="2025-01-27T00:00:00"/>
    <n v="8"/>
    <n v="8"/>
    <s v="подробнее в Open Project"/>
    <d v="2025-03-11T00:00:00"/>
    <m/>
    <n v="1394.5233264705882"/>
    <n v="11156.186611764706"/>
    <x v="6"/>
  </r>
  <r>
    <n v="379472"/>
    <x v="16"/>
    <n v="47569"/>
    <x v="14"/>
    <s v="Работа"/>
    <d v="2025-01-27T00:00:00"/>
    <n v="3"/>
    <n v="3"/>
    <s v="Сидер для придомовой территории"/>
    <d v="2025-02-12T00:00:00"/>
    <m/>
    <n v="2091.7849897058823"/>
    <n v="6275.3549691176468"/>
    <x v="6"/>
  </r>
  <r>
    <n v="379473"/>
    <x v="16"/>
    <n v="47569"/>
    <x v="14"/>
    <s v="Работа"/>
    <d v="2025-01-27T00:00:00"/>
    <n v="1"/>
    <n v="1"/>
    <s v="Удаление входа, универсальный метод"/>
    <d v="2025-02-12T00:00:00"/>
    <m/>
    <n v="2091.7849897058823"/>
    <n v="2091.7849897058823"/>
    <x v="6"/>
  </r>
  <r>
    <n v="379474"/>
    <x v="16"/>
    <n v="47569"/>
    <x v="14"/>
    <s v="Работа"/>
    <d v="2025-01-27T00:00:00"/>
    <n v="3"/>
    <n v="3"/>
    <s v="Редактирование входов, создание универсального метода"/>
    <d v="2025-02-12T00:00:00"/>
    <m/>
    <n v="2091.7849897058823"/>
    <n v="6275.3549691176468"/>
    <x v="6"/>
  </r>
  <r>
    <n v="379475"/>
    <x v="16"/>
    <n v="47570"/>
    <x v="14"/>
    <s v="Работа"/>
    <d v="2025-01-27T00:00:00"/>
    <n v="1"/>
    <n v="1"/>
    <s v="review"/>
    <d v="2025-02-12T00:00:00"/>
    <m/>
    <n v="2091.7849897058823"/>
    <n v="2091.7849897058823"/>
    <x v="6"/>
  </r>
  <r>
    <n v="374163"/>
    <x v="21"/>
    <n v="47761"/>
    <x v="18"/>
    <s v="Внутренняя деятельность"/>
    <d v="2025-01-27T00:00:00"/>
    <n v="1"/>
    <n v="1"/>
    <s v="несколько встреч с заказчиком"/>
    <d v="2025-01-30T00:00:00"/>
    <m/>
    <n v="929.68221764705879"/>
    <n v="929.68221764705879"/>
    <x v="6"/>
  </r>
  <r>
    <n v="374165"/>
    <x v="27"/>
    <n v="50399"/>
    <x v="18"/>
    <s v="Внутренняя деятельность"/>
    <d v="2025-01-27T00:00:00"/>
    <n v="2"/>
    <n v="2"/>
    <s v="доделала экраны по балтике"/>
    <d v="2025-01-30T00:00:00"/>
    <m/>
    <n v="929.68221764705879"/>
    <n v="1859.3644352941176"/>
    <x v="6"/>
  </r>
  <r>
    <n v="412364"/>
    <x v="16"/>
    <n v="47569"/>
    <x v="6"/>
    <s v="Работа"/>
    <d v="2025-01-27T00:00:00"/>
    <n v="8"/>
    <n v="8"/>
    <s v="."/>
    <d v="2025-04-30T00:00:00"/>
    <m/>
    <n v="743.74577426470591"/>
    <n v="5949.9661941176473"/>
    <x v="6"/>
  </r>
  <r>
    <n v="372952"/>
    <x v="21"/>
    <n v="47707"/>
    <x v="2"/>
    <s v="Внутренняя деятельность"/>
    <d v="2025-01-27T00:00:00"/>
    <n v="8"/>
    <n v="8"/>
    <s v="Работа с проектом СПБ (Биржа), обследование, проектирование, анализ, тз"/>
    <d v="2025-01-27T00:00:00"/>
    <m/>
    <n v="929.68221764705879"/>
    <n v="7437.4577411764703"/>
    <x v="6"/>
  </r>
  <r>
    <n v="379469"/>
    <x v="16"/>
    <n v="47569"/>
    <x v="14"/>
    <s v="Работа"/>
    <d v="2025-01-24T00:00:00"/>
    <n v="4"/>
    <n v="4"/>
    <s v="Добавил механизм составных ключей, проверки при вставки и обновлении"/>
    <d v="2025-02-12T00:00:00"/>
    <m/>
    <n v="2091.7849897058823"/>
    <n v="8367.139958823529"/>
    <x v="6"/>
  </r>
  <r>
    <n v="379470"/>
    <x v="16"/>
    <n v="47569"/>
    <x v="14"/>
    <s v="Работа"/>
    <d v="2025-01-24T00:00:00"/>
    <n v="4"/>
    <n v="4"/>
    <s v="Добавил создание входа"/>
    <d v="2025-02-12T00:00:00"/>
    <m/>
    <n v="2091.7849897058823"/>
    <n v="8367.139958823529"/>
    <x v="6"/>
  </r>
  <r>
    <n v="372834"/>
    <x v="16"/>
    <n v="47615"/>
    <x v="16"/>
    <s v="Работа"/>
    <d v="2025-01-24T00:00:00"/>
    <n v="8"/>
    <n v="8"/>
    <s v="Подробнее в Open Project"/>
    <d v="2025-01-27T00:00:00"/>
    <m/>
    <n v="1394.5233264705882"/>
    <n v="11156.186611764706"/>
    <x v="6"/>
  </r>
  <r>
    <n v="372633"/>
    <x v="16"/>
    <n v="47570"/>
    <x v="7"/>
    <s v="Работа"/>
    <d v="2025-01-24T00:00:00"/>
    <n v="2"/>
    <n v="2"/>
    <s v="ревью кода"/>
    <d v="2025-01-24T00:00:00"/>
    <m/>
    <n v="2231.2373227941175"/>
    <n v="4462.474645588235"/>
    <x v="6"/>
  </r>
  <r>
    <n v="372634"/>
    <x v="16"/>
    <n v="47569"/>
    <x v="7"/>
    <s v="Работа"/>
    <d v="2025-01-24T00:00:00"/>
    <n v="5"/>
    <n v="5"/>
    <s v="1197 работа над сидером"/>
    <d v="2025-01-24T00:00:00"/>
    <m/>
    <n v="2231.2373227941175"/>
    <n v="11156.186613970587"/>
    <x v="6"/>
  </r>
  <r>
    <n v="372635"/>
    <x v="16"/>
    <n v="47572"/>
    <x v="7"/>
    <s v="Работа"/>
    <d v="2025-01-24T00:00:00"/>
    <n v="2"/>
    <n v="2"/>
    <s v="проектные активности"/>
    <d v="2025-01-24T00:00:00"/>
    <m/>
    <n v="2231.2373227941175"/>
    <n v="4462.474645588235"/>
    <x v="6"/>
  </r>
  <r>
    <n v="412851"/>
    <x v="1"/>
    <n v="42715"/>
    <x v="1"/>
    <s v="Внутренняя деятельность"/>
    <d v="2025-01-24T00:00:00"/>
    <n v="20"/>
    <n v="20"/>
    <s v="R&amp;amp;D"/>
    <d v="2025-04-30T00:00:00"/>
    <m/>
    <n v="2324.2055441176472"/>
    <n v="46484.110882352943"/>
    <x v="6"/>
  </r>
  <r>
    <n v="412361"/>
    <x v="16"/>
    <n v="47569"/>
    <x v="6"/>
    <s v="Работа"/>
    <d v="2025-01-24T00:00:00"/>
    <n v="8"/>
    <n v="8"/>
    <s v="."/>
    <d v="2025-04-30T00:00:00"/>
    <m/>
    <n v="743.74577426470591"/>
    <n v="5949.9661941176473"/>
    <x v="6"/>
  </r>
  <r>
    <n v="372951"/>
    <x v="21"/>
    <n v="47707"/>
    <x v="2"/>
    <s v="Внутренняя деятельность"/>
    <d v="2025-01-24T00:00:00"/>
    <n v="8"/>
    <n v="8"/>
    <s v="Работа с проектом СПБ (Биржа), обследование, проектирование, анализ, тз"/>
    <d v="2025-01-27T00:00:00"/>
    <m/>
    <n v="929.68221764705879"/>
    <n v="7437.4577411764703"/>
    <x v="6"/>
  </r>
  <r>
    <n v="377578"/>
    <x v="16"/>
    <n v="47614"/>
    <x v="9"/>
    <s v="Работа"/>
    <d v="2025-01-24T00:00:00"/>
    <n v="1"/>
    <n v="1"/>
    <s v="#47614 - Разработка FE"/>
    <d v="2025-02-05T00:00:00"/>
    <m/>
    <n v="1859.3644352941176"/>
    <n v="1859.3644352941176"/>
    <x v="6"/>
  </r>
  <r>
    <n v="372245"/>
    <x v="16"/>
    <n v="47570"/>
    <x v="7"/>
    <s v="Работа"/>
    <d v="2025-01-23T00:00:00"/>
    <n v="1.5"/>
    <n v="1.5"/>
    <s v="ревью кода"/>
    <d v="2025-01-23T00:00:00"/>
    <m/>
    <n v="2231.2373227941175"/>
    <n v="3346.8559841911765"/>
    <x v="6"/>
  </r>
  <r>
    <n v="372246"/>
    <x v="16"/>
    <n v="47569"/>
    <x v="7"/>
    <s v="Работа"/>
    <d v="2025-01-23T00:00:00"/>
    <n v="2"/>
    <n v="2"/>
    <n v="1197"/>
    <d v="2025-01-23T00:00:00"/>
    <m/>
    <n v="2231.2373227941175"/>
    <n v="4462.474645588235"/>
    <x v="6"/>
  </r>
  <r>
    <n v="372247"/>
    <x v="16"/>
    <n v="50244"/>
    <x v="7"/>
    <s v="Работа"/>
    <d v="2025-01-23T00:00:00"/>
    <n v="2.5"/>
    <n v="2.5"/>
    <s v="работа со stage сервером, траблшутинг проблем, первичный анализ"/>
    <d v="2025-01-23T00:00:00"/>
    <m/>
    <n v="2231.2373227941175"/>
    <n v="5578.0933069852936"/>
    <x v="6"/>
  </r>
  <r>
    <n v="372248"/>
    <x v="16"/>
    <n v="47572"/>
    <x v="7"/>
    <s v="Работа"/>
    <d v="2025-01-23T00:00:00"/>
    <n v="2"/>
    <n v="2"/>
    <s v="разные проектные встречи"/>
    <d v="2025-01-23T00:00:00"/>
    <m/>
    <n v="2231.2373227941175"/>
    <n v="4462.474645588235"/>
    <x v="6"/>
  </r>
  <r>
    <n v="379467"/>
    <x v="16"/>
    <n v="47569"/>
    <x v="14"/>
    <s v="Работа"/>
    <d v="2025-01-23T00:00:00"/>
    <n v="7"/>
    <n v="7"/>
    <s v="Вывод парадных, универсальный метод, подойдет для всех сущностей"/>
    <d v="2025-02-12T00:00:00"/>
    <m/>
    <n v="2091.7849897058823"/>
    <n v="14642.494927941176"/>
    <x v="6"/>
  </r>
  <r>
    <n v="379468"/>
    <x v="16"/>
    <n v="47572"/>
    <x v="14"/>
    <s v="Работа"/>
    <d v="2025-01-23T00:00:00"/>
    <n v="1"/>
    <n v="1"/>
    <s v="Созвон с Мишей и Сашей по парадным, спеке"/>
    <d v="2025-02-12T00:00:00"/>
    <m/>
    <n v="2091.7849897058823"/>
    <n v="2091.7849897058823"/>
    <x v="6"/>
  </r>
  <r>
    <n v="431957"/>
    <x v="20"/>
    <n v="47665"/>
    <x v="9"/>
    <s v="Работа"/>
    <d v="2025-01-23T00:00:00"/>
    <n v="47"/>
    <n v="47"/>
    <s v="R&amp;amp;D new features"/>
    <d v="2025-06-27T00:00:00"/>
    <m/>
    <n v="1859.3644352941176"/>
    <n v="87390.128458823528"/>
    <x v="6"/>
  </r>
  <r>
    <n v="412762"/>
    <x v="16"/>
    <n v="47538"/>
    <x v="1"/>
    <s v="Работа"/>
    <d v="2025-01-23T00:00:00"/>
    <n v="81"/>
    <n v="81"/>
    <s v="Task planning, meetings with client"/>
    <d v="2025-04-30T00:00:00"/>
    <m/>
    <n v="2324.2055441176472"/>
    <n v="188260.64907352941"/>
    <x v="6"/>
  </r>
  <r>
    <n v="372833"/>
    <x v="16"/>
    <n v="47615"/>
    <x v="16"/>
    <s v="Работа"/>
    <d v="2025-01-23T00:00:00"/>
    <n v="8"/>
    <n v="8"/>
    <s v="Подробнее в Open Project"/>
    <d v="2025-01-27T00:00:00"/>
    <m/>
    <n v="1394.5233264705882"/>
    <n v="11156.186611764706"/>
    <x v="6"/>
  </r>
  <r>
    <n v="412353"/>
    <x v="16"/>
    <n v="47569"/>
    <x v="6"/>
    <s v="Работа"/>
    <d v="2025-01-23T00:00:00"/>
    <n v="7"/>
    <n v="7"/>
    <s v="."/>
    <d v="2025-04-30T00:00:00"/>
    <m/>
    <n v="743.74577426470591"/>
    <n v="5206.2204198529416"/>
    <x v="6"/>
  </r>
  <r>
    <n v="372950"/>
    <x v="21"/>
    <n v="47707"/>
    <x v="2"/>
    <s v="Внутренняя деятельность"/>
    <d v="2025-01-23T00:00:00"/>
    <n v="8"/>
    <n v="8"/>
    <s v="Работа с проектом СПБ (Биржа), обследование, проектирование, анализ, тз"/>
    <d v="2025-01-27T00:00:00"/>
    <m/>
    <n v="929.68221764705879"/>
    <n v="7437.4577411764703"/>
    <x v="6"/>
  </r>
  <r>
    <n v="377577"/>
    <x v="16"/>
    <n v="47614"/>
    <x v="9"/>
    <s v="Работа"/>
    <d v="2025-01-23T00:00:00"/>
    <n v="8"/>
    <n v="8"/>
    <s v="#47614 - Разработка FE"/>
    <d v="2025-02-05T00:00:00"/>
    <m/>
    <n v="1859.3644352941176"/>
    <n v="14874.915482352941"/>
    <x v="6"/>
  </r>
  <r>
    <n v="371713"/>
    <x v="21"/>
    <n v="47761"/>
    <x v="18"/>
    <s v="Внутренняя деятельность"/>
    <d v="2025-01-22T00:00:00"/>
    <n v="2"/>
    <n v="2"/>
    <s v="встреча"/>
    <d v="2025-01-22T00:00:00"/>
    <m/>
    <n v="929.68221764705879"/>
    <n v="1859.3644352941176"/>
    <x v="6"/>
  </r>
  <r>
    <n v="371714"/>
    <x v="27"/>
    <n v="50399"/>
    <x v="18"/>
    <s v="Внутренняя деятельность"/>
    <d v="2025-01-22T00:00:00"/>
    <n v="6"/>
    <n v="6"/>
    <s v="дизайн экранов"/>
    <d v="2025-01-22T00:00:00"/>
    <m/>
    <n v="929.68221764705879"/>
    <n v="5578.093305882353"/>
    <x v="6"/>
  </r>
  <r>
    <n v="379465"/>
    <x v="16"/>
    <n v="47569"/>
    <x v="14"/>
    <s v="Работа"/>
    <d v="2025-01-22T00:00:00"/>
    <n v="2"/>
    <n v="2"/>
    <s v="backend: доработка db-seeder для хранения данных парадных и подъездов. Готово"/>
    <d v="2025-02-12T00:00:00"/>
    <m/>
    <n v="2091.7849897058823"/>
    <n v="4183.5699794117645"/>
    <x v="6"/>
  </r>
  <r>
    <n v="379466"/>
    <x v="16"/>
    <n v="47572"/>
    <x v="14"/>
    <s v="Работа"/>
    <d v="2025-01-22T00:00:00"/>
    <n v="1"/>
    <n v="1"/>
    <s v="Созвон с Мишей по сиду и комплексным ключам"/>
    <d v="2025-02-12T00:00:00"/>
    <m/>
    <n v="2091.7849897058823"/>
    <n v="2091.7849897058823"/>
    <x v="6"/>
  </r>
  <r>
    <n v="374865"/>
    <x v="10"/>
    <n v="50787"/>
    <x v="14"/>
    <s v="Работа"/>
    <d v="2025-01-22T00:00:00"/>
    <n v="5"/>
    <n v="5"/>
    <s v="Проведение тестового диктанта, исправление ошибок возникающих по ходу и др"/>
    <d v="2025-01-31T00:00:00"/>
    <m/>
    <n v="2091.7849897058823"/>
    <n v="10458.924948529411"/>
    <x v="6"/>
  </r>
  <r>
    <n v="372832"/>
    <x v="16"/>
    <n v="47615"/>
    <x v="16"/>
    <s v="Работа"/>
    <d v="2025-01-22T00:00:00"/>
    <n v="8"/>
    <n v="8"/>
    <s v="Подробнее в Open Project"/>
    <d v="2025-01-27T00:00:00"/>
    <m/>
    <n v="1394.5233264705882"/>
    <n v="11156.186611764706"/>
    <x v="6"/>
  </r>
  <r>
    <n v="371872"/>
    <x v="16"/>
    <n v="47569"/>
    <x v="7"/>
    <s v="Работа"/>
    <d v="2025-01-22T00:00:00"/>
    <n v="5"/>
    <n v="5"/>
    <s v="#1197"/>
    <d v="2025-01-22T00:00:00"/>
    <m/>
    <n v="2231.2373227941175"/>
    <n v="11156.186613970587"/>
    <x v="6"/>
  </r>
  <r>
    <n v="371873"/>
    <x v="16"/>
    <n v="47570"/>
    <x v="7"/>
    <s v="Работа"/>
    <d v="2025-01-22T00:00:00"/>
    <n v="1.3"/>
    <n v="1.3"/>
    <s v="code review"/>
    <d v="2025-01-22T00:00:00"/>
    <m/>
    <n v="2231.2373227941175"/>
    <n v="2900.6085196323529"/>
    <x v="6"/>
  </r>
  <r>
    <n v="371874"/>
    <x v="16"/>
    <n v="47537"/>
    <x v="7"/>
    <s v="Работа"/>
    <d v="2025-01-22T00:00:00"/>
    <n v="0.5"/>
    <n v="0.5"/>
    <s v="коммуникация с заказчиком"/>
    <d v="2025-01-22T00:00:00"/>
    <m/>
    <n v="2231.2373227941175"/>
    <n v="1115.6186613970588"/>
    <x v="6"/>
  </r>
  <r>
    <n v="371875"/>
    <x v="16"/>
    <n v="47572"/>
    <x v="7"/>
    <s v="Работа"/>
    <d v="2025-01-22T00:00:00"/>
    <n v="1.2"/>
    <n v="1.2"/>
    <s v="технические дискуссии"/>
    <d v="2025-01-22T00:00:00"/>
    <m/>
    <n v="2231.2373227941175"/>
    <n v="2677.4847873529411"/>
    <x v="6"/>
  </r>
  <r>
    <n v="412351"/>
    <x v="16"/>
    <n v="47570"/>
    <x v="6"/>
    <s v="Работа"/>
    <d v="2025-01-22T00:00:00"/>
    <n v="4"/>
    <n v="4"/>
    <s v="."/>
    <d v="2025-04-30T00:00:00"/>
    <m/>
    <n v="743.74577426470591"/>
    <n v="2974.9830970588237"/>
    <x v="6"/>
  </r>
  <r>
    <n v="372949"/>
    <x v="21"/>
    <n v="47762"/>
    <x v="2"/>
    <s v="Внутренняя деятельность"/>
    <d v="2025-01-22T00:00:00"/>
    <n v="8"/>
    <n v="8"/>
    <s v="Работа с проектом СПБ (Биржа), обследование, проектирование, анализ, тз"/>
    <d v="2025-01-27T00:00:00"/>
    <m/>
    <n v="929.68221764705879"/>
    <n v="7437.4577411764703"/>
    <x v="6"/>
  </r>
  <r>
    <n v="377576"/>
    <x v="16"/>
    <n v="47614"/>
    <x v="9"/>
    <s v="Работа"/>
    <d v="2025-01-22T00:00:00"/>
    <n v="8"/>
    <n v="8"/>
    <s v="#47614 - Разработка FE"/>
    <d v="2025-02-05T00:00:00"/>
    <m/>
    <n v="1859.3644352941176"/>
    <n v="14874.915482352941"/>
    <x v="6"/>
  </r>
  <r>
    <n v="371522"/>
    <x v="16"/>
    <n v="47568"/>
    <x v="7"/>
    <s v="Работа"/>
    <d v="2025-01-21T00:00:00"/>
    <n v="2"/>
    <n v="2"/>
    <s v="#890"/>
    <d v="2025-01-21T00:00:00"/>
    <m/>
    <n v="2231.2373227941175"/>
    <n v="4462.474645588235"/>
    <x v="6"/>
  </r>
  <r>
    <n v="371523"/>
    <x v="16"/>
    <n v="47569"/>
    <x v="7"/>
    <s v="Работа"/>
    <d v="2025-01-21T00:00:00"/>
    <n v="1.75"/>
    <n v="1.75"/>
    <s v="реализация сервисов - 807,1029, 1197"/>
    <d v="2025-01-21T00:00:00"/>
    <m/>
    <n v="2231.2373227941175"/>
    <n v="3904.6653148897058"/>
    <x v="6"/>
  </r>
  <r>
    <n v="371524"/>
    <x v="16"/>
    <n v="50244"/>
    <x v="7"/>
    <s v="Работа"/>
    <d v="2025-01-21T00:00:00"/>
    <n v="2.25"/>
    <n v="2.25"/>
    <s v="автоматизация миграции и сиид для стейдж сервера"/>
    <d v="2025-01-21T00:00:00"/>
    <m/>
    <n v="2231.2373227941175"/>
    <n v="5020.2839762867643"/>
    <x v="6"/>
  </r>
  <r>
    <n v="371525"/>
    <x v="16"/>
    <n v="47570"/>
    <x v="7"/>
    <s v="Работа"/>
    <d v="2025-01-21T00:00:00"/>
    <n v="1.5"/>
    <n v="1.5"/>
    <s v="ревью кода"/>
    <d v="2025-01-21T00:00:00"/>
    <m/>
    <n v="2231.2373227941175"/>
    <n v="3346.8559841911765"/>
    <x v="6"/>
  </r>
  <r>
    <n v="371526"/>
    <x v="16"/>
    <n v="47572"/>
    <x v="7"/>
    <s v="Работа"/>
    <d v="2025-01-21T00:00:00"/>
    <n v="0.5"/>
    <n v="0.5"/>
    <s v="синки в команде"/>
    <d v="2025-01-21T00:00:00"/>
    <m/>
    <n v="2231.2373227941175"/>
    <n v="1115.6186613970588"/>
    <x v="6"/>
  </r>
  <r>
    <n v="379462"/>
    <x v="16"/>
    <n v="47569"/>
    <x v="14"/>
    <s v="Работа"/>
    <d v="2025-01-21T00:00:00"/>
    <n v="5"/>
    <n v="5"/>
    <s v="дом и полный адрес. Добавил необходимые поля, добавил возможность программно генерировать любые поля, так же добавил проверки"/>
    <d v="2025-02-12T00:00:00"/>
    <m/>
    <n v="2091.7849897058823"/>
    <n v="10458.924948529411"/>
    <x v="6"/>
  </r>
  <r>
    <n v="379463"/>
    <x v="16"/>
    <n v="47572"/>
    <x v="14"/>
    <s v="Работа"/>
    <d v="2025-01-21T00:00:00"/>
    <n v="1"/>
    <n v="1"/>
    <s v="синк"/>
    <d v="2025-02-12T00:00:00"/>
    <m/>
    <n v="2091.7849897058823"/>
    <n v="2091.7849897058823"/>
    <x v="6"/>
  </r>
  <r>
    <n v="379464"/>
    <x v="16"/>
    <n v="47569"/>
    <x v="14"/>
    <s v="Работа"/>
    <d v="2025-01-21T00:00:00"/>
    <n v="2"/>
    <n v="2"/>
    <s v="backend: доработка db-seeder для хранения данных парадных и подъездов"/>
    <d v="2025-02-12T00:00:00"/>
    <m/>
    <n v="2091.7849897058823"/>
    <n v="4183.5699794117645"/>
    <x v="6"/>
  </r>
  <r>
    <n v="372830"/>
    <x v="16"/>
    <n v="47615"/>
    <x v="16"/>
    <s v="Работа"/>
    <d v="2025-01-21T00:00:00"/>
    <n v="8"/>
    <n v="8"/>
    <s v="Подробнее в Open Project"/>
    <d v="2025-01-27T00:00:00"/>
    <m/>
    <n v="1394.5233264705882"/>
    <n v="11156.186611764706"/>
    <x v="6"/>
  </r>
  <r>
    <n v="438654"/>
    <x v="5"/>
    <n v="52454"/>
    <x v="10"/>
    <s v="Работа"/>
    <d v="2025-01-21T00:00:00"/>
    <n v="2"/>
    <n v="2"/>
    <s v="Проверял Back end, разбирался по какой причине не прошло создание договоров и вручную запускал процессы, чтобы конкретные договоры досоздались"/>
    <d v="2025-07-14T00:00:00"/>
    <m/>
    <n v="1859.3644352941176"/>
    <n v="3718.7288705882352"/>
    <x v="6"/>
  </r>
  <r>
    <n v="412348"/>
    <x v="16"/>
    <n v="47569"/>
    <x v="6"/>
    <s v="Работа"/>
    <d v="2025-01-21T00:00:00"/>
    <n v="8"/>
    <n v="8"/>
    <s v="."/>
    <d v="2025-04-30T00:00:00"/>
    <m/>
    <n v="743.74577426470591"/>
    <n v="5949.9661941176473"/>
    <x v="6"/>
  </r>
  <r>
    <n v="371665"/>
    <x v="27"/>
    <n v="50399"/>
    <x v="18"/>
    <s v="Внутренняя деятельность"/>
    <d v="2025-01-21T00:00:00"/>
    <n v="6"/>
    <n v="6"/>
    <s v="дизайн и созвон с Виталей"/>
    <d v="2025-01-22T00:00:00"/>
    <m/>
    <n v="929.68221764705879"/>
    <n v="5578.093305882353"/>
    <x v="6"/>
  </r>
  <r>
    <n v="371666"/>
    <x v="21"/>
    <n v="47761"/>
    <x v="18"/>
    <s v="Внутренняя деятельность"/>
    <d v="2025-01-21T00:00:00"/>
    <n v="2"/>
    <n v="2"/>
    <s v="встреча"/>
    <d v="2025-01-22T00:00:00"/>
    <m/>
    <n v="929.68221764705879"/>
    <n v="1859.3644352941176"/>
    <x v="6"/>
  </r>
  <r>
    <n v="372948"/>
    <x v="21"/>
    <n v="47707"/>
    <x v="2"/>
    <s v="Внутренняя деятельность"/>
    <d v="2025-01-21T00:00:00"/>
    <n v="8"/>
    <n v="8"/>
    <s v="Работа с проектом СПБ (Биржа), обследование, проектирование, анализ, тз"/>
    <d v="2025-01-27T00:00:00"/>
    <m/>
    <n v="929.68221764705879"/>
    <n v="7437.4577411764703"/>
    <x v="6"/>
  </r>
  <r>
    <n v="377575"/>
    <x v="16"/>
    <n v="47614"/>
    <x v="9"/>
    <s v="Работа"/>
    <d v="2025-01-21T00:00:00"/>
    <n v="8"/>
    <n v="8"/>
    <s v="#47614 - Разработка FE"/>
    <d v="2025-02-05T00:00:00"/>
    <m/>
    <n v="1859.3644352941176"/>
    <n v="14874.915482352941"/>
    <x v="6"/>
  </r>
  <r>
    <n v="371243"/>
    <x v="16"/>
    <n v="47614"/>
    <x v="9"/>
    <s v="Работа"/>
    <d v="2025-01-20T00:00:00"/>
    <n v="8"/>
    <n v="8"/>
    <s v="#47614 - Разработка FE"/>
    <d v="2025-01-21T00:00:00"/>
    <m/>
    <n v="1859.3644352941176"/>
    <n v="14874.915482352941"/>
    <x v="6"/>
  </r>
  <r>
    <n v="379456"/>
    <x v="16"/>
    <n v="47572"/>
    <x v="14"/>
    <s v="Работа"/>
    <d v="2025-01-20T00:00:00"/>
    <n v="1"/>
    <n v="1"/>
    <s v="Созвон бек по задачам"/>
    <d v="2025-02-12T00:00:00"/>
    <m/>
    <n v="2091.7849897058823"/>
    <n v="2091.7849897058823"/>
    <x v="6"/>
  </r>
  <r>
    <n v="379457"/>
    <x v="16"/>
    <n v="47572"/>
    <x v="14"/>
    <s v="Работа"/>
    <d v="2025-01-20T00:00:00"/>
    <n v="1"/>
    <n v="1"/>
    <s v="синк"/>
    <d v="2025-02-12T00:00:00"/>
    <m/>
    <n v="2091.7849897058823"/>
    <n v="2091.7849897058823"/>
    <x v="6"/>
  </r>
  <r>
    <n v="394052"/>
    <x v="16"/>
    <n v="52114"/>
    <x v="5"/>
    <s v="Работа"/>
    <d v="2025-01-20T00:00:00"/>
    <n v="8"/>
    <n v="8"/>
    <s v="Test Case Creation"/>
    <d v="2025-03-21T00:00:00"/>
    <m/>
    <n v="371.87288676470587"/>
    <n v="2974.9830941176469"/>
    <x v="6"/>
  </r>
  <r>
    <n v="379460"/>
    <x v="16"/>
    <n v="47570"/>
    <x v="14"/>
    <s v="Работа"/>
    <d v="2025-01-20T00:00:00"/>
    <n v="1"/>
    <n v="1"/>
    <s v="Правки после review подразделения"/>
    <d v="2025-02-12T00:00:00"/>
    <m/>
    <n v="2091.7849897058823"/>
    <n v="2091.7849897058823"/>
    <x v="6"/>
  </r>
  <r>
    <n v="374858"/>
    <x v="10"/>
    <n v="45258"/>
    <x v="14"/>
    <s v="Работа"/>
    <d v="2025-01-20T00:00:00"/>
    <n v="5"/>
    <n v="5"/>
    <s v="Обновление Битрикс и ПХП на продакшн"/>
    <d v="2025-01-31T00:00:00"/>
    <m/>
    <n v="2091.7849897058823"/>
    <n v="10458.924948529411"/>
    <x v="6"/>
  </r>
  <r>
    <n v="371103"/>
    <x v="16"/>
    <n v="47569"/>
    <x v="7"/>
    <s v="Работа"/>
    <d v="2025-01-20T00:00:00"/>
    <n v="7"/>
    <n v="7"/>
    <s v="работы на сервисами бэкенда"/>
    <d v="2025-01-20T00:00:00"/>
    <m/>
    <n v="2231.2373227941175"/>
    <n v="15618.661259558823"/>
    <x v="6"/>
  </r>
  <r>
    <n v="371104"/>
    <x v="16"/>
    <n v="47570"/>
    <x v="7"/>
    <s v="Работа"/>
    <d v="2025-01-20T00:00:00"/>
    <n v="0.5"/>
    <n v="0.5"/>
    <s v="ревью решений для бэкенда"/>
    <d v="2025-01-20T00:00:00"/>
    <m/>
    <n v="2231.2373227941175"/>
    <n v="1115.6186613970588"/>
    <x v="6"/>
  </r>
  <r>
    <n v="371105"/>
    <x v="16"/>
    <n v="47572"/>
    <x v="7"/>
    <s v="Работа"/>
    <d v="2025-01-20T00:00:00"/>
    <n v="0.5"/>
    <n v="0.5"/>
    <s v="встречи в проекта"/>
    <d v="2025-01-20T00:00:00"/>
    <m/>
    <n v="2231.2373227941175"/>
    <n v="1115.6186613970588"/>
    <x v="6"/>
  </r>
  <r>
    <n v="412346"/>
    <x v="16"/>
    <n v="47569"/>
    <x v="6"/>
    <s v="Работа"/>
    <d v="2025-01-20T00:00:00"/>
    <n v="8"/>
    <n v="8"/>
    <s v="."/>
    <d v="2025-04-30T00:00:00"/>
    <m/>
    <n v="743.74577426470591"/>
    <n v="5949.9661941176473"/>
    <x v="6"/>
  </r>
  <r>
    <n v="371136"/>
    <x v="16"/>
    <n v="47615"/>
    <x v="16"/>
    <s v="Работа"/>
    <d v="2025-01-20T00:00:00"/>
    <n v="8"/>
    <n v="8"/>
    <s v="Подробнее в Open Project"/>
    <d v="2025-01-20T00:00:00"/>
    <m/>
    <n v="1394.5233264705882"/>
    <n v="11156.186611764706"/>
    <x v="6"/>
  </r>
  <r>
    <n v="371661"/>
    <x v="21"/>
    <n v="47761"/>
    <x v="18"/>
    <s v="Внутренняя деятельность"/>
    <d v="2025-01-20T00:00:00"/>
    <n v="3"/>
    <n v="3"/>
    <s v="была на рабочих созвонах"/>
    <d v="2025-01-22T00:00:00"/>
    <m/>
    <n v="929.68221764705879"/>
    <n v="2789.0466529411765"/>
    <x v="6"/>
  </r>
  <r>
    <n v="371663"/>
    <x v="16"/>
    <n v="47539"/>
    <x v="18"/>
    <s v="Работа"/>
    <d v="2025-01-20T00:00:00"/>
    <n v="2"/>
    <n v="2"/>
    <s v="аналитика"/>
    <d v="2025-01-22T00:00:00"/>
    <m/>
    <n v="929.68221764705879"/>
    <n v="1859.3644352941176"/>
    <x v="6"/>
  </r>
  <r>
    <n v="371664"/>
    <x v="27"/>
    <n v="50399"/>
    <x v="18"/>
    <s v="Внутренняя деятельность"/>
    <d v="2025-01-20T00:00:00"/>
    <n v="3"/>
    <n v="3"/>
    <s v="дизайн экранов"/>
    <d v="2025-01-22T00:00:00"/>
    <m/>
    <n v="929.68221764705879"/>
    <n v="2789.0466529411765"/>
    <x v="6"/>
  </r>
  <r>
    <n v="372947"/>
    <x v="21"/>
    <n v="47707"/>
    <x v="2"/>
    <s v="Внутренняя деятельность"/>
    <d v="2025-01-20T00:00:00"/>
    <n v="8"/>
    <n v="8"/>
    <s v="Работа с проектом СПБ (Биржа), проектирование, внесение изменение в прототип по требованиям заказчика"/>
    <d v="2025-01-27T00:00:00"/>
    <m/>
    <n v="929.68221764705879"/>
    <n v="7437.4577411764703"/>
    <x v="6"/>
  </r>
  <r>
    <n v="371242"/>
    <x v="16"/>
    <n v="47614"/>
    <x v="9"/>
    <s v="Работа"/>
    <d v="2025-01-17T00:00:00"/>
    <n v="8"/>
    <n v="8"/>
    <s v="#47614 - Разработка FE"/>
    <d v="2025-01-21T00:00:00"/>
    <m/>
    <n v="1859.3644352941176"/>
    <n v="14874.915482352941"/>
    <x v="6"/>
  </r>
  <r>
    <n v="379434"/>
    <x v="10"/>
    <n v="46185"/>
    <x v="14"/>
    <s v="Работа"/>
    <d v="2025-01-17T00:00:00"/>
    <n v="3"/>
    <n v="3"/>
    <s v="Доступ к прод серверу по ssh, после сбоя"/>
    <d v="2025-02-12T00:00:00"/>
    <m/>
    <n v="2091.7849897058823"/>
    <n v="6275.3549691176468"/>
    <x v="6"/>
  </r>
  <r>
    <n v="379453"/>
    <x v="16"/>
    <n v="47569"/>
    <x v="14"/>
    <s v="Работа"/>
    <d v="2025-01-17T00:00:00"/>
    <n v="3"/>
    <n v="3"/>
    <s v="Изменил сид, доавил обработку подразделений, тесты"/>
    <d v="2025-02-12T00:00:00"/>
    <m/>
    <n v="2091.7849897058823"/>
    <n v="6275.3549691176468"/>
    <x v="6"/>
  </r>
  <r>
    <n v="379454"/>
    <x v="16"/>
    <n v="47572"/>
    <x v="14"/>
    <s v="Работа"/>
    <d v="2025-01-17T00:00:00"/>
    <n v="1"/>
    <n v="1"/>
    <s v="Созвон с беком по текущим задачам, полный адрес, удаление и восстановление пароля, почта"/>
    <d v="2025-02-12T00:00:00"/>
    <m/>
    <n v="2091.7849897058823"/>
    <n v="2091.7849897058823"/>
    <x v="6"/>
  </r>
  <r>
    <n v="379455"/>
    <x v="16"/>
    <n v="47572"/>
    <x v="14"/>
    <s v="Работа"/>
    <d v="2025-01-17T00:00:00"/>
    <n v="1"/>
    <n v="1"/>
    <s v="синк"/>
    <d v="2025-02-12T00:00:00"/>
    <m/>
    <n v="2091.7849897058823"/>
    <n v="2091.7849897058823"/>
    <x v="6"/>
  </r>
  <r>
    <n v="394051"/>
    <x v="16"/>
    <n v="52114"/>
    <x v="5"/>
    <s v="Работа"/>
    <d v="2025-01-17T00:00:00"/>
    <n v="8"/>
    <n v="8"/>
    <s v="TestFlow"/>
    <d v="2025-03-21T00:00:00"/>
    <m/>
    <n v="371.87288676470587"/>
    <n v="2974.9830941176469"/>
    <x v="6"/>
  </r>
  <r>
    <n v="369793"/>
    <x v="21"/>
    <n v="47707"/>
    <x v="2"/>
    <s v="Внутренняя деятельность"/>
    <d v="2025-01-17T00:00:00"/>
    <n v="8"/>
    <n v="8"/>
    <s v="Работа с проектом СПБ (Биржа), проектирование, внесение изменение в прототип по требованиям заказчика"/>
    <d v="2025-01-16T00:00:00"/>
    <m/>
    <n v="929.68221764705879"/>
    <n v="7437.4577411764703"/>
    <x v="6"/>
  </r>
  <r>
    <n v="370827"/>
    <x v="27"/>
    <n v="50399"/>
    <x v="18"/>
    <s v="Внутренняя деятельность"/>
    <d v="2025-01-17T00:00:00"/>
    <n v="4"/>
    <n v="4"/>
    <s v="подготовка макетов в фигме"/>
    <d v="2025-01-20T00:00:00"/>
    <m/>
    <n v="929.68221764705879"/>
    <n v="3718.7288705882352"/>
    <x v="6"/>
  </r>
  <r>
    <n v="370828"/>
    <x v="21"/>
    <n v="47761"/>
    <x v="18"/>
    <s v="Внутренняя деятельность"/>
    <d v="2025-01-17T00:00:00"/>
    <n v="2"/>
    <n v="2"/>
    <s v="встречи "/>
    <d v="2025-01-20T00:00:00"/>
    <m/>
    <n v="929.68221764705879"/>
    <n v="1859.3644352941176"/>
    <x v="6"/>
  </r>
  <r>
    <n v="370829"/>
    <x v="16"/>
    <n v="47539"/>
    <x v="18"/>
    <s v="Работа"/>
    <d v="2025-01-17T00:00:00"/>
    <n v="2"/>
    <n v="2"/>
    <s v="описание типов событий "/>
    <d v="2025-01-20T00:00:00"/>
    <m/>
    <n v="929.68221764705879"/>
    <n v="1859.3644352941176"/>
    <x v="6"/>
  </r>
  <r>
    <n v="412344"/>
    <x v="16"/>
    <n v="47572"/>
    <x v="6"/>
    <s v="Работа"/>
    <d v="2025-01-17T00:00:00"/>
    <n v="5"/>
    <n v="5"/>
    <s v="."/>
    <d v="2025-04-30T00:00:00"/>
    <m/>
    <n v="743.74577426470591"/>
    <n v="3718.7288713235293"/>
    <x v="6"/>
  </r>
  <r>
    <n v="370623"/>
    <x v="16"/>
    <n v="47568"/>
    <x v="7"/>
    <s v="Работа"/>
    <d v="2025-01-17T00:00:00"/>
    <n v="2"/>
    <n v="2"/>
    <s v="#1213"/>
    <d v="2025-01-17T00:00:00"/>
    <m/>
    <n v="2231.2373227941175"/>
    <n v="4462.474645588235"/>
    <x v="6"/>
  </r>
  <r>
    <n v="370624"/>
    <x v="16"/>
    <n v="47569"/>
    <x v="7"/>
    <s v="Работа"/>
    <d v="2025-01-17T00:00:00"/>
    <n v="2"/>
    <n v="2"/>
    <s v="#1029"/>
    <d v="2025-01-17T00:00:00"/>
    <m/>
    <n v="2231.2373227941175"/>
    <n v="4462.474645588235"/>
    <x v="6"/>
  </r>
  <r>
    <n v="370625"/>
    <x v="16"/>
    <n v="47572"/>
    <x v="7"/>
    <s v="Работа"/>
    <d v="2025-01-17T00:00:00"/>
    <n v="4"/>
    <n v="4"/>
    <s v="разные технические обсуждения"/>
    <d v="2025-01-17T00:00:00"/>
    <m/>
    <n v="2231.2373227941175"/>
    <n v="8924.9492911764701"/>
    <x v="6"/>
  </r>
  <r>
    <n v="371137"/>
    <x v="16"/>
    <n v="47615"/>
    <x v="16"/>
    <s v="Работа"/>
    <d v="2025-01-17T00:00:00"/>
    <n v="8"/>
    <n v="8"/>
    <s v="Подробнее в Open Project"/>
    <d v="2025-01-20T00:00:00"/>
    <m/>
    <n v="1394.5233264705882"/>
    <n v="11156.186611764706"/>
    <x v="6"/>
  </r>
  <r>
    <n v="370196"/>
    <x v="16"/>
    <n v="47570"/>
    <x v="7"/>
    <s v="Работа"/>
    <d v="2025-01-16T00:00:00"/>
    <n v="2"/>
    <n v="2"/>
    <s v="ревью кода"/>
    <d v="2025-01-16T00:00:00"/>
    <m/>
    <n v="2231.2373227941175"/>
    <n v="4462.474645588235"/>
    <x v="6"/>
  </r>
  <r>
    <n v="370197"/>
    <x v="16"/>
    <n v="47569"/>
    <x v="7"/>
    <s v="Работа"/>
    <d v="2025-01-16T00:00:00"/>
    <n v="3"/>
    <n v="3"/>
    <s v="№1029"/>
    <d v="2025-01-16T00:00:00"/>
    <m/>
    <n v="2231.2373227941175"/>
    <n v="6693.711968382353"/>
    <x v="6"/>
  </r>
  <r>
    <n v="431894"/>
    <x v="20"/>
    <n v="52107"/>
    <x v="1"/>
    <s v="Работа"/>
    <d v="2025-01-16T00:00:00"/>
    <n v="7"/>
    <n v="7"/>
    <s v="Task planning, meetings with client"/>
    <d v="2025-06-27T00:00:00"/>
    <m/>
    <n v="2324.2055441176472"/>
    <n v="16269.43880882353"/>
    <x v="6"/>
  </r>
  <r>
    <n v="370199"/>
    <x v="16"/>
    <n v="47572"/>
    <x v="7"/>
    <s v="Работа"/>
    <d v="2025-01-16T00:00:00"/>
    <n v="3"/>
    <n v="3"/>
    <s v="разные тех дискуссии с разработчиками"/>
    <d v="2025-01-16T00:00:00"/>
    <m/>
    <n v="2231.2373227941175"/>
    <n v="6693.711968382353"/>
    <x v="6"/>
  </r>
  <r>
    <n v="371241"/>
    <x v="16"/>
    <n v="47614"/>
    <x v="9"/>
    <s v="Работа"/>
    <d v="2025-01-16T00:00:00"/>
    <n v="8"/>
    <n v="8"/>
    <s v="#47614 - Разработка FE"/>
    <d v="2025-01-21T00:00:00"/>
    <m/>
    <n v="1859.3644352941176"/>
    <n v="14874.915482352941"/>
    <x v="6"/>
  </r>
  <r>
    <n v="379444"/>
    <x v="16"/>
    <n v="47569"/>
    <x v="14"/>
    <s v="Работа"/>
    <d v="2025-01-16T00:00:00"/>
    <n v="3"/>
    <n v="3"/>
    <s v="Реализовано удаление пользователя, софт делете"/>
    <d v="2025-02-12T00:00:00"/>
    <m/>
    <n v="2091.7849897058823"/>
    <n v="6275.3549691176468"/>
    <x v="6"/>
  </r>
  <r>
    <n v="379445"/>
    <x v="16"/>
    <n v="47569"/>
    <x v="14"/>
    <s v="Работа"/>
    <d v="2025-01-16T00:00:00"/>
    <n v="0.5"/>
    <n v="0.5"/>
    <s v="Созвон с фронтом, обновление данных, удаление узлов, пришли к единому мнению"/>
    <d v="2025-02-12T00:00:00"/>
    <m/>
    <n v="2091.7849897058823"/>
    <n v="1045.8924948529411"/>
    <x v="6"/>
  </r>
  <r>
    <n v="379447"/>
    <x v="16"/>
    <n v="47591"/>
    <x v="14"/>
    <s v="Работа"/>
    <d v="2025-01-16T00:00:00"/>
    <n v="0.5"/>
    <n v="0.5"/>
    <s v="Созвон с беком, проставили остальные часы, обсудили справочники"/>
    <d v="2025-02-12T00:00:00"/>
    <m/>
    <n v="2091.7849897058823"/>
    <n v="1045.8924948529411"/>
    <x v="6"/>
  </r>
  <r>
    <n v="379450"/>
    <x v="16"/>
    <n v="47572"/>
    <x v="14"/>
    <s v="Работа"/>
    <d v="2025-01-16T00:00:00"/>
    <n v="1.5"/>
    <n v="1.5"/>
    <s v="Созвон с Мишей по тек задачам, ревью и баги"/>
    <d v="2025-02-12T00:00:00"/>
    <m/>
    <n v="2091.7849897058823"/>
    <n v="3137.6774845588234"/>
    <x v="6"/>
  </r>
  <r>
    <n v="394050"/>
    <x v="16"/>
    <n v="52114"/>
    <x v="5"/>
    <s v="Работа"/>
    <d v="2025-01-16T00:00:00"/>
    <n v="8"/>
    <n v="8"/>
    <s v="Test"/>
    <d v="2025-03-21T00:00:00"/>
    <m/>
    <n v="371.87288676470587"/>
    <n v="2974.9830941176469"/>
    <x v="6"/>
  </r>
  <r>
    <n v="412247"/>
    <x v="16"/>
    <n v="47572"/>
    <x v="14"/>
    <s v="Работа"/>
    <d v="2025-01-16T00:00:00"/>
    <n v="0.5"/>
    <n v="0.5"/>
    <s v="Синк"/>
    <d v="2025-04-30T00:00:00"/>
    <m/>
    <n v="2091.7849897058823"/>
    <n v="1045.8924948529411"/>
    <x v="6"/>
  </r>
  <r>
    <n v="369792"/>
    <x v="21"/>
    <n v="47707"/>
    <x v="2"/>
    <s v="Внутренняя деятельность"/>
    <d v="2025-01-16T00:00:00"/>
    <n v="8"/>
    <n v="8"/>
    <s v="Работа с проектом СПБ (Биржа), проектирование, внесение изменение в прототип по требованиям заказчика"/>
    <d v="2025-01-16T00:00:00"/>
    <m/>
    <n v="929.68221764705879"/>
    <n v="7437.4577411764703"/>
    <x v="6"/>
  </r>
  <r>
    <n v="370825"/>
    <x v="21"/>
    <n v="47761"/>
    <x v="18"/>
    <s v="Внутренняя деятельность"/>
    <d v="2025-01-16T00:00:00"/>
    <n v="2"/>
    <n v="2"/>
    <s v="встречи с клиентом, подготовка письма"/>
    <d v="2025-01-20T00:00:00"/>
    <m/>
    <n v="929.68221764705879"/>
    <n v="1859.3644352941176"/>
    <x v="6"/>
  </r>
  <r>
    <n v="370826"/>
    <x v="27"/>
    <n v="50399"/>
    <x v="18"/>
    <s v="Внутренняя деятельность"/>
    <d v="2025-01-16T00:00:00"/>
    <n v="5"/>
    <n v="5"/>
    <s v="подготовка макетов в фигме"/>
    <d v="2025-01-20T00:00:00"/>
    <m/>
    <n v="929.68221764705879"/>
    <n v="4648.4110882352943"/>
    <x v="6"/>
  </r>
  <r>
    <n v="412341"/>
    <x v="16"/>
    <n v="47569"/>
    <x v="6"/>
    <s v="Работа"/>
    <d v="2025-01-16T00:00:00"/>
    <n v="8"/>
    <n v="8"/>
    <s v="."/>
    <d v="2025-04-30T00:00:00"/>
    <m/>
    <n v="743.74577426470591"/>
    <n v="5949.9661941176473"/>
    <x v="6"/>
  </r>
  <r>
    <n v="371138"/>
    <x v="16"/>
    <n v="47615"/>
    <x v="16"/>
    <s v="Работа"/>
    <d v="2025-01-16T00:00:00"/>
    <n v="8"/>
    <n v="8"/>
    <s v="Подробнее в Open Project"/>
    <d v="2025-01-20T00:00:00"/>
    <m/>
    <n v="1394.5233264705882"/>
    <n v="11156.186611764706"/>
    <x v="6"/>
  </r>
  <r>
    <n v="370192"/>
    <x v="16"/>
    <n v="47568"/>
    <x v="7"/>
    <s v="Работа"/>
    <d v="2025-01-15T00:00:00"/>
    <n v="3"/>
    <n v="3"/>
    <s v="#1072"/>
    <d v="2025-01-16T00:00:00"/>
    <m/>
    <n v="2231.2373227941175"/>
    <n v="6693.711968382353"/>
    <x v="6"/>
  </r>
  <r>
    <n v="370193"/>
    <x v="16"/>
    <n v="50244"/>
    <x v="7"/>
    <s v="Работа"/>
    <d v="2025-01-15T00:00:00"/>
    <n v="2"/>
    <n v="2"/>
    <s v="#1231"/>
    <d v="2025-01-16T00:00:00"/>
    <m/>
    <n v="2231.2373227941175"/>
    <n v="4462.474645588235"/>
    <x v="6"/>
  </r>
  <r>
    <n v="370194"/>
    <x v="16"/>
    <n v="47570"/>
    <x v="7"/>
    <s v="Работа"/>
    <d v="2025-01-15T00:00:00"/>
    <n v="1"/>
    <n v="1"/>
    <s v="тикеты в бэкенде"/>
    <d v="2025-01-16T00:00:00"/>
    <m/>
    <n v="2231.2373227941175"/>
    <n v="2231.2373227941175"/>
    <x v="6"/>
  </r>
  <r>
    <n v="370195"/>
    <x v="16"/>
    <n v="47572"/>
    <x v="7"/>
    <s v="Работа"/>
    <d v="2025-01-15T00:00:00"/>
    <n v="2"/>
    <n v="2"/>
    <s v="разные технические обсуждения"/>
    <d v="2025-01-16T00:00:00"/>
    <m/>
    <n v="2231.2373227941175"/>
    <n v="4462.474645588235"/>
    <x v="6"/>
  </r>
  <r>
    <n v="371240"/>
    <x v="16"/>
    <n v="47614"/>
    <x v="9"/>
    <s v="Работа"/>
    <d v="2025-01-15T00:00:00"/>
    <n v="8"/>
    <n v="8"/>
    <s v="#47614 - Разработка FE"/>
    <d v="2025-01-21T00:00:00"/>
    <m/>
    <n v="1859.3644352941176"/>
    <n v="14874.915482352941"/>
    <x v="6"/>
  </r>
  <r>
    <n v="379439"/>
    <x v="16"/>
    <n v="47569"/>
    <x v="14"/>
    <s v="Работа"/>
    <d v="2025-01-15T00:00:00"/>
    <n v="2"/>
    <n v="2"/>
    <s v="Реализовал двунаправленную reverse связь, исправил сид, тестирование, подправил вики для сортировки и фильтров, вики для entityType"/>
    <d v="2025-02-12T00:00:00"/>
    <m/>
    <n v="2091.7849897058823"/>
    <n v="4183.5699794117645"/>
    <x v="6"/>
  </r>
  <r>
    <n v="394049"/>
    <x v="16"/>
    <n v="52114"/>
    <x v="5"/>
    <s v="Работа"/>
    <d v="2025-01-15T00:00:00"/>
    <n v="8"/>
    <n v="8"/>
    <s v="TestFlow"/>
    <d v="2025-03-21T00:00:00"/>
    <m/>
    <n v="371.87288676470587"/>
    <n v="2974.9830941176469"/>
    <x v="6"/>
  </r>
  <r>
    <n v="374855"/>
    <x v="10"/>
    <n v="45258"/>
    <x v="14"/>
    <s v="Работа"/>
    <d v="2025-01-15T00:00:00"/>
    <n v="4"/>
    <n v="4"/>
    <s v="Решил проблему с шаблоном в админке"/>
    <d v="2025-01-31T00:00:00"/>
    <m/>
    <n v="2091.7849897058823"/>
    <n v="8367.139958823529"/>
    <x v="6"/>
  </r>
  <r>
    <n v="432252"/>
    <x v="25"/>
    <n v="49383"/>
    <x v="10"/>
    <s v="Работа"/>
    <d v="2025-01-15T00:00:00"/>
    <n v="134"/>
    <n v="134"/>
    <s v="R&amp;amp;D"/>
    <d v="2025-06-28T00:00:00"/>
    <m/>
    <n v="1859.3644352941176"/>
    <n v="249154.83432941177"/>
    <x v="6"/>
  </r>
  <r>
    <n v="432253"/>
    <x v="3"/>
    <n v="21152"/>
    <x v="7"/>
    <s v="Внутренняя деятельность"/>
    <d v="2025-01-15T00:00:00"/>
    <n v="39"/>
    <n v="39"/>
    <s v="R&amp;amp;D"/>
    <d v="2025-06-28T00:00:00"/>
    <m/>
    <n v="2231.2373227941175"/>
    <n v="87018.255588970584"/>
    <x v="6"/>
  </r>
  <r>
    <n v="369795"/>
    <x v="21"/>
    <n v="47707"/>
    <x v="2"/>
    <s v="Внутренняя деятельность"/>
    <d v="2025-01-15T00:00:00"/>
    <n v="8"/>
    <n v="8"/>
    <s v="Работа с проектом СПБ (Биржа), проектирование, внесение изменение в прототип по требованиям заказчика"/>
    <d v="2025-01-16T00:00:00"/>
    <m/>
    <n v="929.68221764705879"/>
    <n v="7437.4577411764703"/>
    <x v="6"/>
  </r>
  <r>
    <n v="370821"/>
    <x v="27"/>
    <n v="50399"/>
    <x v="18"/>
    <s v="Внутренняя деятельность"/>
    <d v="2025-01-15T00:00:00"/>
    <n v="4"/>
    <n v="4"/>
    <s v="ресерч аналогичных приложений"/>
    <d v="2025-01-20T00:00:00"/>
    <m/>
    <n v="929.68221764705879"/>
    <n v="3718.7288705882352"/>
    <x v="6"/>
  </r>
  <r>
    <n v="370822"/>
    <x v="16"/>
    <n v="47539"/>
    <x v="18"/>
    <s v="Работа"/>
    <d v="2025-01-15T00:00:00"/>
    <n v="4"/>
    <n v="4"/>
    <s v="подготовка письма, ответы на вопросы, внесение правок в документацию"/>
    <d v="2025-01-20T00:00:00"/>
    <m/>
    <n v="929.68221764705879"/>
    <n v="3718.7288705882352"/>
    <x v="6"/>
  </r>
  <r>
    <n v="412338"/>
    <x v="16"/>
    <n v="47570"/>
    <x v="6"/>
    <s v="Работа"/>
    <d v="2025-01-15T00:00:00"/>
    <n v="8"/>
    <n v="8"/>
    <s v="."/>
    <d v="2025-04-30T00:00:00"/>
    <m/>
    <n v="743.74577426470591"/>
    <n v="5949.9661941176473"/>
    <x v="6"/>
  </r>
  <r>
    <n v="432310"/>
    <x v="16"/>
    <n v="50749"/>
    <x v="6"/>
    <s v="Работа"/>
    <d v="2025-01-15T00:00:00"/>
    <n v="24"/>
    <n v="24"/>
    <s v="R&amp;amp;D"/>
    <d v="2025-06-28T00:00:00"/>
    <m/>
    <n v="743.74577426470591"/>
    <n v="17849.898582352944"/>
    <x v="6"/>
  </r>
  <r>
    <n v="371140"/>
    <x v="16"/>
    <n v="47615"/>
    <x v="16"/>
    <s v="Работа"/>
    <d v="2025-01-15T00:00:00"/>
    <n v="8"/>
    <n v="8"/>
    <s v="Подробнее в Open Project"/>
    <d v="2025-01-20T00:00:00"/>
    <m/>
    <n v="1394.5233264705882"/>
    <n v="11156.186611764706"/>
    <x v="6"/>
  </r>
  <r>
    <n v="371239"/>
    <x v="16"/>
    <n v="47614"/>
    <x v="9"/>
    <s v="Работа"/>
    <d v="2025-01-14T00:00:00"/>
    <n v="8"/>
    <n v="8"/>
    <s v="#47614 - Разработка FE"/>
    <d v="2025-01-21T00:00:00"/>
    <m/>
    <n v="1859.3644352941176"/>
    <n v="14874.915482352941"/>
    <x v="6"/>
  </r>
  <r>
    <n v="394048"/>
    <x v="16"/>
    <n v="52114"/>
    <x v="5"/>
    <s v="Работа"/>
    <d v="2025-01-14T00:00:00"/>
    <n v="8"/>
    <n v="8"/>
    <s v="Test"/>
    <d v="2025-03-21T00:00:00"/>
    <m/>
    <n v="371.87288676470587"/>
    <n v="2974.9830941176469"/>
    <x v="6"/>
  </r>
  <r>
    <n v="370817"/>
    <x v="21"/>
    <n v="47761"/>
    <x v="18"/>
    <s v="Внутренняя деятельность"/>
    <d v="2025-01-14T00:00:00"/>
    <n v="2"/>
    <n v="2"/>
    <s v="встреча с клиентом"/>
    <d v="2025-01-20T00:00:00"/>
    <m/>
    <n v="929.68221764705879"/>
    <n v="1859.3644352941176"/>
    <x v="6"/>
  </r>
  <r>
    <n v="370818"/>
    <x v="21"/>
    <n v="47762"/>
    <x v="18"/>
    <s v="Внутренняя деятельность"/>
    <d v="2025-01-14T00:00:00"/>
    <n v="2"/>
    <n v="2"/>
    <s v="подготовка ко встрече"/>
    <d v="2025-01-20T00:00:00"/>
    <m/>
    <n v="929.68221764705879"/>
    <n v="1859.3644352941176"/>
    <x v="6"/>
  </r>
  <r>
    <n v="370819"/>
    <x v="16"/>
    <n v="47538"/>
    <x v="18"/>
    <s v="Работа"/>
    <d v="2025-01-14T00:00:00"/>
    <n v="2"/>
    <n v="2"/>
    <s v="разбор задачи про иерархию справочников"/>
    <d v="2025-01-20T00:00:00"/>
    <m/>
    <n v="929.68221764705879"/>
    <n v="1859.3644352941176"/>
    <x v="6"/>
  </r>
  <r>
    <n v="369796"/>
    <x v="21"/>
    <n v="47707"/>
    <x v="2"/>
    <s v="Внутренняя деятельность"/>
    <d v="2025-01-14T00:00:00"/>
    <n v="8"/>
    <n v="8"/>
    <s v="Работа с проектом СПБ (Биржа), обследование, проектирование, анализ, тз"/>
    <d v="2025-01-16T00:00:00"/>
    <m/>
    <n v="929.68221764705879"/>
    <n v="7437.4577411764703"/>
    <x v="6"/>
  </r>
  <r>
    <n v="370820"/>
    <x v="27"/>
    <n v="50399"/>
    <x v="18"/>
    <s v="Внутренняя деятельность"/>
    <d v="2025-01-14T00:00:00"/>
    <n v="2"/>
    <n v="2"/>
    <s v="ресерч аналогичных приложений"/>
    <d v="2025-01-20T00:00:00"/>
    <m/>
    <n v="929.68221764705879"/>
    <n v="1859.3644352941176"/>
    <x v="6"/>
  </r>
  <r>
    <n v="412337"/>
    <x v="16"/>
    <n v="47569"/>
    <x v="6"/>
    <s v="Работа"/>
    <d v="2025-01-14T00:00:00"/>
    <n v="8"/>
    <n v="8"/>
    <s v="."/>
    <d v="2025-04-30T00:00:00"/>
    <m/>
    <n v="743.74577426470591"/>
    <n v="5949.9661941176473"/>
    <x v="6"/>
  </r>
  <r>
    <n v="371142"/>
    <x v="16"/>
    <n v="47615"/>
    <x v="16"/>
    <s v="Работа"/>
    <d v="2025-01-14T00:00:00"/>
    <n v="8"/>
    <n v="8"/>
    <s v="Подробнее в Open Project"/>
    <d v="2025-01-20T00:00:00"/>
    <m/>
    <n v="1394.5233264705882"/>
    <n v="11156.186611764706"/>
    <x v="6"/>
  </r>
  <r>
    <n v="369402"/>
    <x v="16"/>
    <n v="47568"/>
    <x v="7"/>
    <s v="Работа"/>
    <d v="2025-01-14T00:00:00"/>
    <n v="1"/>
    <n v="1"/>
    <s v="#1072"/>
    <d v="2025-01-15T00:00:00"/>
    <m/>
    <n v="2231.2373227941175"/>
    <n v="2231.2373227941175"/>
    <x v="6"/>
  </r>
  <r>
    <n v="369403"/>
    <x v="16"/>
    <n v="47570"/>
    <x v="7"/>
    <s v="Работа"/>
    <d v="2025-01-14T00:00:00"/>
    <n v="1"/>
    <n v="1"/>
    <s v="ревью кода"/>
    <d v="2025-01-15T00:00:00"/>
    <m/>
    <n v="2231.2373227941175"/>
    <n v="2231.2373227941175"/>
    <x v="6"/>
  </r>
  <r>
    <n v="369404"/>
    <x v="16"/>
    <n v="50244"/>
    <x v="7"/>
    <s v="Работа"/>
    <d v="2025-01-14T00:00:00"/>
    <n v="6"/>
    <n v="6"/>
    <s v="#1231"/>
    <d v="2025-01-15T00:00:00"/>
    <m/>
    <n v="2231.2373227941175"/>
    <n v="13387.423936764706"/>
    <x v="6"/>
  </r>
  <r>
    <n v="371238"/>
    <x v="16"/>
    <n v="47614"/>
    <x v="9"/>
    <s v="Работа"/>
    <d v="2025-01-13T00:00:00"/>
    <n v="8"/>
    <n v="8"/>
    <s v="#47614 - Разработка FE"/>
    <d v="2025-01-21T00:00:00"/>
    <m/>
    <n v="1859.3644352941176"/>
    <n v="14874.915482352941"/>
    <x v="6"/>
  </r>
  <r>
    <n v="394047"/>
    <x v="16"/>
    <n v="52114"/>
    <x v="5"/>
    <s v="Работа"/>
    <d v="2025-01-13T00:00:00"/>
    <n v="8"/>
    <n v="8"/>
    <s v="Test"/>
    <d v="2025-03-21T00:00:00"/>
    <m/>
    <n v="371.87288676470587"/>
    <n v="2974.9830941176469"/>
    <x v="6"/>
  </r>
  <r>
    <n v="370815"/>
    <x v="16"/>
    <n v="47539"/>
    <x v="18"/>
    <s v="Работа"/>
    <d v="2025-01-13T00:00:00"/>
    <n v="3"/>
    <n v="3"/>
    <s v="внесение правок"/>
    <d v="2025-01-20T00:00:00"/>
    <m/>
    <n v="929.68221764705879"/>
    <n v="2789.0466529411765"/>
    <x v="6"/>
  </r>
  <r>
    <n v="370816"/>
    <x v="27"/>
    <n v="50399"/>
    <x v="18"/>
    <s v="Внутренняя деятельность"/>
    <d v="2025-01-13T00:00:00"/>
    <n v="1"/>
    <n v="1"/>
    <s v="внутренний звонок, погружение в задачу"/>
    <d v="2025-01-20T00:00:00"/>
    <m/>
    <n v="929.68221764705879"/>
    <n v="929.68221764705879"/>
    <x v="6"/>
  </r>
  <r>
    <n v="369798"/>
    <x v="21"/>
    <n v="47707"/>
    <x v="2"/>
    <s v="Внутренняя деятельность"/>
    <d v="2025-01-13T00:00:00"/>
    <n v="8"/>
    <n v="8"/>
    <s v="Работа с проектом СПБ (Биржа), проектирование, внесение изменение в прототип по требованиям заказчика"/>
    <d v="2025-01-16T00:00:00"/>
    <m/>
    <n v="929.68221764705879"/>
    <n v="7437.4577411764703"/>
    <x v="6"/>
  </r>
  <r>
    <n v="412334"/>
    <x v="16"/>
    <n v="47569"/>
    <x v="6"/>
    <s v="Работа"/>
    <d v="2025-01-13T00:00:00"/>
    <n v="8"/>
    <n v="8"/>
    <s v="."/>
    <d v="2025-04-30T00:00:00"/>
    <m/>
    <n v="743.74577426470591"/>
    <n v="5949.9661941176473"/>
    <x v="6"/>
  </r>
  <r>
    <n v="371143"/>
    <x v="16"/>
    <n v="47615"/>
    <x v="16"/>
    <s v="Работа"/>
    <d v="2025-01-13T00:00:00"/>
    <n v="8"/>
    <n v="8"/>
    <s v="Подробнее в Open Project"/>
    <d v="2025-01-20T00:00:00"/>
    <m/>
    <n v="1394.5233264705882"/>
    <n v="11156.186611764706"/>
    <x v="6"/>
  </r>
  <r>
    <n v="368894"/>
    <x v="16"/>
    <n v="47569"/>
    <x v="7"/>
    <s v="Работа"/>
    <d v="2025-01-13T00:00:00"/>
    <n v="3"/>
    <n v="3"/>
    <s v="анализ и решение проблемы с билд пайплайном"/>
    <d v="2025-01-14T00:00:00"/>
    <m/>
    <n v="2231.2373227941175"/>
    <n v="6693.711968382353"/>
    <x v="6"/>
  </r>
  <r>
    <n v="368895"/>
    <x v="16"/>
    <n v="47572"/>
    <x v="7"/>
    <s v="Работа"/>
    <d v="2025-01-13T00:00:00"/>
    <n v="5"/>
    <n v="5"/>
    <s v="разные тех дискуссии с разработчиками"/>
    <d v="2025-01-14T00:00:00"/>
    <m/>
    <n v="2231.2373227941175"/>
    <n v="11156.186613970587"/>
    <x v="6"/>
  </r>
  <r>
    <n v="371237"/>
    <x v="16"/>
    <n v="47614"/>
    <x v="9"/>
    <s v="Работа"/>
    <d v="2025-01-10T00:00:00"/>
    <n v="8"/>
    <n v="8"/>
    <s v="#47614 - Разработка FE"/>
    <d v="2025-01-21T00:00:00"/>
    <m/>
    <n v="1859.3644352941176"/>
    <n v="14874.915482352941"/>
    <x v="6"/>
  </r>
  <r>
    <n v="394046"/>
    <x v="16"/>
    <n v="52114"/>
    <x v="5"/>
    <s v="Работа"/>
    <d v="2025-01-10T00:00:00"/>
    <n v="8"/>
    <n v="8"/>
    <s v="TestFlow"/>
    <d v="2025-03-21T00:00:00"/>
    <m/>
    <n v="371.87288676470587"/>
    <n v="2974.9830941176469"/>
    <x v="6"/>
  </r>
  <r>
    <n v="368027"/>
    <x v="16"/>
    <n v="47572"/>
    <x v="7"/>
    <s v="Работа"/>
    <d v="2025-01-10T00:00:00"/>
    <n v="8"/>
    <n v="8"/>
    <s v="разные технические обсуждения"/>
    <d v="2025-01-10T00:00:00"/>
    <m/>
    <n v="2231.2373227941175"/>
    <n v="17849.89858235294"/>
    <x v="6"/>
  </r>
  <r>
    <n v="371144"/>
    <x v="16"/>
    <n v="47615"/>
    <x v="16"/>
    <s v="Работа"/>
    <d v="2025-01-10T00:00:00"/>
    <n v="8"/>
    <n v="8"/>
    <s v="Подробнее в Open Project"/>
    <d v="2025-01-20T00:00:00"/>
    <m/>
    <n v="1394.5233264705882"/>
    <n v="11156.186611764706"/>
    <x v="6"/>
  </r>
  <r>
    <n v="371236"/>
    <x v="16"/>
    <n v="47614"/>
    <x v="9"/>
    <s v="Работа"/>
    <d v="2025-01-09T00:00:00"/>
    <n v="8"/>
    <n v="8"/>
    <s v="#47614 - Разработка FE"/>
    <d v="2025-01-21T00:00:00"/>
    <m/>
    <n v="1859.3644352941176"/>
    <n v="14874.915482352941"/>
    <x v="6"/>
  </r>
  <r>
    <n v="367668"/>
    <x v="16"/>
    <n v="47568"/>
    <x v="7"/>
    <s v="Работа"/>
    <d v="2025-01-09T00:00:00"/>
    <n v="3"/>
    <n v="3"/>
    <s v="#1196"/>
    <d v="2025-01-09T00:00:00"/>
    <m/>
    <n v="2231.2373227941175"/>
    <n v="6693.711968382353"/>
    <x v="6"/>
  </r>
  <r>
    <n v="367669"/>
    <x v="16"/>
    <n v="47572"/>
    <x v="7"/>
    <s v="Работа"/>
    <d v="2025-01-09T00:00:00"/>
    <n v="5"/>
    <n v="5"/>
    <s v="разные технические обсуждения"/>
    <d v="2025-01-09T00:00:00"/>
    <m/>
    <n v="2231.2373227941175"/>
    <n v="11156.186613970587"/>
    <x v="6"/>
  </r>
  <r>
    <n v="394045"/>
    <x v="16"/>
    <n v="52114"/>
    <x v="5"/>
    <s v="Работа"/>
    <d v="2025-01-09T00:00:00"/>
    <n v="8"/>
    <n v="8"/>
    <s v="TestFlow"/>
    <d v="2025-03-21T00:00:00"/>
    <m/>
    <n v="371.87288676470587"/>
    <n v="2974.9830941176469"/>
    <x v="6"/>
  </r>
  <r>
    <n v="368031"/>
    <x v="16"/>
    <n v="47539"/>
    <x v="18"/>
    <s v="Работа"/>
    <d v="2025-01-09T00:00:00"/>
    <n v="4"/>
    <n v="4"/>
    <s v="работа с вики"/>
    <d v="2025-01-10T00:00:00"/>
    <m/>
    <n v="929.68221764705879"/>
    <n v="3718.7288705882352"/>
    <x v="6"/>
  </r>
  <r>
    <n v="371145"/>
    <x v="16"/>
    <n v="47615"/>
    <x v="16"/>
    <s v="Работа"/>
    <d v="2025-01-09T00:00:00"/>
    <n v="8"/>
    <n v="8"/>
    <s v="Подробнее в Open Project"/>
    <d v="2025-01-20T00:00:00"/>
    <m/>
    <n v="1394.5233264705882"/>
    <n v="11156.186611764706"/>
    <x v="6"/>
  </r>
  <r>
    <n v="432259"/>
    <x v="25"/>
    <n v="49386"/>
    <x v="3"/>
    <s v="Работа"/>
    <d v="2025-01-05T00:00:00"/>
    <n v="136"/>
    <n v="136"/>
    <s v="R&amp;amp;D"/>
    <d v="2025-06-28T00:00:00"/>
    <m/>
    <n v="1208.5868830882353"/>
    <n v="164367.8161"/>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4F694EC-88B8-4B05-9DA9-EC735D0A5807}" name="TimeReportPivot" cacheId="6" applyNumberFormats="0" applyBorderFormats="0" applyFontFormats="0" applyPatternFormats="0" applyAlignmentFormats="0" applyWidthHeightFormats="1" dataCaption="Values" updatedVersion="8" minRefreshableVersion="3" showCalcMbrs="0" itemPrintTitles="1" createdVersion="3" indent="0" outline="1" outlineData="1" multipleFieldFilters="0" chartFormat="1">
  <location ref="A22:I171" firstHeaderRow="1" firstDataRow="2" firstDataCol="1"/>
  <pivotFields count="14">
    <pivotField showAll="0"/>
    <pivotField axis="axisRow" showAll="0">
      <items count="29">
        <item x="24"/>
        <item x="25"/>
        <item x="0"/>
        <item x="27"/>
        <item x="11"/>
        <item x="3"/>
        <item x="1"/>
        <item x="26"/>
        <item x="19"/>
        <item x="22"/>
        <item x="5"/>
        <item x="23"/>
        <item x="14"/>
        <item x="13"/>
        <item x="12"/>
        <item x="4"/>
        <item x="15"/>
        <item x="6"/>
        <item x="18"/>
        <item x="9"/>
        <item x="17"/>
        <item x="21"/>
        <item x="8"/>
        <item x="16"/>
        <item x="7"/>
        <item x="20"/>
        <item x="10"/>
        <item x="2"/>
        <item t="default"/>
      </items>
    </pivotField>
    <pivotField showAll="0"/>
    <pivotField axis="axisRow" showAll="0">
      <items count="21">
        <item x="9"/>
        <item x="15"/>
        <item x="19"/>
        <item x="18"/>
        <item x="4"/>
        <item x="6"/>
        <item x="1"/>
        <item x="17"/>
        <item x="2"/>
        <item x="16"/>
        <item x="11"/>
        <item x="10"/>
        <item x="7"/>
        <item x="3"/>
        <item x="5"/>
        <item x="12"/>
        <item x="13"/>
        <item x="0"/>
        <item x="8"/>
        <item x="14"/>
        <item t="default"/>
      </items>
    </pivotField>
    <pivotField showAll="0"/>
    <pivotField numFmtId="14" showAll="0"/>
    <pivotField showAll="0"/>
    <pivotField showAll="0"/>
    <pivotField showAll="0"/>
    <pivotField numFmtId="14" showAll="0"/>
    <pivotField showAll="0"/>
    <pivotField numFmtId="166" showAll="0"/>
    <pivotField dataField="1" numFmtId="166" showAll="0"/>
    <pivotField axis="axisCol" numFmtId="165" showAll="0">
      <items count="8">
        <item x="6"/>
        <item x="5"/>
        <item x="4"/>
        <item x="3"/>
        <item x="2"/>
        <item x="1"/>
        <item x="0"/>
        <item t="default"/>
      </items>
    </pivotField>
  </pivotFields>
  <rowFields count="2">
    <field x="3"/>
    <field x="1"/>
  </rowFields>
  <rowItems count="148">
    <i>
      <x/>
    </i>
    <i r="1">
      <x v="5"/>
    </i>
    <i r="1">
      <x v="6"/>
    </i>
    <i r="1">
      <x v="9"/>
    </i>
    <i r="1">
      <x v="10"/>
    </i>
    <i r="1">
      <x v="14"/>
    </i>
    <i r="1">
      <x v="15"/>
    </i>
    <i r="1">
      <x v="16"/>
    </i>
    <i r="1">
      <x v="17"/>
    </i>
    <i r="1">
      <x v="19"/>
    </i>
    <i r="1">
      <x v="20"/>
    </i>
    <i r="1">
      <x v="23"/>
    </i>
    <i r="1">
      <x v="24"/>
    </i>
    <i r="1">
      <x v="25"/>
    </i>
    <i r="1">
      <x v="27"/>
    </i>
    <i>
      <x v="1"/>
    </i>
    <i r="1">
      <x v="6"/>
    </i>
    <i r="1">
      <x v="10"/>
    </i>
    <i r="1">
      <x v="16"/>
    </i>
    <i r="1">
      <x v="17"/>
    </i>
    <i r="1">
      <x v="19"/>
    </i>
    <i r="1">
      <x v="23"/>
    </i>
    <i r="1">
      <x v="24"/>
    </i>
    <i r="1">
      <x v="27"/>
    </i>
    <i>
      <x v="2"/>
    </i>
    <i r="1">
      <x v="21"/>
    </i>
    <i r="1">
      <x v="27"/>
    </i>
    <i>
      <x v="3"/>
    </i>
    <i r="1">
      <x v="3"/>
    </i>
    <i r="1">
      <x v="21"/>
    </i>
    <i r="1">
      <x v="23"/>
    </i>
    <i>
      <x v="4"/>
    </i>
    <i r="1">
      <x v="6"/>
    </i>
    <i r="1">
      <x v="18"/>
    </i>
    <i r="1">
      <x v="22"/>
    </i>
    <i r="1">
      <x v="27"/>
    </i>
    <i>
      <x v="5"/>
    </i>
    <i r="1">
      <x v="2"/>
    </i>
    <i r="1">
      <x v="6"/>
    </i>
    <i r="1">
      <x v="17"/>
    </i>
    <i r="1">
      <x v="23"/>
    </i>
    <i r="1">
      <x v="27"/>
    </i>
    <i>
      <x v="6"/>
    </i>
    <i r="1">
      <x v="5"/>
    </i>
    <i r="1">
      <x v="6"/>
    </i>
    <i r="1">
      <x v="9"/>
    </i>
    <i r="1">
      <x v="19"/>
    </i>
    <i r="1">
      <x v="20"/>
    </i>
    <i r="1">
      <x v="22"/>
    </i>
    <i r="1">
      <x v="23"/>
    </i>
    <i r="1">
      <x v="25"/>
    </i>
    <i r="1">
      <x v="26"/>
    </i>
    <i r="1">
      <x v="27"/>
    </i>
    <i>
      <x v="7"/>
    </i>
    <i r="1">
      <x v="23"/>
    </i>
    <i r="1">
      <x v="25"/>
    </i>
    <i r="1">
      <x v="27"/>
    </i>
    <i>
      <x v="8"/>
    </i>
    <i r="1">
      <x v="2"/>
    </i>
    <i r="1">
      <x v="6"/>
    </i>
    <i r="1">
      <x v="9"/>
    </i>
    <i r="1">
      <x v="21"/>
    </i>
    <i r="1">
      <x v="22"/>
    </i>
    <i r="1">
      <x v="27"/>
    </i>
    <i>
      <x v="9"/>
    </i>
    <i r="1">
      <x v="5"/>
    </i>
    <i r="1">
      <x v="6"/>
    </i>
    <i r="1">
      <x v="9"/>
    </i>
    <i r="1">
      <x v="17"/>
    </i>
    <i r="1">
      <x v="18"/>
    </i>
    <i r="1">
      <x v="22"/>
    </i>
    <i r="1">
      <x v="23"/>
    </i>
    <i r="1">
      <x v="27"/>
    </i>
    <i>
      <x v="10"/>
    </i>
    <i r="1">
      <x v="6"/>
    </i>
    <i r="1">
      <x v="7"/>
    </i>
    <i r="1">
      <x v="17"/>
    </i>
    <i r="1">
      <x v="19"/>
    </i>
    <i r="1">
      <x v="27"/>
    </i>
    <i>
      <x v="11"/>
    </i>
    <i r="1">
      <x/>
    </i>
    <i r="1">
      <x v="1"/>
    </i>
    <i r="1">
      <x v="6"/>
    </i>
    <i r="1">
      <x v="8"/>
    </i>
    <i r="1">
      <x v="10"/>
    </i>
    <i r="1">
      <x v="11"/>
    </i>
    <i r="1">
      <x v="12"/>
    </i>
    <i r="1">
      <x v="13"/>
    </i>
    <i r="1">
      <x v="14"/>
    </i>
    <i r="1">
      <x v="15"/>
    </i>
    <i r="1">
      <x v="25"/>
    </i>
    <i r="1">
      <x v="27"/>
    </i>
    <i>
      <x v="12"/>
    </i>
    <i r="1">
      <x v="5"/>
    </i>
    <i r="1">
      <x v="6"/>
    </i>
    <i r="1">
      <x v="9"/>
    </i>
    <i r="1">
      <x v="20"/>
    </i>
    <i r="1">
      <x v="23"/>
    </i>
    <i r="1">
      <x v="24"/>
    </i>
    <i r="1">
      <x v="27"/>
    </i>
    <i>
      <x v="13"/>
    </i>
    <i r="1">
      <x/>
    </i>
    <i r="1">
      <x v="1"/>
    </i>
    <i r="1">
      <x v="4"/>
    </i>
    <i r="1">
      <x v="6"/>
    </i>
    <i r="1">
      <x v="8"/>
    </i>
    <i r="1">
      <x v="10"/>
    </i>
    <i r="1">
      <x v="15"/>
    </i>
    <i r="1">
      <x v="17"/>
    </i>
    <i r="1">
      <x v="27"/>
    </i>
    <i>
      <x v="14"/>
    </i>
    <i r="1">
      <x v="1"/>
    </i>
    <i r="1">
      <x v="6"/>
    </i>
    <i r="1">
      <x v="14"/>
    </i>
    <i r="1">
      <x v="15"/>
    </i>
    <i r="1">
      <x v="22"/>
    </i>
    <i r="1">
      <x v="23"/>
    </i>
    <i r="1">
      <x v="24"/>
    </i>
    <i r="1">
      <x v="27"/>
    </i>
    <i>
      <x v="15"/>
    </i>
    <i r="1">
      <x v="6"/>
    </i>
    <i r="1">
      <x v="17"/>
    </i>
    <i r="1">
      <x v="19"/>
    </i>
    <i r="1">
      <x v="23"/>
    </i>
    <i r="1">
      <x v="24"/>
    </i>
    <i>
      <x v="16"/>
    </i>
    <i r="1">
      <x v="6"/>
    </i>
    <i r="1">
      <x v="17"/>
    </i>
    <i r="1">
      <x v="23"/>
    </i>
    <i>
      <x v="17"/>
    </i>
    <i r="1">
      <x v="2"/>
    </i>
    <i r="1">
      <x v="5"/>
    </i>
    <i r="1">
      <x v="6"/>
    </i>
    <i r="1">
      <x v="19"/>
    </i>
    <i r="1">
      <x v="27"/>
    </i>
    <i>
      <x v="18"/>
    </i>
    <i r="1">
      <x v="6"/>
    </i>
    <i r="1">
      <x v="23"/>
    </i>
    <i r="1">
      <x v="24"/>
    </i>
    <i r="1">
      <x v="27"/>
    </i>
    <i>
      <x v="19"/>
    </i>
    <i r="1">
      <x v="6"/>
    </i>
    <i r="1">
      <x v="17"/>
    </i>
    <i r="1">
      <x v="23"/>
    </i>
    <i r="1">
      <x v="24"/>
    </i>
    <i r="1">
      <x v="26"/>
    </i>
    <i r="1">
      <x v="27"/>
    </i>
    <i t="grand">
      <x/>
    </i>
  </rowItems>
  <colFields count="1">
    <field x="13"/>
  </colFields>
  <colItems count="8">
    <i>
      <x/>
    </i>
    <i>
      <x v="1"/>
    </i>
    <i>
      <x v="2"/>
    </i>
    <i>
      <x v="3"/>
    </i>
    <i>
      <x v="4"/>
    </i>
    <i>
      <x v="5"/>
    </i>
    <i>
      <x v="6"/>
    </i>
    <i t="grand">
      <x/>
    </i>
  </colItems>
  <dataFields count="1">
    <dataField name="Итоговая стоимость" fld="12" baseField="0" baseItem="0" numFmtId="166"/>
  </dataFields>
  <chartFormats count="7">
    <chartFormat chart="0" format="0" series="1">
      <pivotArea type="data" outline="0" fieldPosition="0">
        <references count="2">
          <reference field="4294967294" count="1" selected="0">
            <x v="0"/>
          </reference>
          <reference field="13" count="1" selected="0">
            <x v="0"/>
          </reference>
        </references>
      </pivotArea>
    </chartFormat>
    <chartFormat chart="0" format="1" series="1">
      <pivotArea type="data" outline="0" fieldPosition="0">
        <references count="2">
          <reference field="4294967294" count="1" selected="0">
            <x v="0"/>
          </reference>
          <reference field="13" count="1" selected="0">
            <x v="1"/>
          </reference>
        </references>
      </pivotArea>
    </chartFormat>
    <chartFormat chart="0" format="2" series="1">
      <pivotArea type="data" outline="0" fieldPosition="0">
        <references count="2">
          <reference field="4294967294" count="1" selected="0">
            <x v="0"/>
          </reference>
          <reference field="13" count="1" selected="0">
            <x v="2"/>
          </reference>
        </references>
      </pivotArea>
    </chartFormat>
    <chartFormat chart="0" format="3" series="1">
      <pivotArea type="data" outline="0" fieldPosition="0">
        <references count="2">
          <reference field="4294967294" count="1" selected="0">
            <x v="0"/>
          </reference>
          <reference field="13" count="1" selected="0">
            <x v="3"/>
          </reference>
        </references>
      </pivotArea>
    </chartFormat>
    <chartFormat chart="0" format="4" series="1">
      <pivotArea type="data" outline="0" fieldPosition="0">
        <references count="2">
          <reference field="4294967294" count="1" selected="0">
            <x v="0"/>
          </reference>
          <reference field="13" count="1" selected="0">
            <x v="4"/>
          </reference>
        </references>
      </pivotArea>
    </chartFormat>
    <chartFormat chart="0" format="5" series="1">
      <pivotArea type="data" outline="0" fieldPosition="0">
        <references count="2">
          <reference field="4294967294" count="1" selected="0">
            <x v="0"/>
          </reference>
          <reference field="13" count="1" selected="0">
            <x v="5"/>
          </reference>
        </references>
      </pivotArea>
    </chartFormat>
    <chartFormat chart="0" format="6" series="1">
      <pivotArea type="data" outline="0" fieldPosition="0">
        <references count="2">
          <reference field="4294967294" count="1" selected="0">
            <x v="0"/>
          </reference>
          <reference field="13" count="1" selected="0">
            <x v="6"/>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ject_Name1" xr10:uid="{19DFC49B-9213-47EA-9EC7-CDCADDE51539}" sourceName="Project Name">
  <pivotTables>
    <pivotTable tabId="882" name="TimeReportPivot"/>
  </pivotTables>
  <data>
    <tabular pivotCacheId="1616424191">
      <items count="28">
        <i x="24" s="1"/>
        <i x="25" s="1"/>
        <i x="0" s="1"/>
        <i x="27" s="1"/>
        <i x="11" s="1"/>
        <i x="3" s="1"/>
        <i x="1" s="1"/>
        <i x="26" s="1"/>
        <i x="19" s="1"/>
        <i x="22" s="1"/>
        <i x="5" s="1"/>
        <i x="23" s="1"/>
        <i x="14" s="1"/>
        <i x="13" s="1"/>
        <i x="12" s="1"/>
        <i x="4" s="1"/>
        <i x="15" s="1"/>
        <i x="6" s="1"/>
        <i x="18" s="1"/>
        <i x="9" s="1"/>
        <i x="17" s="1"/>
        <i x="21" s="1"/>
        <i x="8" s="1"/>
        <i x="16" s="1"/>
        <i x="7" s="1"/>
        <i x="20" s="1"/>
        <i x="10"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ser_Name1" xr10:uid="{3699CE79-DFD6-4392-854A-EB37AF3D6C1B}" sourceName="User Name">
  <pivotTables>
    <pivotTable tabId="882" name="TimeReportPivot"/>
  </pivotTables>
  <data>
    <tabular pivotCacheId="1616424191">
      <items count="20">
        <i x="9" s="1"/>
        <i x="15" s="1"/>
        <i x="19" s="1"/>
        <i x="18" s="1"/>
        <i x="4" s="1"/>
        <i x="6" s="1"/>
        <i x="1" s="1"/>
        <i x="17" s="1"/>
        <i x="2" s="1"/>
        <i x="16" s="1"/>
        <i x="11" s="1"/>
        <i x="10" s="1"/>
        <i x="7" s="1"/>
        <i x="3" s="1"/>
        <i x="5" s="1"/>
        <i x="12" s="1"/>
        <i x="13" s="1"/>
        <i x="0" s="1"/>
        <i x="8" s="1"/>
        <i x="14"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portMonth1" xr10:uid="{A52F68F1-1D7F-413D-ABA8-38A0E1FCF559}" sourceName="ReportMonth">
  <pivotTables>
    <pivotTable tabId="882" name="TimeReportPivot"/>
  </pivotTables>
  <data>
    <tabular pivotCacheId="1616424191">
      <items count="7">
        <i x="6" s="1"/>
        <i x="5" s="1"/>
        <i x="4" s="1"/>
        <i x="3" s="1"/>
        <i x="2" s="1"/>
        <i x="1" s="1"/>
        <i x="0"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ser_Name2" xr10:uid="{1DBE15AC-5BF2-49BC-9A79-F5688EC19210}" sourceName="User Name">
  <extLst>
    <x:ext xmlns:x15="http://schemas.microsoft.com/office/spreadsheetml/2010/11/main" uri="{2F2917AC-EB37-4324-AD4E-5DD8C200BD13}">
      <x15:tableSlicerCache tableId="10" column="1"/>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rtDate" xr10:uid="{997FDF46-02D3-460E-BBFD-D19EE6920D43}" sourceName="StartDate">
  <extLst>
    <x:ext xmlns:x15="http://schemas.microsoft.com/office/spreadsheetml/2010/11/main" uri="{2F2917AC-EB37-4324-AD4E-5DD8C200BD13}">
      <x15:tableSlicerCache tableId="10" column="5"/>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portMonth" xr10:uid="{7125D606-4AAA-4B12-A6BB-E6039C119039}" sourceName="ReportMonth">
  <extLst>
    <x:ext xmlns:x15="http://schemas.microsoft.com/office/spreadsheetml/2010/11/main" uri="{2F2917AC-EB37-4324-AD4E-5DD8C200BD13}">
      <x15:tableSlicerCache tableId="1" column="14"/>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ser_Name" xr10:uid="{AAE67013-569D-493A-A7AF-1E42ABE9E942}" sourceName="User Name">
  <extLst>
    <x:ext xmlns:x15="http://schemas.microsoft.com/office/spreadsheetml/2010/11/main" uri="{2F2917AC-EB37-4324-AD4E-5DD8C200BD13}">
      <x15:tableSlicerCache tableId="1" column="4"/>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ject_Name" xr10:uid="{E247400F-4985-4DCD-8984-50DB8B445E87}" sourceName="Project Name">
  <extLst>
    <x:ext xmlns:x15="http://schemas.microsoft.com/office/spreadsheetml/2010/11/main" uri="{2F2917AC-EB37-4324-AD4E-5DD8C200BD13}">
      <x15:tableSlicerCache tableId="1" column="2"/>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Проект" xr10:uid="{810C54A7-4847-448B-B024-44505696C81A}" sourceName="Проект">
  <extLst>
    <x:ext xmlns:x15="http://schemas.microsoft.com/office/spreadsheetml/2010/11/main" uri="{2F2917AC-EB37-4324-AD4E-5DD8C200BD13}">
      <x15:tableSlicerCache tableId="2" column="1"/>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jects" xr10:uid="{022856B6-3212-457E-AE89-2AA22DF6D8E7}" cache="Slicer_Project_Name1" caption="Фильтр по проектам" rowHeight="257175"/>
  <slicer name="Users" xr10:uid="{D25544A1-C893-45D4-B5C4-FACAF84D601F}" cache="Slicer_User_Name1" caption="Фильтр по пользователям" rowHeight="257175"/>
  <slicer name="Months" xr10:uid="{669A8600-A7A6-4280-8AA1-9DEC3C930B75}" cache="Slicer_ReportMonth1" caption="Фильтр по месяцам" rowHeight="257175"/>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Фильтр по проектам" xr10:uid="{626B853D-548C-4778-8E45-7B0DE66EA8B9}" cache="Slicer_Проект" caption="Фильтр по проектам" rowHeight="257175"/>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Filter by Month" xr10:uid="{CED9D6D0-09CD-4B81-89C6-B7243236B858}" cache="Slicer_ReportMonth" caption="Фильтр по месяцам" rowHeight="257175"/>
  <slicer name="Filter by User" xr10:uid="{FC6E8D03-B12B-4895-830E-23E7A5D55C0E}" cache="Slicer_User_Name" caption="Фильтр по пользователям" rowHeight="257175"/>
  <slicer name="Filter by Project" xr10:uid="{64078285-8F5F-41D0-A461-143AFE698C58}" cache="Slicer_Project_Name" caption="Фильтр по проектам" rowHeight="257175"/>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User Name" xr10:uid="{A2D77A5A-4FC7-448A-AF69-46860A49BC5A}" cache="Slicer_User_Name2" caption="User Name" rowHeight="257175"/>
  <slicer name="StartDate" xr10:uid="{871E2848-05B5-4D67-AE2E-E4DAFA8A7B66}" cache="Slicer_StartDate" caption="StartDate" rowHeight="25717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5B5CBC1-4C82-4343-8B78-1577B1B026E5}" name="MarginReportTable" displayName="MarginReportTable" ref="A1:E29" totalsRowShown="0" headerRowDxfId="2">
  <autoFilter ref="A1:E29" xr:uid="{85B5CBC1-4C82-4343-8B78-1577B1B026E5}"/>
  <sortState xmlns:xlrd2="http://schemas.microsoft.com/office/spreadsheetml/2017/richdata2" ref="A2:E29">
    <sortCondition ref="A1:A29"/>
  </sortState>
  <tableColumns count="5">
    <tableColumn id="1" xr3:uid="{F9DDF84C-37EF-4410-BF2D-76AB144A4495}" name="Проект"/>
    <tableColumn id="2" xr3:uid="{BA431450-4A4E-4259-AAE8-92E05409A829}" name="Себестоимость" dataDxfId="4"/>
    <tableColumn id="3" xr3:uid="{8E9CB6E2-C121-4BA5-8A57-55D191A6DDD6}" name="Цена проекта" dataDxfId="3"/>
    <tableColumn id="4" xr3:uid="{C5712AC8-9920-459B-83BE-F6FC826D12B8}" name="Маржа" dataDxfId="1">
      <calculatedColumnFormula>C2-B2</calculatedColumnFormula>
    </tableColumn>
    <tableColumn id="5" xr3:uid="{DC5FC243-F08D-40A6-A580-11B3697F4A2A}" name="% Маржа" dataDxfId="0">
      <calculatedColumnFormula>IFERROR(D2/C2,0)</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62657E8-EAC4-49E8-8C7E-CD3CE6A39146}" name="TimeEntriesTable" displayName="TimeEntriesTable" ref="A1:N1742" totalsRowShown="0" headerRowDxfId="8">
  <autoFilter ref="A1:N1742" xr:uid="{E62657E8-EAC4-49E8-8C7E-CD3CE6A39146}"/>
  <tableColumns count="14">
    <tableColumn id="1" xr3:uid="{6FCFA643-45AF-45DA-8A36-971B74BD0E7A}" name="Entry ID"/>
    <tableColumn id="2" xr3:uid="{5075B021-9766-4FF6-B047-62CE5610458A}" name="Project Name"/>
    <tableColumn id="3" xr3:uid="{C1555CC1-BA22-4620-9A6C-077146DB899B}" name="Issue ID"/>
    <tableColumn id="4" xr3:uid="{B78F2B99-7958-4637-B650-B35543B34F9B}" name="User Name"/>
    <tableColumn id="5" xr3:uid="{B6E381FF-33C1-41F7-ADF1-351310E9189E}" name="Activity"/>
    <tableColumn id="6" xr3:uid="{CB157D80-A67E-4DCB-AF72-D15CD388292E}" name="Date" dataDxfId="10"/>
    <tableColumn id="7" xr3:uid="{03FFE77D-9246-4044-9EC8-12B21A40F208}" name="Hours"/>
    <tableColumn id="8" xr3:uid="{18EDE834-5475-46D8-98A5-72A29DBF419F}" name="Paid hours"/>
    <tableColumn id="9" xr3:uid="{9F963533-7EBA-4A78-8603-2211B06D09D0}" name="Comments"/>
    <tableColumn id="10" xr3:uid="{04424C2F-1E6D-4A51-BB06-640F414A3908}" name="Created On" dataDxfId="9"/>
    <tableColumn id="11" xr3:uid="{79210F6B-D0F1-48FD-80D9-3919A0038EC3}" name="Action"/>
    <tableColumn id="12" xr3:uid="{7C51EEA4-FEF4-4C15-A63E-0D1725F128D4}" name="Rate" dataDxfId="7"/>
    <tableColumn id="13" xr3:uid="{5CB5DBB7-D071-4E7D-A0AC-2BC22426739C}" name="Cost" dataDxfId="5"/>
    <tableColumn id="14" xr3:uid="{82FD2880-4810-423B-AD44-A38C7BF31305}" name="ReportMonth" dataDxfId="6"/>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4CD28C9-2465-4681-8C12-044B4FF99F91}" name="RatesTable" displayName="RatesTable" ref="A2:D26" totalsRowShown="0">
  <autoFilter ref="A2:D26" xr:uid="{F4CD28C9-2465-4681-8C12-044B4FF99F91}"/>
  <sortState xmlns:xlrd2="http://schemas.microsoft.com/office/spreadsheetml/2017/richdata2" ref="A3:C26">
    <sortCondition ref="A2:A26"/>
  </sortState>
  <tableColumns count="4">
    <tableColumn id="1" xr3:uid="{D7C7B977-1F36-4C69-8A03-4A61B855A3EB}" name="User Name" dataDxfId="18"/>
    <tableColumn id="5" xr3:uid="{9A10FBDC-25A2-415F-9150-8EC130A825FA}" name="StartDate" dataDxfId="17"/>
    <tableColumn id="2" xr3:uid="{C2C5AD30-DCE1-4595-83DB-FAA157543771}" name="Gross per month" dataDxfId="16" dataCellStyle="Currency"/>
    <tableColumn id="3" xr3:uid="{A941A84A-CCB0-4A3C-913C-857883960EC5}" name="Rate" dataDxfId="15" dataCellStyle="Currency"/>
  </tableColumns>
  <tableStyleInfo name="TableStyleLight16"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B2BC257C-F46E-4CB0-AC71-57704E227C5C}" name="ProjectPricesTable" displayName="ProjectPricesTable" ref="C5:E32" totalsRowShown="0" dataDxfId="14">
  <autoFilter ref="C5:E32" xr:uid="{B2BC257C-F46E-4CB0-AC71-57704E227C5C}"/>
  <sortState xmlns:xlrd2="http://schemas.microsoft.com/office/spreadsheetml/2017/richdata2" ref="C6:D31">
    <sortCondition ref="C5:C31"/>
  </sortState>
  <tableColumns count="3">
    <tableColumn id="1" xr3:uid="{4B601C43-5826-4611-ABC2-49062CA8D6A0}" name="Project Name" dataDxfId="13"/>
    <tableColumn id="2" xr3:uid="{A1F96E45-9133-4D54-AEE8-0037DA1CD31C}" name="Project Price" dataDxfId="12" dataCellStyle="Currency"/>
    <tableColumn id="3" xr3:uid="{A60AE334-AEB4-4205-A02E-BCA12C164712}" name="Комментарий" dataDxfId="1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ivotTable" Target="../pivotTables/pivotTable1.xml"/><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table" Target="../tables/table1.x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table" Target="../tables/table2.x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1" Type="http://schemas.openxmlformats.org/officeDocument/2006/relationships/hyperlink" Target="https://easyredmine.awara.pro/" TargetMode="External"/></Relationships>
</file>

<file path=xl/worksheets/_rels/sheet8.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table" Target="../tables/table3.xml"/><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372AD2-F99E-45FE-8041-ABDF5740158B}">
  <sheetPr>
    <tabColor indexed="10"/>
  </sheetPr>
  <dimension ref="A22:I171"/>
  <sheetViews>
    <sheetView workbookViewId="0"/>
  </sheetViews>
  <sheetFormatPr defaultRowHeight="15" x14ac:dyDescent="0.25"/>
  <cols>
    <col min="1" max="1" width="36" bestFit="1" customWidth="1"/>
    <col min="2" max="2" width="16.85546875" bestFit="1" customWidth="1"/>
    <col min="3" max="8" width="13.7109375" bestFit="1" customWidth="1"/>
  </cols>
  <sheetData>
    <row r="22" spans="1:9" x14ac:dyDescent="0.25">
      <c r="A22" s="3" t="s">
        <v>1095</v>
      </c>
      <c r="B22" s="3" t="s">
        <v>236</v>
      </c>
    </row>
    <row r="23" spans="1:9" x14ac:dyDescent="0.25">
      <c r="A23" s="3" t="s">
        <v>237</v>
      </c>
      <c r="B23" s="15">
        <v>45658</v>
      </c>
      <c r="C23" s="15">
        <v>45689</v>
      </c>
      <c r="D23" s="15">
        <v>45717</v>
      </c>
      <c r="E23" s="15">
        <v>45748</v>
      </c>
      <c r="F23" s="15">
        <v>45778</v>
      </c>
      <c r="G23" s="15">
        <v>45809</v>
      </c>
      <c r="H23" s="15">
        <v>45839</v>
      </c>
      <c r="I23" s="15" t="s">
        <v>238</v>
      </c>
    </row>
    <row r="24" spans="1:9" x14ac:dyDescent="0.25">
      <c r="A24" s="4" t="s">
        <v>33</v>
      </c>
      <c r="B24" s="29">
        <v>252873.56320000003</v>
      </c>
      <c r="C24" s="29">
        <v>252873.56319999998</v>
      </c>
      <c r="D24" s="29">
        <v>252873.56319999998</v>
      </c>
      <c r="E24" s="29">
        <v>252873.5632</v>
      </c>
      <c r="F24" s="29">
        <v>316091.95400000003</v>
      </c>
      <c r="G24" s="29">
        <v>324410.16331578948</v>
      </c>
      <c r="H24" s="29">
        <v>316091.95400000003</v>
      </c>
      <c r="I24" s="29">
        <v>1968088.3241157895</v>
      </c>
    </row>
    <row r="25" spans="1:9" x14ac:dyDescent="0.25">
      <c r="A25" s="35" t="s">
        <v>34</v>
      </c>
      <c r="B25" s="29"/>
      <c r="C25" s="29">
        <v>31609.195399999997</v>
      </c>
      <c r="D25" s="29">
        <v>22577.996714285713</v>
      </c>
      <c r="E25" s="29">
        <v>28735.632181818182</v>
      </c>
      <c r="F25" s="29">
        <v>37316.411236111118</v>
      </c>
      <c r="G25" s="29">
        <v>29113.732605263158</v>
      </c>
      <c r="H25" s="29">
        <v>10307.346326086958</v>
      </c>
      <c r="I25" s="29">
        <v>159660.31446356513</v>
      </c>
    </row>
    <row r="26" spans="1:9" x14ac:dyDescent="0.25">
      <c r="A26" s="35" t="s">
        <v>31</v>
      </c>
      <c r="B26" s="29"/>
      <c r="C26" s="29">
        <v>47413.793099999995</v>
      </c>
      <c r="D26" s="29">
        <v>37629.994523809524</v>
      </c>
      <c r="E26" s="29">
        <v>57471.264363636365</v>
      </c>
      <c r="F26" s="29">
        <v>96583.652611111116</v>
      </c>
      <c r="G26" s="29"/>
      <c r="H26" s="29">
        <v>48100.949521739138</v>
      </c>
      <c r="I26" s="29">
        <v>287199.65412029612</v>
      </c>
    </row>
    <row r="27" spans="1:9" x14ac:dyDescent="0.25">
      <c r="A27" s="35" t="s">
        <v>60</v>
      </c>
      <c r="B27" s="29"/>
      <c r="C27" s="29"/>
      <c r="D27" s="29">
        <v>25588.396276190477</v>
      </c>
      <c r="E27" s="29"/>
      <c r="F27" s="29"/>
      <c r="G27" s="29"/>
      <c r="H27" s="29"/>
      <c r="I27" s="29">
        <v>25588.396276190477</v>
      </c>
    </row>
    <row r="28" spans="1:9" x14ac:dyDescent="0.25">
      <c r="A28" s="35" t="s">
        <v>952</v>
      </c>
      <c r="B28" s="29"/>
      <c r="C28" s="29"/>
      <c r="D28" s="29"/>
      <c r="E28" s="29"/>
      <c r="F28" s="29">
        <v>88900.862062500004</v>
      </c>
      <c r="G28" s="29"/>
      <c r="H28" s="29"/>
      <c r="I28" s="29">
        <v>88900.862062500004</v>
      </c>
    </row>
    <row r="29" spans="1:9" x14ac:dyDescent="0.25">
      <c r="A29" s="35" t="s">
        <v>955</v>
      </c>
      <c r="B29" s="29"/>
      <c r="C29" s="29"/>
      <c r="D29" s="29"/>
      <c r="E29" s="29"/>
      <c r="F29" s="29"/>
      <c r="G29" s="29">
        <v>76943.436171052628</v>
      </c>
      <c r="H29" s="29"/>
      <c r="I29" s="29">
        <v>76943.436171052628</v>
      </c>
    </row>
    <row r="30" spans="1:9" x14ac:dyDescent="0.25">
      <c r="A30" s="35" t="s">
        <v>956</v>
      </c>
      <c r="B30" s="29"/>
      <c r="C30" s="29"/>
      <c r="D30" s="29"/>
      <c r="E30" s="29"/>
      <c r="F30" s="29"/>
      <c r="G30" s="29">
        <v>158045.97700000001</v>
      </c>
      <c r="H30" s="29">
        <v>130559.72013043483</v>
      </c>
      <c r="I30" s="29">
        <v>288605.69713043486</v>
      </c>
    </row>
    <row r="31" spans="1:9" x14ac:dyDescent="0.25">
      <c r="A31" s="35" t="s">
        <v>1011</v>
      </c>
      <c r="B31" s="29"/>
      <c r="C31" s="29"/>
      <c r="D31" s="29">
        <v>15051.997809523809</v>
      </c>
      <c r="E31" s="29">
        <v>17959.770113636368</v>
      </c>
      <c r="F31" s="29">
        <v>6585.2490416666678</v>
      </c>
      <c r="G31" s="29"/>
      <c r="H31" s="29"/>
      <c r="I31" s="29">
        <v>39597.016964826849</v>
      </c>
    </row>
    <row r="32" spans="1:9" x14ac:dyDescent="0.25">
      <c r="A32" s="35" t="s">
        <v>23</v>
      </c>
      <c r="B32" s="29"/>
      <c r="C32" s="29"/>
      <c r="D32" s="29"/>
      <c r="E32" s="29"/>
      <c r="F32" s="29">
        <v>49389.367812500008</v>
      </c>
      <c r="G32" s="29">
        <v>54068.360552631581</v>
      </c>
      <c r="H32" s="29">
        <v>13743.128434782609</v>
      </c>
      <c r="I32" s="29">
        <v>117200.85679991421</v>
      </c>
    </row>
    <row r="33" spans="1:9" x14ac:dyDescent="0.25">
      <c r="A33" s="35" t="s">
        <v>28</v>
      </c>
      <c r="B33" s="29"/>
      <c r="C33" s="29">
        <v>34770.114939999999</v>
      </c>
      <c r="D33" s="29">
        <v>39135.194304761906</v>
      </c>
      <c r="E33" s="29">
        <v>10057.471263636364</v>
      </c>
      <c r="F33" s="29">
        <v>2195.0830138888891</v>
      </c>
      <c r="G33" s="29">
        <v>6238.6569868421057</v>
      </c>
      <c r="H33" s="29">
        <v>5153.6731630434788</v>
      </c>
      <c r="I33" s="29">
        <v>97550.193672172754</v>
      </c>
    </row>
    <row r="34" spans="1:9" x14ac:dyDescent="0.25">
      <c r="A34" s="35" t="s">
        <v>48</v>
      </c>
      <c r="B34" s="29"/>
      <c r="C34" s="29"/>
      <c r="D34" s="29"/>
      <c r="E34" s="29">
        <v>100574.71263636363</v>
      </c>
      <c r="F34" s="29"/>
      <c r="G34" s="29"/>
      <c r="H34" s="29"/>
      <c r="I34" s="29">
        <v>100574.71263636363</v>
      </c>
    </row>
    <row r="35" spans="1:9" x14ac:dyDescent="0.25">
      <c r="A35" s="35" t="s">
        <v>35</v>
      </c>
      <c r="B35" s="29">
        <v>165483.43474117649</v>
      </c>
      <c r="C35" s="29">
        <v>139080.45976</v>
      </c>
      <c r="D35" s="29">
        <v>57197.591676190474</v>
      </c>
      <c r="E35" s="29">
        <v>38074.712640909092</v>
      </c>
      <c r="F35" s="29"/>
      <c r="G35" s="29"/>
      <c r="H35" s="29"/>
      <c r="I35" s="29">
        <v>399836.19881827605</v>
      </c>
    </row>
    <row r="36" spans="1:9" x14ac:dyDescent="0.25">
      <c r="A36" s="35" t="s">
        <v>273</v>
      </c>
      <c r="B36" s="29"/>
      <c r="C36" s="29"/>
      <c r="D36" s="29"/>
      <c r="E36" s="29"/>
      <c r="F36" s="29"/>
      <c r="G36" s="29"/>
      <c r="H36" s="29">
        <v>39511.494250000003</v>
      </c>
      <c r="I36" s="29">
        <v>39511.494250000003</v>
      </c>
    </row>
    <row r="37" spans="1:9" x14ac:dyDescent="0.25">
      <c r="A37" s="35" t="s">
        <v>254</v>
      </c>
      <c r="B37" s="29">
        <v>87390.128458823528</v>
      </c>
      <c r="C37" s="29"/>
      <c r="D37" s="29">
        <v>55692.391895238092</v>
      </c>
      <c r="E37" s="29"/>
      <c r="F37" s="29"/>
      <c r="G37" s="29"/>
      <c r="H37" s="29"/>
      <c r="I37" s="29">
        <v>143082.52035406162</v>
      </c>
    </row>
    <row r="38" spans="1:9" x14ac:dyDescent="0.25">
      <c r="A38" s="35" t="s">
        <v>18</v>
      </c>
      <c r="B38" s="29"/>
      <c r="C38" s="29"/>
      <c r="D38" s="29"/>
      <c r="E38" s="29"/>
      <c r="F38" s="29">
        <v>35121.328222222226</v>
      </c>
      <c r="G38" s="29"/>
      <c r="H38" s="29">
        <v>68715.642173913046</v>
      </c>
      <c r="I38" s="29">
        <v>103836.97039613526</v>
      </c>
    </row>
    <row r="39" spans="1:9" x14ac:dyDescent="0.25">
      <c r="A39" s="4" t="s">
        <v>43</v>
      </c>
      <c r="B39" s="29">
        <v>63218.390799999994</v>
      </c>
      <c r="C39" s="29">
        <v>63218.390800000001</v>
      </c>
      <c r="D39" s="29">
        <v>63218.390800000001</v>
      </c>
      <c r="E39" s="29">
        <v>63218.390800000008</v>
      </c>
      <c r="F39" s="29">
        <v>63218.390800000001</v>
      </c>
      <c r="G39" s="29">
        <v>29945.553536842104</v>
      </c>
      <c r="H39" s="29">
        <v>63218.390799999994</v>
      </c>
      <c r="I39" s="29">
        <v>409255.89833684207</v>
      </c>
    </row>
    <row r="40" spans="1:9" x14ac:dyDescent="0.25">
      <c r="A40" s="35" t="s">
        <v>31</v>
      </c>
      <c r="B40" s="29"/>
      <c r="C40" s="29"/>
      <c r="D40" s="29"/>
      <c r="E40" s="29"/>
      <c r="F40" s="29"/>
      <c r="G40" s="29"/>
      <c r="H40" s="29">
        <v>2748.6256869565218</v>
      </c>
      <c r="I40" s="29">
        <v>2748.6256869565218</v>
      </c>
    </row>
    <row r="41" spans="1:9" x14ac:dyDescent="0.25">
      <c r="A41" s="35" t="s">
        <v>952</v>
      </c>
      <c r="B41" s="29"/>
      <c r="C41" s="29"/>
      <c r="D41" s="29">
        <v>3010.3995619047619</v>
      </c>
      <c r="E41" s="29">
        <v>10416.666665909092</v>
      </c>
      <c r="F41" s="29"/>
      <c r="G41" s="29"/>
      <c r="H41" s="29"/>
      <c r="I41" s="29">
        <v>13427.066227813853</v>
      </c>
    </row>
    <row r="42" spans="1:9" x14ac:dyDescent="0.25">
      <c r="A42" s="35" t="s">
        <v>1011</v>
      </c>
      <c r="B42" s="29"/>
      <c r="C42" s="29"/>
      <c r="D42" s="29">
        <v>9031.1986857142856</v>
      </c>
      <c r="E42" s="29">
        <v>1077.5862068181818</v>
      </c>
      <c r="F42" s="29"/>
      <c r="G42" s="29"/>
      <c r="H42" s="29"/>
      <c r="I42" s="29">
        <v>10108.784892532467</v>
      </c>
    </row>
    <row r="43" spans="1:9" x14ac:dyDescent="0.25">
      <c r="A43" s="35" t="s">
        <v>23</v>
      </c>
      <c r="B43" s="29"/>
      <c r="C43" s="29"/>
      <c r="D43" s="29"/>
      <c r="E43" s="29"/>
      <c r="F43" s="29">
        <v>45657.726688888892</v>
      </c>
      <c r="G43" s="29">
        <v>16636.418631578948</v>
      </c>
      <c r="H43" s="29"/>
      <c r="I43" s="29">
        <v>62294.14532046784</v>
      </c>
    </row>
    <row r="44" spans="1:9" x14ac:dyDescent="0.25">
      <c r="A44" s="35" t="s">
        <v>28</v>
      </c>
      <c r="B44" s="29"/>
      <c r="C44" s="29"/>
      <c r="D44" s="29"/>
      <c r="E44" s="29"/>
      <c r="F44" s="29">
        <v>10536.398466666667</v>
      </c>
      <c r="G44" s="29"/>
      <c r="H44" s="29"/>
      <c r="I44" s="29">
        <v>10536.398466666667</v>
      </c>
    </row>
    <row r="45" spans="1:9" x14ac:dyDescent="0.25">
      <c r="A45" s="35" t="s">
        <v>35</v>
      </c>
      <c r="B45" s="29">
        <v>39046.653141176466</v>
      </c>
      <c r="C45" s="29">
        <v>44252.87356</v>
      </c>
      <c r="D45" s="29">
        <v>12041.598247619047</v>
      </c>
      <c r="E45" s="29">
        <v>25862.068963636364</v>
      </c>
      <c r="F45" s="29"/>
      <c r="G45" s="29"/>
      <c r="H45" s="29"/>
      <c r="I45" s="29">
        <v>121203.19391243187</v>
      </c>
    </row>
    <row r="46" spans="1:9" x14ac:dyDescent="0.25">
      <c r="A46" s="35" t="s">
        <v>273</v>
      </c>
      <c r="B46" s="29"/>
      <c r="C46" s="29"/>
      <c r="D46" s="29"/>
      <c r="E46" s="29"/>
      <c r="F46" s="29"/>
      <c r="G46" s="29"/>
      <c r="H46" s="29">
        <v>52223.888052173912</v>
      </c>
      <c r="I46" s="29">
        <v>52223.888052173912</v>
      </c>
    </row>
    <row r="47" spans="1:9" x14ac:dyDescent="0.25">
      <c r="A47" s="35" t="s">
        <v>18</v>
      </c>
      <c r="B47" s="29">
        <v>24171.737658823527</v>
      </c>
      <c r="C47" s="29">
        <v>18965.517240000001</v>
      </c>
      <c r="D47" s="29">
        <v>39135.194304761906</v>
      </c>
      <c r="E47" s="29">
        <v>25862.068963636364</v>
      </c>
      <c r="F47" s="29">
        <v>7024.2656444444447</v>
      </c>
      <c r="G47" s="29">
        <v>13309.134905263158</v>
      </c>
      <c r="H47" s="29">
        <v>8245.877060869565</v>
      </c>
      <c r="I47" s="29">
        <v>136713.79577779898</v>
      </c>
    </row>
    <row r="48" spans="1:9" x14ac:dyDescent="0.25">
      <c r="A48" s="4" t="s">
        <v>256</v>
      </c>
      <c r="B48" s="29">
        <v>140567.95132941176</v>
      </c>
      <c r="C48" s="29"/>
      <c r="D48" s="29"/>
      <c r="E48" s="29"/>
      <c r="F48" s="29"/>
      <c r="G48" s="29"/>
      <c r="H48" s="29"/>
      <c r="I48" s="29">
        <v>140567.95132941176</v>
      </c>
    </row>
    <row r="49" spans="1:9" x14ac:dyDescent="0.25">
      <c r="A49" s="35" t="s">
        <v>38</v>
      </c>
      <c r="B49" s="29">
        <v>62474.645035294117</v>
      </c>
      <c r="C49" s="29"/>
      <c r="D49" s="29"/>
      <c r="E49" s="29"/>
      <c r="F49" s="29"/>
      <c r="G49" s="29"/>
      <c r="H49" s="29"/>
      <c r="I49" s="29">
        <v>62474.645035294117</v>
      </c>
    </row>
    <row r="50" spans="1:9" x14ac:dyDescent="0.25">
      <c r="A50" s="35" t="s">
        <v>18</v>
      </c>
      <c r="B50" s="29">
        <v>78093.306294117647</v>
      </c>
      <c r="C50" s="29"/>
      <c r="D50" s="29"/>
      <c r="E50" s="29"/>
      <c r="F50" s="29"/>
      <c r="G50" s="29"/>
      <c r="H50" s="29"/>
      <c r="I50" s="29">
        <v>78093.306294117647</v>
      </c>
    </row>
    <row r="51" spans="1:9" x14ac:dyDescent="0.25">
      <c r="A51" s="4" t="s">
        <v>231</v>
      </c>
      <c r="B51" s="29">
        <v>118069.64164117648</v>
      </c>
      <c r="C51" s="29"/>
      <c r="D51" s="29"/>
      <c r="E51" s="29"/>
      <c r="F51" s="29"/>
      <c r="G51" s="29"/>
      <c r="H51" s="29"/>
      <c r="I51" s="29">
        <v>118069.64164117648</v>
      </c>
    </row>
    <row r="52" spans="1:9" x14ac:dyDescent="0.25">
      <c r="A52" s="35" t="s">
        <v>258</v>
      </c>
      <c r="B52" s="29">
        <v>30679.513182352945</v>
      </c>
      <c r="C52" s="29"/>
      <c r="D52" s="29"/>
      <c r="E52" s="29"/>
      <c r="F52" s="29"/>
      <c r="G52" s="29"/>
      <c r="H52" s="29"/>
      <c r="I52" s="29">
        <v>30679.513182352945</v>
      </c>
    </row>
    <row r="53" spans="1:9" x14ac:dyDescent="0.25">
      <c r="A53" s="35" t="s">
        <v>38</v>
      </c>
      <c r="B53" s="29">
        <v>14874.915482352941</v>
      </c>
      <c r="C53" s="29"/>
      <c r="D53" s="29"/>
      <c r="E53" s="29"/>
      <c r="F53" s="29"/>
      <c r="G53" s="29"/>
      <c r="H53" s="29"/>
      <c r="I53" s="29">
        <v>14874.915482352941</v>
      </c>
    </row>
    <row r="54" spans="1:9" x14ac:dyDescent="0.25">
      <c r="A54" s="35" t="s">
        <v>35</v>
      </c>
      <c r="B54" s="29">
        <v>72515.212976470604</v>
      </c>
      <c r="C54" s="29"/>
      <c r="D54" s="29"/>
      <c r="E54" s="29"/>
      <c r="F54" s="29"/>
      <c r="G54" s="29"/>
      <c r="H54" s="29"/>
      <c r="I54" s="29">
        <v>72515.212976470604</v>
      </c>
    </row>
    <row r="55" spans="1:9" x14ac:dyDescent="0.25">
      <c r="A55" s="4" t="s">
        <v>49</v>
      </c>
      <c r="B55" s="29"/>
      <c r="C55" s="29"/>
      <c r="D55" s="29">
        <v>81280.788171428576</v>
      </c>
      <c r="E55" s="29">
        <v>189655.17240000001</v>
      </c>
      <c r="F55" s="29">
        <v>189655.17240000001</v>
      </c>
      <c r="G55" s="29">
        <v>189655.17240000001</v>
      </c>
      <c r="H55" s="29">
        <v>189655.17239999998</v>
      </c>
      <c r="I55" s="29">
        <v>839901.47777142865</v>
      </c>
    </row>
    <row r="56" spans="1:9" x14ac:dyDescent="0.25">
      <c r="A56" s="35" t="s">
        <v>31</v>
      </c>
      <c r="B56" s="29"/>
      <c r="C56" s="29"/>
      <c r="D56" s="29"/>
      <c r="E56" s="29">
        <v>68965.517236363637</v>
      </c>
      <c r="F56" s="29">
        <v>21072.796933333335</v>
      </c>
      <c r="G56" s="29">
        <v>19963.702357894737</v>
      </c>
      <c r="H56" s="29">
        <v>16491.75412173913</v>
      </c>
      <c r="I56" s="29">
        <v>126493.77064933084</v>
      </c>
    </row>
    <row r="57" spans="1:9" x14ac:dyDescent="0.25">
      <c r="A57" s="35" t="s">
        <v>47</v>
      </c>
      <c r="B57" s="29"/>
      <c r="C57" s="29"/>
      <c r="D57" s="29">
        <v>81280.788171428576</v>
      </c>
      <c r="E57" s="29">
        <v>120689.65516363637</v>
      </c>
      <c r="F57" s="29"/>
      <c r="G57" s="29"/>
      <c r="H57" s="29"/>
      <c r="I57" s="29">
        <v>201970.44333506495</v>
      </c>
    </row>
    <row r="58" spans="1:9" x14ac:dyDescent="0.25">
      <c r="A58" s="35" t="s">
        <v>24</v>
      </c>
      <c r="B58" s="29"/>
      <c r="C58" s="29"/>
      <c r="D58" s="29"/>
      <c r="E58" s="29"/>
      <c r="F58" s="29">
        <v>168582.37546666668</v>
      </c>
      <c r="G58" s="29">
        <v>169691.47004210527</v>
      </c>
      <c r="H58" s="29">
        <v>107196.40179130435</v>
      </c>
      <c r="I58" s="29">
        <v>445470.2473000763</v>
      </c>
    </row>
    <row r="59" spans="1:9" x14ac:dyDescent="0.25">
      <c r="A59" s="35" t="s">
        <v>18</v>
      </c>
      <c r="B59" s="29"/>
      <c r="C59" s="29"/>
      <c r="D59" s="29"/>
      <c r="E59" s="29"/>
      <c r="F59" s="29"/>
      <c r="G59" s="29"/>
      <c r="H59" s="29">
        <v>65967.01648695652</v>
      </c>
      <c r="I59" s="29">
        <v>65967.01648695652</v>
      </c>
    </row>
    <row r="60" spans="1:9" x14ac:dyDescent="0.25">
      <c r="A60" s="4" t="s">
        <v>30</v>
      </c>
      <c r="B60" s="29">
        <v>101149.4253</v>
      </c>
      <c r="C60" s="29">
        <v>101149.4253</v>
      </c>
      <c r="D60" s="29">
        <v>101149.42529999999</v>
      </c>
      <c r="E60" s="29">
        <v>101149.4253</v>
      </c>
      <c r="F60" s="29">
        <v>151724.1379</v>
      </c>
      <c r="G60" s="29">
        <v>151724.1379</v>
      </c>
      <c r="H60" s="29">
        <v>151724.13789999997</v>
      </c>
      <c r="I60" s="29">
        <v>859770.11489999993</v>
      </c>
    </row>
    <row r="61" spans="1:9" x14ac:dyDescent="0.25">
      <c r="A61" s="35" t="s">
        <v>29</v>
      </c>
      <c r="B61" s="29"/>
      <c r="C61" s="29"/>
      <c r="D61" s="29">
        <v>4816.6392999999998</v>
      </c>
      <c r="E61" s="29">
        <v>41379.31035</v>
      </c>
      <c r="F61" s="29">
        <v>134865.90035555555</v>
      </c>
      <c r="G61" s="29"/>
      <c r="H61" s="29"/>
      <c r="I61" s="29">
        <v>181061.85000555555</v>
      </c>
    </row>
    <row r="62" spans="1:9" x14ac:dyDescent="0.25">
      <c r="A62" s="35" t="s">
        <v>31</v>
      </c>
      <c r="B62" s="29"/>
      <c r="C62" s="29"/>
      <c r="D62" s="29"/>
      <c r="E62" s="29"/>
      <c r="F62" s="29">
        <v>16858.237544444444</v>
      </c>
      <c r="G62" s="29">
        <v>151724.1379</v>
      </c>
      <c r="H62" s="29">
        <v>46176.911534782601</v>
      </c>
      <c r="I62" s="29">
        <v>214759.28697922704</v>
      </c>
    </row>
    <row r="63" spans="1:9" x14ac:dyDescent="0.25">
      <c r="A63" s="35" t="s">
        <v>23</v>
      </c>
      <c r="B63" s="29"/>
      <c r="C63" s="29"/>
      <c r="D63" s="29"/>
      <c r="E63" s="29"/>
      <c r="F63" s="29"/>
      <c r="G63" s="29"/>
      <c r="H63" s="29">
        <v>32983.508239130431</v>
      </c>
      <c r="I63" s="29">
        <v>32983.508239130431</v>
      </c>
    </row>
    <row r="64" spans="1:9" x14ac:dyDescent="0.25">
      <c r="A64" s="35" t="s">
        <v>35</v>
      </c>
      <c r="B64" s="29">
        <v>101149.4253</v>
      </c>
      <c r="C64" s="29">
        <v>101149.4253</v>
      </c>
      <c r="D64" s="29">
        <v>96332.785999999993</v>
      </c>
      <c r="E64" s="29">
        <v>59770.114950000003</v>
      </c>
      <c r="F64" s="29"/>
      <c r="G64" s="29"/>
      <c r="H64" s="29"/>
      <c r="I64" s="29">
        <v>358401.75154999999</v>
      </c>
    </row>
    <row r="65" spans="1:9" x14ac:dyDescent="0.25">
      <c r="A65" s="35" t="s">
        <v>18</v>
      </c>
      <c r="B65" s="29"/>
      <c r="C65" s="29"/>
      <c r="D65" s="29"/>
      <c r="E65" s="29"/>
      <c r="F65" s="29"/>
      <c r="G65" s="29"/>
      <c r="H65" s="29">
        <v>72563.718126086955</v>
      </c>
      <c r="I65" s="29">
        <v>72563.718126086955</v>
      </c>
    </row>
    <row r="66" spans="1:9" x14ac:dyDescent="0.25">
      <c r="A66" s="4" t="s">
        <v>32</v>
      </c>
      <c r="B66" s="29">
        <v>316091.95399999997</v>
      </c>
      <c r="C66" s="29">
        <v>316091.95400000003</v>
      </c>
      <c r="D66" s="29">
        <v>379310.34480000002</v>
      </c>
      <c r="E66" s="29">
        <v>381465.51721363631</v>
      </c>
      <c r="F66" s="29">
        <v>379310.34480000002</v>
      </c>
      <c r="G66" s="29">
        <v>300703.26676578948</v>
      </c>
      <c r="H66" s="29">
        <v>379310.34480000002</v>
      </c>
      <c r="I66" s="29">
        <v>2452283.7263794262</v>
      </c>
    </row>
    <row r="67" spans="1:9" x14ac:dyDescent="0.25">
      <c r="A67" s="35" t="s">
        <v>34</v>
      </c>
      <c r="B67" s="29">
        <v>65077.75523529412</v>
      </c>
      <c r="C67" s="29">
        <v>59267.241375000005</v>
      </c>
      <c r="D67" s="29">
        <v>135467.98028571429</v>
      </c>
      <c r="E67" s="29">
        <v>114224.13792272727</v>
      </c>
      <c r="F67" s="29"/>
      <c r="G67" s="29">
        <v>219600.72593684212</v>
      </c>
      <c r="H67" s="29">
        <v>214392.8035826087</v>
      </c>
      <c r="I67" s="29">
        <v>808030.64433818648</v>
      </c>
    </row>
    <row r="68" spans="1:9" x14ac:dyDescent="0.25">
      <c r="A68" s="35" t="s">
        <v>31</v>
      </c>
      <c r="B68" s="29">
        <v>46484.110882352943</v>
      </c>
      <c r="C68" s="29">
        <v>51364.942525000006</v>
      </c>
      <c r="D68" s="29">
        <v>135467.98028571429</v>
      </c>
      <c r="E68" s="29"/>
      <c r="F68" s="29">
        <v>276580.45975000004</v>
      </c>
      <c r="G68" s="29">
        <v>39927.404715789475</v>
      </c>
      <c r="H68" s="29">
        <v>164917.54121739132</v>
      </c>
      <c r="I68" s="29">
        <v>714742.43937624805</v>
      </c>
    </row>
    <row r="69" spans="1:9" x14ac:dyDescent="0.25">
      <c r="A69" s="35" t="s">
        <v>60</v>
      </c>
      <c r="B69" s="29"/>
      <c r="C69" s="29"/>
      <c r="D69" s="29">
        <v>42898.193757142857</v>
      </c>
      <c r="E69" s="29"/>
      <c r="F69" s="29"/>
      <c r="G69" s="29"/>
      <c r="H69" s="29"/>
      <c r="I69" s="29">
        <v>42898.193757142857</v>
      </c>
    </row>
    <row r="70" spans="1:9" x14ac:dyDescent="0.25">
      <c r="A70" s="35" t="s">
        <v>28</v>
      </c>
      <c r="B70" s="29"/>
      <c r="C70" s="29">
        <v>5926.7241375000012</v>
      </c>
      <c r="D70" s="29">
        <v>6773.3990142857147</v>
      </c>
      <c r="E70" s="29"/>
      <c r="F70" s="29"/>
      <c r="G70" s="29">
        <v>19963.702357894737</v>
      </c>
      <c r="H70" s="29"/>
      <c r="I70" s="29">
        <v>32663.825509680453</v>
      </c>
    </row>
    <row r="71" spans="1:9" x14ac:dyDescent="0.25">
      <c r="A71" s="35" t="s">
        <v>48</v>
      </c>
      <c r="B71" s="29"/>
      <c r="C71" s="29"/>
      <c r="D71" s="29"/>
      <c r="E71" s="29">
        <v>107758.62068181818</v>
      </c>
      <c r="F71" s="29"/>
      <c r="G71" s="29"/>
      <c r="H71" s="29"/>
      <c r="I71" s="29">
        <v>107758.62068181818</v>
      </c>
    </row>
    <row r="72" spans="1:9" x14ac:dyDescent="0.25">
      <c r="A72" s="35" t="s">
        <v>24</v>
      </c>
      <c r="B72" s="29"/>
      <c r="C72" s="29"/>
      <c r="D72" s="29"/>
      <c r="E72" s="29"/>
      <c r="F72" s="29">
        <v>84291.18773333334</v>
      </c>
      <c r="G72" s="29"/>
      <c r="H72" s="29"/>
      <c r="I72" s="29">
        <v>84291.18773333334</v>
      </c>
    </row>
    <row r="73" spans="1:9" x14ac:dyDescent="0.25">
      <c r="A73" s="35" t="s">
        <v>35</v>
      </c>
      <c r="B73" s="29">
        <v>188260.64907352941</v>
      </c>
      <c r="C73" s="29">
        <v>197557.47125000003</v>
      </c>
      <c r="D73" s="29"/>
      <c r="E73" s="29">
        <v>66810.344822727275</v>
      </c>
      <c r="F73" s="29"/>
      <c r="G73" s="29"/>
      <c r="H73" s="29"/>
      <c r="I73" s="29">
        <v>452628.46514625673</v>
      </c>
    </row>
    <row r="74" spans="1:9" x14ac:dyDescent="0.25">
      <c r="A74" s="35" t="s">
        <v>254</v>
      </c>
      <c r="B74" s="29">
        <v>16269.43880882353</v>
      </c>
      <c r="C74" s="29">
        <v>1975.5747125000003</v>
      </c>
      <c r="D74" s="29">
        <v>9031.1986857142856</v>
      </c>
      <c r="E74" s="29"/>
      <c r="F74" s="29"/>
      <c r="G74" s="29"/>
      <c r="H74" s="29"/>
      <c r="I74" s="29">
        <v>27276.212207037817</v>
      </c>
    </row>
    <row r="75" spans="1:9" x14ac:dyDescent="0.25">
      <c r="A75" s="35" t="s">
        <v>20</v>
      </c>
      <c r="B75" s="29"/>
      <c r="C75" s="29"/>
      <c r="D75" s="29">
        <v>49671.592771428572</v>
      </c>
      <c r="E75" s="29">
        <v>92672.413786363642</v>
      </c>
      <c r="F75" s="29">
        <v>18438.697316666668</v>
      </c>
      <c r="G75" s="29"/>
      <c r="H75" s="29"/>
      <c r="I75" s="29">
        <v>160782.70387445888</v>
      </c>
    </row>
    <row r="76" spans="1:9" x14ac:dyDescent="0.25">
      <c r="A76" s="35" t="s">
        <v>18</v>
      </c>
      <c r="B76" s="29"/>
      <c r="C76" s="29"/>
      <c r="D76" s="29"/>
      <c r="E76" s="29"/>
      <c r="F76" s="29"/>
      <c r="G76" s="29">
        <v>21211.433755263159</v>
      </c>
      <c r="H76" s="29"/>
      <c r="I76" s="29">
        <v>21211.433755263159</v>
      </c>
    </row>
    <row r="77" spans="1:9" x14ac:dyDescent="0.25">
      <c r="A77" s="4" t="s">
        <v>257</v>
      </c>
      <c r="B77" s="29">
        <v>227586.20689999996</v>
      </c>
      <c r="C77" s="29">
        <v>227586.20689999999</v>
      </c>
      <c r="D77" s="29">
        <v>43349.753695238091</v>
      </c>
      <c r="E77" s="29"/>
      <c r="F77" s="29"/>
      <c r="G77" s="29"/>
      <c r="H77" s="29"/>
      <c r="I77" s="29">
        <v>498522.16749523801</v>
      </c>
    </row>
    <row r="78" spans="1:9" x14ac:dyDescent="0.25">
      <c r="A78" s="35" t="s">
        <v>35</v>
      </c>
      <c r="B78" s="29">
        <v>66937.119676470582</v>
      </c>
      <c r="C78" s="29">
        <v>79655.172414999994</v>
      </c>
      <c r="D78" s="29">
        <v>39285.714286309521</v>
      </c>
      <c r="E78" s="29"/>
      <c r="F78" s="29"/>
      <c r="G78" s="29"/>
      <c r="H78" s="29"/>
      <c r="I78" s="29">
        <v>185878.00637778008</v>
      </c>
    </row>
    <row r="79" spans="1:9" x14ac:dyDescent="0.25">
      <c r="A79" s="35" t="s">
        <v>254</v>
      </c>
      <c r="B79" s="29">
        <v>81997.971603676458</v>
      </c>
      <c r="C79" s="29">
        <v>9956.8965518749992</v>
      </c>
      <c r="D79" s="29">
        <v>4064.039408928571</v>
      </c>
      <c r="E79" s="29"/>
      <c r="F79" s="29"/>
      <c r="G79" s="29"/>
      <c r="H79" s="29"/>
      <c r="I79" s="29">
        <v>96018.907564480032</v>
      </c>
    </row>
    <row r="80" spans="1:9" x14ac:dyDescent="0.25">
      <c r="A80" s="35" t="s">
        <v>18</v>
      </c>
      <c r="B80" s="29">
        <v>78651.115619852935</v>
      </c>
      <c r="C80" s="29">
        <v>137974.13793312499</v>
      </c>
      <c r="D80" s="29"/>
      <c r="E80" s="29"/>
      <c r="F80" s="29"/>
      <c r="G80" s="29"/>
      <c r="H80" s="29"/>
      <c r="I80" s="29">
        <v>216625.25355297793</v>
      </c>
    </row>
    <row r="81" spans="1:9" x14ac:dyDescent="0.25">
      <c r="A81" s="4" t="s">
        <v>39</v>
      </c>
      <c r="B81" s="29">
        <v>126436.78160000005</v>
      </c>
      <c r="C81" s="29">
        <v>126436.78160000005</v>
      </c>
      <c r="D81" s="29">
        <v>126436.7816</v>
      </c>
      <c r="E81" s="29">
        <v>126436.78160000005</v>
      </c>
      <c r="F81" s="29">
        <v>126436.7816</v>
      </c>
      <c r="G81" s="29">
        <v>126436.78159999999</v>
      </c>
      <c r="H81" s="29">
        <v>126436.78160000002</v>
      </c>
      <c r="I81" s="29">
        <v>885057.47120000003</v>
      </c>
    </row>
    <row r="82" spans="1:9" x14ac:dyDescent="0.25">
      <c r="A82" s="35" t="s">
        <v>29</v>
      </c>
      <c r="B82" s="29"/>
      <c r="C82" s="29"/>
      <c r="D82" s="29">
        <v>18062.397371428571</v>
      </c>
      <c r="E82" s="29">
        <v>97701.149418181856</v>
      </c>
      <c r="F82" s="29">
        <v>49169.859511111114</v>
      </c>
      <c r="G82" s="29"/>
      <c r="H82" s="29"/>
      <c r="I82" s="29">
        <v>164933.40630072154</v>
      </c>
    </row>
    <row r="83" spans="1:9" x14ac:dyDescent="0.25">
      <c r="A83" s="35" t="s">
        <v>31</v>
      </c>
      <c r="B83" s="29"/>
      <c r="C83" s="29"/>
      <c r="D83" s="29"/>
      <c r="E83" s="29"/>
      <c r="F83" s="29"/>
      <c r="G83" s="29"/>
      <c r="H83" s="29">
        <v>10994.502747826087</v>
      </c>
      <c r="I83" s="29">
        <v>10994.502747826087</v>
      </c>
    </row>
    <row r="84" spans="1:9" x14ac:dyDescent="0.25">
      <c r="A84" s="35" t="s">
        <v>60</v>
      </c>
      <c r="B84" s="29"/>
      <c r="C84" s="29"/>
      <c r="D84" s="29">
        <v>108374.38422857143</v>
      </c>
      <c r="E84" s="29"/>
      <c r="F84" s="29"/>
      <c r="G84" s="29"/>
      <c r="H84" s="29"/>
      <c r="I84" s="29">
        <v>108374.38422857143</v>
      </c>
    </row>
    <row r="85" spans="1:9" x14ac:dyDescent="0.25">
      <c r="A85" s="35" t="s">
        <v>38</v>
      </c>
      <c r="B85" s="29">
        <v>126436.78160000005</v>
      </c>
      <c r="C85" s="29">
        <v>126436.78160000005</v>
      </c>
      <c r="D85" s="29"/>
      <c r="E85" s="29">
        <v>11494.252872727273</v>
      </c>
      <c r="F85" s="29"/>
      <c r="G85" s="29"/>
      <c r="H85" s="29"/>
      <c r="I85" s="29">
        <v>264367.81607272738</v>
      </c>
    </row>
    <row r="86" spans="1:9" x14ac:dyDescent="0.25">
      <c r="A86" s="35" t="s">
        <v>24</v>
      </c>
      <c r="B86" s="29"/>
      <c r="C86" s="29"/>
      <c r="D86" s="29"/>
      <c r="E86" s="29">
        <v>17241.379309090909</v>
      </c>
      <c r="F86" s="29">
        <v>63218.390800000001</v>
      </c>
      <c r="G86" s="29">
        <v>73200.241978947364</v>
      </c>
      <c r="H86" s="29">
        <v>60469.765113043482</v>
      </c>
      <c r="I86" s="29">
        <v>214129.77720108174</v>
      </c>
    </row>
    <row r="87" spans="1:9" x14ac:dyDescent="0.25">
      <c r="A87" s="35" t="s">
        <v>18</v>
      </c>
      <c r="B87" s="29"/>
      <c r="C87" s="29"/>
      <c r="D87" s="29"/>
      <c r="E87" s="29"/>
      <c r="F87" s="29">
        <v>14048.531288888889</v>
      </c>
      <c r="G87" s="29">
        <v>53236.539621052631</v>
      </c>
      <c r="H87" s="29">
        <v>54972.513739130438</v>
      </c>
      <c r="I87" s="29">
        <v>122257.58464907197</v>
      </c>
    </row>
    <row r="88" spans="1:9" x14ac:dyDescent="0.25">
      <c r="A88" s="4" t="s">
        <v>25</v>
      </c>
      <c r="B88" s="29">
        <v>189655.17240000001</v>
      </c>
      <c r="C88" s="29">
        <v>189655.1724000001</v>
      </c>
      <c r="D88" s="29">
        <v>189655.17239999998</v>
      </c>
      <c r="E88" s="29">
        <v>189655.17239999998</v>
      </c>
      <c r="F88" s="29">
        <v>169899.42527500002</v>
      </c>
      <c r="G88" s="29">
        <v>189655.17240000001</v>
      </c>
      <c r="H88" s="29">
        <v>189655.17239999998</v>
      </c>
      <c r="I88" s="29">
        <v>1307830.459675</v>
      </c>
    </row>
    <row r="89" spans="1:9" x14ac:dyDescent="0.25">
      <c r="A89" s="35" t="s">
        <v>34</v>
      </c>
      <c r="B89" s="29"/>
      <c r="C89" s="29"/>
      <c r="D89" s="29"/>
      <c r="E89" s="29">
        <v>62499.999995454535</v>
      </c>
      <c r="F89" s="29"/>
      <c r="G89" s="29"/>
      <c r="H89" s="29"/>
      <c r="I89" s="29">
        <v>62499.999995454535</v>
      </c>
    </row>
    <row r="90" spans="1:9" x14ac:dyDescent="0.25">
      <c r="A90" s="35" t="s">
        <v>31</v>
      </c>
      <c r="B90" s="29"/>
      <c r="C90" s="29"/>
      <c r="D90" s="29"/>
      <c r="E90" s="29"/>
      <c r="F90" s="29"/>
      <c r="G90" s="29"/>
      <c r="H90" s="29">
        <v>16491.75412173913</v>
      </c>
      <c r="I90" s="29">
        <v>16491.75412173913</v>
      </c>
    </row>
    <row r="91" spans="1:9" x14ac:dyDescent="0.25">
      <c r="A91" s="35" t="s">
        <v>60</v>
      </c>
      <c r="B91" s="29"/>
      <c r="C91" s="29"/>
      <c r="D91" s="29">
        <v>36124.794742857142</v>
      </c>
      <c r="E91" s="29"/>
      <c r="F91" s="29"/>
      <c r="G91" s="29"/>
      <c r="H91" s="29"/>
      <c r="I91" s="29">
        <v>36124.794742857142</v>
      </c>
    </row>
    <row r="92" spans="1:9" x14ac:dyDescent="0.25">
      <c r="A92" s="35" t="s">
        <v>23</v>
      </c>
      <c r="B92" s="29"/>
      <c r="C92" s="29"/>
      <c r="D92" s="29"/>
      <c r="E92" s="29"/>
      <c r="F92" s="29">
        <v>32926.245208333334</v>
      </c>
      <c r="G92" s="29">
        <v>76111.615239473686</v>
      </c>
      <c r="H92" s="29"/>
      <c r="I92" s="29">
        <v>109037.86044780702</v>
      </c>
    </row>
    <row r="93" spans="1:9" x14ac:dyDescent="0.25">
      <c r="A93" s="35" t="s">
        <v>47</v>
      </c>
      <c r="B93" s="29"/>
      <c r="C93" s="29"/>
      <c r="D93" s="29">
        <v>90311.986857142852</v>
      </c>
      <c r="E93" s="29">
        <v>101293.10344090909</v>
      </c>
      <c r="F93" s="29"/>
      <c r="G93" s="29"/>
      <c r="H93" s="29"/>
      <c r="I93" s="29">
        <v>191605.09029805195</v>
      </c>
    </row>
    <row r="94" spans="1:9" x14ac:dyDescent="0.25">
      <c r="A94" s="35" t="s">
        <v>24</v>
      </c>
      <c r="B94" s="29"/>
      <c r="C94" s="29"/>
      <c r="D94" s="29"/>
      <c r="E94" s="29"/>
      <c r="F94" s="29">
        <v>136973.18006666668</v>
      </c>
      <c r="G94" s="29">
        <v>113543.55716052632</v>
      </c>
      <c r="H94" s="29">
        <v>131934.03297391304</v>
      </c>
      <c r="I94" s="29">
        <v>382450.77020110609</v>
      </c>
    </row>
    <row r="95" spans="1:9" x14ac:dyDescent="0.25">
      <c r="A95" s="35" t="s">
        <v>35</v>
      </c>
      <c r="B95" s="29">
        <v>189655.17240000001</v>
      </c>
      <c r="C95" s="29">
        <v>189655.1724000001</v>
      </c>
      <c r="D95" s="29">
        <v>63218.390799999994</v>
      </c>
      <c r="E95" s="29">
        <v>25862.068963636364</v>
      </c>
      <c r="F95" s="29"/>
      <c r="G95" s="29"/>
      <c r="H95" s="29"/>
      <c r="I95" s="29">
        <v>468390.80456363643</v>
      </c>
    </row>
    <row r="96" spans="1:9" x14ac:dyDescent="0.25">
      <c r="A96" s="35" t="s">
        <v>18</v>
      </c>
      <c r="B96" s="29"/>
      <c r="C96" s="29"/>
      <c r="D96" s="29"/>
      <c r="E96" s="29"/>
      <c r="F96" s="29"/>
      <c r="G96" s="29"/>
      <c r="H96" s="29">
        <v>41229.385304347823</v>
      </c>
      <c r="I96" s="29">
        <v>41229.385304347823</v>
      </c>
    </row>
    <row r="97" spans="1:9" x14ac:dyDescent="0.25">
      <c r="A97" s="4" t="s">
        <v>27</v>
      </c>
      <c r="B97" s="29">
        <v>101149.4253</v>
      </c>
      <c r="C97" s="29">
        <v>101781.60920812501</v>
      </c>
      <c r="D97" s="29">
        <v>101149.4253</v>
      </c>
      <c r="E97" s="29">
        <v>101149.4253</v>
      </c>
      <c r="F97" s="29">
        <v>101149.4253</v>
      </c>
      <c r="G97" s="29">
        <v>96823.956454934232</v>
      </c>
      <c r="H97" s="29">
        <v>61569.215400000001</v>
      </c>
      <c r="I97" s="29">
        <v>664772.48226305924</v>
      </c>
    </row>
    <row r="98" spans="1:9" x14ac:dyDescent="0.25">
      <c r="A98" s="35" t="s">
        <v>31</v>
      </c>
      <c r="B98" s="29"/>
      <c r="C98" s="29"/>
      <c r="D98" s="29"/>
      <c r="E98" s="29"/>
      <c r="F98" s="29"/>
      <c r="G98" s="29"/>
      <c r="H98" s="29">
        <v>8795.6021999999994</v>
      </c>
      <c r="I98" s="29">
        <v>8795.6021999999994</v>
      </c>
    </row>
    <row r="99" spans="1:9" x14ac:dyDescent="0.25">
      <c r="A99" s="35" t="s">
        <v>50</v>
      </c>
      <c r="B99" s="29">
        <v>77349.560523529421</v>
      </c>
      <c r="C99" s="29">
        <v>34770.114946875001</v>
      </c>
      <c r="D99" s="29"/>
      <c r="E99" s="29"/>
      <c r="F99" s="29"/>
      <c r="G99" s="29"/>
      <c r="H99" s="29"/>
      <c r="I99" s="29">
        <v>112119.67547040441</v>
      </c>
    </row>
    <row r="100" spans="1:9" x14ac:dyDescent="0.25">
      <c r="A100" s="35" t="s">
        <v>23</v>
      </c>
      <c r="B100" s="29"/>
      <c r="C100" s="29"/>
      <c r="D100" s="29"/>
      <c r="E100" s="29"/>
      <c r="F100" s="29"/>
      <c r="G100" s="29">
        <v>26618.269815789477</v>
      </c>
      <c r="H100" s="29">
        <v>47826.086962499998</v>
      </c>
      <c r="I100" s="29">
        <v>74444.356778289482</v>
      </c>
    </row>
    <row r="101" spans="1:9" x14ac:dyDescent="0.25">
      <c r="A101" s="35" t="s">
        <v>28</v>
      </c>
      <c r="B101" s="29"/>
      <c r="C101" s="29">
        <v>31609.195406250001</v>
      </c>
      <c r="D101" s="29">
        <v>52983.032300000006</v>
      </c>
      <c r="E101" s="29">
        <v>101149.4253</v>
      </c>
      <c r="F101" s="29">
        <v>89910.600266666675</v>
      </c>
      <c r="G101" s="29">
        <v>36932.849369407908</v>
      </c>
      <c r="H101" s="29">
        <v>4947.5262374999993</v>
      </c>
      <c r="I101" s="29">
        <v>317532.6288798246</v>
      </c>
    </row>
    <row r="102" spans="1:9" x14ac:dyDescent="0.25">
      <c r="A102" s="35" t="s">
        <v>18</v>
      </c>
      <c r="B102" s="29">
        <v>23799.864776470589</v>
      </c>
      <c r="C102" s="29">
        <v>35402.298855000001</v>
      </c>
      <c r="D102" s="29">
        <v>48166.393000000004</v>
      </c>
      <c r="E102" s="29"/>
      <c r="F102" s="29">
        <v>11238.825033333334</v>
      </c>
      <c r="G102" s="29">
        <v>33272.837269736847</v>
      </c>
      <c r="H102" s="29"/>
      <c r="I102" s="29">
        <v>151880.21893454075</v>
      </c>
    </row>
    <row r="103" spans="1:9" x14ac:dyDescent="0.25">
      <c r="A103" s="4" t="s">
        <v>41</v>
      </c>
      <c r="B103" s="29">
        <v>252873.5632</v>
      </c>
      <c r="C103" s="29">
        <v>189655.17240000004</v>
      </c>
      <c r="D103" s="29">
        <v>252873.56320000003</v>
      </c>
      <c r="E103" s="29">
        <v>254310.34480909095</v>
      </c>
      <c r="F103" s="29">
        <v>252873.56320000003</v>
      </c>
      <c r="G103" s="29">
        <v>196309.73985263161</v>
      </c>
      <c r="H103" s="29">
        <v>263868.06594782596</v>
      </c>
      <c r="I103" s="29">
        <v>1662764.0126095486</v>
      </c>
    </row>
    <row r="104" spans="1:9" x14ac:dyDescent="0.25">
      <c r="A104" s="35" t="s">
        <v>951</v>
      </c>
      <c r="B104" s="29"/>
      <c r="C104" s="29">
        <v>33189.655169999998</v>
      </c>
      <c r="D104" s="29"/>
      <c r="E104" s="29"/>
      <c r="F104" s="29"/>
      <c r="G104" s="29"/>
      <c r="H104" s="29"/>
      <c r="I104" s="29">
        <v>33189.655169999998</v>
      </c>
    </row>
    <row r="105" spans="1:9" x14ac:dyDescent="0.25">
      <c r="A105" s="35" t="s">
        <v>40</v>
      </c>
      <c r="B105" s="29">
        <v>249154.83432941177</v>
      </c>
      <c r="C105" s="29">
        <v>143821.83907000002</v>
      </c>
      <c r="D105" s="29"/>
      <c r="E105" s="29"/>
      <c r="F105" s="29"/>
      <c r="G105" s="29"/>
      <c r="H105" s="29"/>
      <c r="I105" s="29">
        <v>392976.67339941178</v>
      </c>
    </row>
    <row r="106" spans="1:9" x14ac:dyDescent="0.25">
      <c r="A106" s="35" t="s">
        <v>31</v>
      </c>
      <c r="B106" s="29"/>
      <c r="C106" s="29"/>
      <c r="D106" s="29"/>
      <c r="E106" s="29"/>
      <c r="F106" s="29"/>
      <c r="G106" s="29"/>
      <c r="H106" s="29">
        <v>21989.005495652174</v>
      </c>
      <c r="I106" s="29">
        <v>21989.005495652174</v>
      </c>
    </row>
    <row r="107" spans="1:9" x14ac:dyDescent="0.25">
      <c r="A107" s="35" t="s">
        <v>45</v>
      </c>
      <c r="B107" s="29"/>
      <c r="C107" s="29"/>
      <c r="D107" s="29">
        <v>130952.38094285718</v>
      </c>
      <c r="E107" s="29">
        <v>45977.011490909092</v>
      </c>
      <c r="F107" s="29"/>
      <c r="G107" s="29"/>
      <c r="H107" s="29"/>
      <c r="I107" s="29">
        <v>176929.39243376628</v>
      </c>
    </row>
    <row r="108" spans="1:9" x14ac:dyDescent="0.25">
      <c r="A108" s="35" t="s">
        <v>952</v>
      </c>
      <c r="B108" s="29">
        <v>3718.7288705882352</v>
      </c>
      <c r="C108" s="29">
        <v>12643.678159999999</v>
      </c>
      <c r="D108" s="29">
        <v>55692.391895238092</v>
      </c>
      <c r="E108" s="29">
        <v>80459.77010909091</v>
      </c>
      <c r="F108" s="29">
        <v>28097.062577777779</v>
      </c>
      <c r="G108" s="29">
        <v>9981.8511789473687</v>
      </c>
      <c r="H108" s="29"/>
      <c r="I108" s="29">
        <v>190593.48279164237</v>
      </c>
    </row>
    <row r="109" spans="1:9" x14ac:dyDescent="0.25">
      <c r="A109" s="35" t="s">
        <v>953</v>
      </c>
      <c r="B109" s="29"/>
      <c r="C109" s="29"/>
      <c r="D109" s="29">
        <v>54187.192114285717</v>
      </c>
      <c r="E109" s="29"/>
      <c r="F109" s="29"/>
      <c r="G109" s="29"/>
      <c r="H109" s="29"/>
      <c r="I109" s="29">
        <v>54187.192114285717</v>
      </c>
    </row>
    <row r="110" spans="1:9" x14ac:dyDescent="0.25">
      <c r="A110" s="35" t="s">
        <v>270</v>
      </c>
      <c r="B110" s="29"/>
      <c r="C110" s="29"/>
      <c r="D110" s="29"/>
      <c r="E110" s="29">
        <v>22988.505745454546</v>
      </c>
      <c r="F110" s="29">
        <v>140485.3128888889</v>
      </c>
      <c r="G110" s="29"/>
      <c r="H110" s="29"/>
      <c r="I110" s="29">
        <v>163473.81863434345</v>
      </c>
    </row>
    <row r="111" spans="1:9" x14ac:dyDescent="0.25">
      <c r="A111" s="35" t="s">
        <v>954</v>
      </c>
      <c r="B111" s="29"/>
      <c r="C111" s="29"/>
      <c r="D111" s="29"/>
      <c r="E111" s="29"/>
      <c r="F111" s="29">
        <v>79022.988500000007</v>
      </c>
      <c r="G111" s="29">
        <v>13309.134905263158</v>
      </c>
      <c r="H111" s="29"/>
      <c r="I111" s="29">
        <v>92332.123405263163</v>
      </c>
    </row>
    <row r="112" spans="1:9" x14ac:dyDescent="0.25">
      <c r="A112" s="35" t="s">
        <v>955</v>
      </c>
      <c r="B112" s="29"/>
      <c r="C112" s="29"/>
      <c r="D112" s="29"/>
      <c r="E112" s="29"/>
      <c r="F112" s="29"/>
      <c r="G112" s="29">
        <v>149727.76768421053</v>
      </c>
      <c r="H112" s="29"/>
      <c r="I112" s="29">
        <v>149727.76768421053</v>
      </c>
    </row>
    <row r="113" spans="1:9" x14ac:dyDescent="0.25">
      <c r="A113" s="35" t="s">
        <v>956</v>
      </c>
      <c r="B113" s="29"/>
      <c r="C113" s="29"/>
      <c r="D113" s="29"/>
      <c r="E113" s="29"/>
      <c r="F113" s="29"/>
      <c r="G113" s="29">
        <v>13309.134905263158</v>
      </c>
      <c r="H113" s="29">
        <v>241879.06045217378</v>
      </c>
      <c r="I113" s="29">
        <v>255188.19535743695</v>
      </c>
    </row>
    <row r="114" spans="1:9" x14ac:dyDescent="0.25">
      <c r="A114" s="35" t="s">
        <v>254</v>
      </c>
      <c r="B114" s="29"/>
      <c r="C114" s="29"/>
      <c r="D114" s="29">
        <v>12041.598247619047</v>
      </c>
      <c r="E114" s="29">
        <v>5747.1264363636365</v>
      </c>
      <c r="F114" s="29"/>
      <c r="G114" s="29"/>
      <c r="H114" s="29"/>
      <c r="I114" s="29">
        <v>17788.724683982684</v>
      </c>
    </row>
    <row r="115" spans="1:9" x14ac:dyDescent="0.25">
      <c r="A115" s="35" t="s">
        <v>18</v>
      </c>
      <c r="B115" s="29"/>
      <c r="C115" s="29"/>
      <c r="D115" s="29"/>
      <c r="E115" s="29">
        <v>99137.931027272731</v>
      </c>
      <c r="F115" s="29">
        <v>5268.1992333333337</v>
      </c>
      <c r="G115" s="29">
        <v>9981.8511789473687</v>
      </c>
      <c r="H115" s="29"/>
      <c r="I115" s="29">
        <v>114387.98143955343</v>
      </c>
    </row>
    <row r="116" spans="1:9" x14ac:dyDescent="0.25">
      <c r="A116" s="4" t="s">
        <v>36</v>
      </c>
      <c r="B116" s="29">
        <v>303448.27590000001</v>
      </c>
      <c r="C116" s="29">
        <v>303448.27590000001</v>
      </c>
      <c r="D116" s="29">
        <v>303628.89987374999</v>
      </c>
      <c r="E116" s="29">
        <v>261896.55175687501</v>
      </c>
      <c r="F116" s="29">
        <v>168582.37549999999</v>
      </c>
      <c r="G116" s="29">
        <v>303448.27590000001</v>
      </c>
      <c r="H116" s="29">
        <v>303448.27590000001</v>
      </c>
      <c r="I116" s="29">
        <v>1947900.9307306248</v>
      </c>
    </row>
    <row r="117" spans="1:9" x14ac:dyDescent="0.25">
      <c r="A117" s="35" t="s">
        <v>34</v>
      </c>
      <c r="B117" s="29">
        <v>87018.255588970584</v>
      </c>
      <c r="C117" s="29">
        <v>91034.482770000002</v>
      </c>
      <c r="D117" s="29">
        <v>28899.835800000001</v>
      </c>
      <c r="E117" s="29">
        <v>131034.48277500001</v>
      </c>
      <c r="F117" s="29"/>
      <c r="G117" s="29"/>
      <c r="H117" s="29"/>
      <c r="I117" s="29">
        <v>337987.0569339706</v>
      </c>
    </row>
    <row r="118" spans="1:9" x14ac:dyDescent="0.25">
      <c r="A118" s="35" t="s">
        <v>31</v>
      </c>
      <c r="B118" s="29"/>
      <c r="C118" s="29"/>
      <c r="D118" s="29"/>
      <c r="E118" s="29"/>
      <c r="F118" s="29">
        <v>168582.37549999999</v>
      </c>
      <c r="G118" s="29">
        <v>303448.27590000001</v>
      </c>
      <c r="H118" s="29">
        <v>52773.6132</v>
      </c>
      <c r="I118" s="29">
        <v>524804.26459999999</v>
      </c>
    </row>
    <row r="119" spans="1:9" x14ac:dyDescent="0.25">
      <c r="A119" s="35" t="s">
        <v>60</v>
      </c>
      <c r="B119" s="29"/>
      <c r="C119" s="29"/>
      <c r="D119" s="29">
        <v>79474.548450000002</v>
      </c>
      <c r="E119" s="29"/>
      <c r="F119" s="29"/>
      <c r="G119" s="29"/>
      <c r="H119" s="29"/>
      <c r="I119" s="29">
        <v>79474.548450000002</v>
      </c>
    </row>
    <row r="120" spans="1:9" x14ac:dyDescent="0.25">
      <c r="A120" s="35" t="s">
        <v>48</v>
      </c>
      <c r="B120" s="29"/>
      <c r="C120" s="29"/>
      <c r="D120" s="29"/>
      <c r="E120" s="29">
        <v>103275.86208187499</v>
      </c>
      <c r="F120" s="29"/>
      <c r="G120" s="29"/>
      <c r="H120" s="29"/>
      <c r="I120" s="29">
        <v>103275.86208187499</v>
      </c>
    </row>
    <row r="121" spans="1:9" x14ac:dyDescent="0.25">
      <c r="A121" s="35" t="s">
        <v>35</v>
      </c>
      <c r="B121" s="29">
        <v>216430.02031102945</v>
      </c>
      <c r="C121" s="29">
        <v>212413.79313000001</v>
      </c>
      <c r="D121" s="29">
        <v>195254.51562374999</v>
      </c>
      <c r="E121" s="29">
        <v>27586.206899999997</v>
      </c>
      <c r="F121" s="29"/>
      <c r="G121" s="29"/>
      <c r="H121" s="29"/>
      <c r="I121" s="29">
        <v>651684.53596477944</v>
      </c>
    </row>
    <row r="122" spans="1:9" x14ac:dyDescent="0.25">
      <c r="A122" s="35" t="s">
        <v>273</v>
      </c>
      <c r="B122" s="29"/>
      <c r="C122" s="29"/>
      <c r="D122" s="29"/>
      <c r="E122" s="29"/>
      <c r="F122" s="29"/>
      <c r="G122" s="29"/>
      <c r="H122" s="29">
        <v>197901.04949999999</v>
      </c>
      <c r="I122" s="29">
        <v>197901.04949999999</v>
      </c>
    </row>
    <row r="123" spans="1:9" x14ac:dyDescent="0.25">
      <c r="A123" s="35" t="s">
        <v>18</v>
      </c>
      <c r="B123" s="29"/>
      <c r="C123" s="29"/>
      <c r="D123" s="29"/>
      <c r="E123" s="29"/>
      <c r="F123" s="29"/>
      <c r="G123" s="29"/>
      <c r="H123" s="29">
        <v>52773.6132</v>
      </c>
      <c r="I123" s="29">
        <v>52773.6132</v>
      </c>
    </row>
    <row r="124" spans="1:9" x14ac:dyDescent="0.25">
      <c r="A124" s="4" t="s">
        <v>26</v>
      </c>
      <c r="B124" s="29">
        <v>164367.8161</v>
      </c>
      <c r="C124" s="29">
        <v>141767.24138624998</v>
      </c>
      <c r="D124" s="29">
        <v>56746.031748809524</v>
      </c>
      <c r="E124" s="29">
        <v>143821.8390875</v>
      </c>
      <c r="F124" s="29">
        <v>70769.476376388891</v>
      </c>
      <c r="G124" s="29">
        <v>142199.78827072366</v>
      </c>
      <c r="H124" s="29">
        <v>139355.32234565218</v>
      </c>
      <c r="I124" s="29">
        <v>859027.51531532418</v>
      </c>
    </row>
    <row r="125" spans="1:9" x14ac:dyDescent="0.25">
      <c r="A125" s="35" t="s">
        <v>951</v>
      </c>
      <c r="B125" s="29"/>
      <c r="C125" s="29">
        <v>41091.954024999999</v>
      </c>
      <c r="D125" s="29"/>
      <c r="E125" s="29"/>
      <c r="F125" s="29"/>
      <c r="G125" s="29"/>
      <c r="H125" s="29"/>
      <c r="I125" s="29">
        <v>41091.954024999999</v>
      </c>
    </row>
    <row r="126" spans="1:9" x14ac:dyDescent="0.25">
      <c r="A126" s="35" t="s">
        <v>40</v>
      </c>
      <c r="B126" s="29">
        <v>164367.8161</v>
      </c>
      <c r="C126" s="29">
        <v>20545.9770125</v>
      </c>
      <c r="D126" s="29"/>
      <c r="E126" s="29"/>
      <c r="F126" s="29"/>
      <c r="G126" s="29"/>
      <c r="H126" s="29"/>
      <c r="I126" s="29">
        <v>184913.79311249999</v>
      </c>
    </row>
    <row r="127" spans="1:9" x14ac:dyDescent="0.25">
      <c r="A127" s="35" t="s">
        <v>250</v>
      </c>
      <c r="B127" s="29"/>
      <c r="C127" s="29"/>
      <c r="D127" s="29"/>
      <c r="E127" s="29"/>
      <c r="F127" s="29">
        <v>6848.6590041666668</v>
      </c>
      <c r="G127" s="29">
        <v>540.68360559210521</v>
      </c>
      <c r="H127" s="29">
        <v>12506.246877173913</v>
      </c>
      <c r="I127" s="29">
        <v>19895.589486932684</v>
      </c>
    </row>
    <row r="128" spans="1:9" x14ac:dyDescent="0.25">
      <c r="A128" s="35" t="s">
        <v>31</v>
      </c>
      <c r="B128" s="29"/>
      <c r="C128" s="29">
        <v>80129.31034874999</v>
      </c>
      <c r="D128" s="29"/>
      <c r="E128" s="29"/>
      <c r="F128" s="29"/>
      <c r="G128" s="29"/>
      <c r="H128" s="29">
        <v>14292.853573913044</v>
      </c>
      <c r="I128" s="29">
        <v>94422.163922663036</v>
      </c>
    </row>
    <row r="129" spans="1:9" x14ac:dyDescent="0.25">
      <c r="A129" s="35" t="s">
        <v>45</v>
      </c>
      <c r="B129" s="29"/>
      <c r="C129" s="29"/>
      <c r="D129" s="29"/>
      <c r="E129" s="29">
        <v>143821.8390875</v>
      </c>
      <c r="F129" s="29"/>
      <c r="G129" s="29"/>
      <c r="H129" s="29"/>
      <c r="I129" s="29">
        <v>143821.8390875</v>
      </c>
    </row>
    <row r="130" spans="1:9" x14ac:dyDescent="0.25">
      <c r="A130" s="35" t="s">
        <v>952</v>
      </c>
      <c r="B130" s="29"/>
      <c r="C130" s="29"/>
      <c r="D130" s="29"/>
      <c r="E130" s="29"/>
      <c r="F130" s="29"/>
      <c r="G130" s="29"/>
      <c r="H130" s="29">
        <v>73250.874566304352</v>
      </c>
      <c r="I130" s="29">
        <v>73250.874566304352</v>
      </c>
    </row>
    <row r="131" spans="1:9" x14ac:dyDescent="0.25">
      <c r="A131" s="35" t="s">
        <v>956</v>
      </c>
      <c r="B131" s="29"/>
      <c r="C131" s="29"/>
      <c r="D131" s="29"/>
      <c r="E131" s="29"/>
      <c r="F131" s="29"/>
      <c r="G131" s="29">
        <v>129764.06534210526</v>
      </c>
      <c r="H131" s="29">
        <v>7146.4267869565219</v>
      </c>
      <c r="I131" s="29">
        <v>136910.49212906178</v>
      </c>
    </row>
    <row r="132" spans="1:9" x14ac:dyDescent="0.25">
      <c r="A132" s="35" t="s">
        <v>23</v>
      </c>
      <c r="B132" s="29"/>
      <c r="C132" s="29"/>
      <c r="D132" s="29"/>
      <c r="E132" s="29"/>
      <c r="F132" s="29">
        <v>27394.636016666667</v>
      </c>
      <c r="G132" s="29">
        <v>10813.672111842105</v>
      </c>
      <c r="H132" s="29"/>
      <c r="I132" s="29">
        <v>38208.308128508768</v>
      </c>
    </row>
    <row r="133" spans="1:9" x14ac:dyDescent="0.25">
      <c r="A133" s="35" t="s">
        <v>18</v>
      </c>
      <c r="B133" s="29"/>
      <c r="C133" s="29"/>
      <c r="D133" s="29">
        <v>56746.031748809524</v>
      </c>
      <c r="E133" s="29"/>
      <c r="F133" s="29">
        <v>36526.181355555556</v>
      </c>
      <c r="G133" s="29">
        <v>1081.3672111842104</v>
      </c>
      <c r="H133" s="29">
        <v>32158.920541304349</v>
      </c>
      <c r="I133" s="29">
        <v>126512.50085685364</v>
      </c>
    </row>
    <row r="134" spans="1:9" x14ac:dyDescent="0.25">
      <c r="A134" s="4" t="s">
        <v>37</v>
      </c>
      <c r="B134" s="29">
        <v>50574.712599999999</v>
      </c>
      <c r="C134" s="29">
        <v>50574.712599999999</v>
      </c>
      <c r="D134" s="29">
        <v>75862.069000000018</v>
      </c>
      <c r="E134" s="29">
        <v>75862.069000000003</v>
      </c>
      <c r="F134" s="29">
        <v>75862.068999999989</v>
      </c>
      <c r="G134" s="29">
        <v>75862.069000000018</v>
      </c>
      <c r="H134" s="29">
        <v>75862.069000000003</v>
      </c>
      <c r="I134" s="29">
        <v>480459.77020000003</v>
      </c>
    </row>
    <row r="135" spans="1:9" x14ac:dyDescent="0.25">
      <c r="A135" s="35" t="s">
        <v>40</v>
      </c>
      <c r="B135" s="29"/>
      <c r="C135" s="29">
        <v>10114.942520000001</v>
      </c>
      <c r="D135" s="29"/>
      <c r="E135" s="29"/>
      <c r="F135" s="29"/>
      <c r="G135" s="29"/>
      <c r="H135" s="29"/>
      <c r="I135" s="29">
        <v>10114.942520000001</v>
      </c>
    </row>
    <row r="136" spans="1:9" x14ac:dyDescent="0.25">
      <c r="A136" s="35" t="s">
        <v>31</v>
      </c>
      <c r="B136" s="29"/>
      <c r="C136" s="29"/>
      <c r="D136" s="29"/>
      <c r="E136" s="29"/>
      <c r="F136" s="29"/>
      <c r="G136" s="29"/>
      <c r="H136" s="29">
        <v>6596.7016521739133</v>
      </c>
      <c r="I136" s="29">
        <v>6596.7016521739133</v>
      </c>
    </row>
    <row r="137" spans="1:9" x14ac:dyDescent="0.25">
      <c r="A137" s="35" t="s">
        <v>955</v>
      </c>
      <c r="B137" s="29"/>
      <c r="C137" s="29"/>
      <c r="D137" s="29"/>
      <c r="E137" s="29"/>
      <c r="F137" s="29"/>
      <c r="G137" s="29">
        <v>4990.9255921052636</v>
      </c>
      <c r="H137" s="29"/>
      <c r="I137" s="29">
        <v>4990.9255921052636</v>
      </c>
    </row>
    <row r="138" spans="1:9" x14ac:dyDescent="0.25">
      <c r="A138" s="35" t="s">
        <v>956</v>
      </c>
      <c r="B138" s="29"/>
      <c r="C138" s="29"/>
      <c r="D138" s="29"/>
      <c r="E138" s="29"/>
      <c r="F138" s="29"/>
      <c r="G138" s="29"/>
      <c r="H138" s="29">
        <v>9895.05247826087</v>
      </c>
      <c r="I138" s="29">
        <v>9895.05247826087</v>
      </c>
    </row>
    <row r="139" spans="1:9" x14ac:dyDescent="0.25">
      <c r="A139" s="35" t="s">
        <v>24</v>
      </c>
      <c r="B139" s="29"/>
      <c r="C139" s="29"/>
      <c r="D139" s="29"/>
      <c r="E139" s="29"/>
      <c r="F139" s="29">
        <v>29501.91572222222</v>
      </c>
      <c r="G139" s="29"/>
      <c r="H139" s="29"/>
      <c r="I139" s="29">
        <v>29501.91572222222</v>
      </c>
    </row>
    <row r="140" spans="1:9" x14ac:dyDescent="0.25">
      <c r="A140" s="35" t="s">
        <v>35</v>
      </c>
      <c r="B140" s="29">
        <v>23799.864752941179</v>
      </c>
      <c r="C140" s="29">
        <v>17701.149409999998</v>
      </c>
      <c r="D140" s="29">
        <v>39737.274238095248</v>
      </c>
      <c r="E140" s="29">
        <v>75862.069000000003</v>
      </c>
      <c r="F140" s="29"/>
      <c r="G140" s="29"/>
      <c r="H140" s="29"/>
      <c r="I140" s="29">
        <v>157100.35740103642</v>
      </c>
    </row>
    <row r="141" spans="1:9" x14ac:dyDescent="0.25">
      <c r="A141" s="35" t="s">
        <v>273</v>
      </c>
      <c r="B141" s="29"/>
      <c r="C141" s="29"/>
      <c r="D141" s="29"/>
      <c r="E141" s="29"/>
      <c r="F141" s="29"/>
      <c r="G141" s="29"/>
      <c r="H141" s="29">
        <v>42878.560739130437</v>
      </c>
      <c r="I141" s="29">
        <v>42878.560739130437</v>
      </c>
    </row>
    <row r="142" spans="1:9" x14ac:dyDescent="0.25">
      <c r="A142" s="35" t="s">
        <v>18</v>
      </c>
      <c r="B142" s="29">
        <v>26774.847847058823</v>
      </c>
      <c r="C142" s="29">
        <v>22758.62067</v>
      </c>
      <c r="D142" s="29">
        <v>36124.794761904763</v>
      </c>
      <c r="E142" s="29"/>
      <c r="F142" s="29">
        <v>46360.153277777776</v>
      </c>
      <c r="G142" s="29">
        <v>70871.14340789475</v>
      </c>
      <c r="H142" s="29">
        <v>16491.754130434783</v>
      </c>
      <c r="I142" s="29">
        <v>219381.31409507088</v>
      </c>
    </row>
    <row r="143" spans="1:9" x14ac:dyDescent="0.25">
      <c r="A143" s="4" t="s">
        <v>252</v>
      </c>
      <c r="B143" s="29">
        <v>187680</v>
      </c>
      <c r="C143" s="29">
        <v>216660</v>
      </c>
      <c r="D143" s="29">
        <v>213900</v>
      </c>
      <c r="E143" s="29">
        <v>211140</v>
      </c>
      <c r="F143" s="29">
        <v>82800</v>
      </c>
      <c r="G143" s="29">
        <v>171120</v>
      </c>
      <c r="H143" s="29">
        <v>133860</v>
      </c>
      <c r="I143" s="29">
        <v>1217160</v>
      </c>
    </row>
    <row r="144" spans="1:9" x14ac:dyDescent="0.25">
      <c r="A144" s="35" t="s">
        <v>31</v>
      </c>
      <c r="B144" s="29"/>
      <c r="C144" s="29"/>
      <c r="D144" s="29"/>
      <c r="E144" s="29"/>
      <c r="F144" s="29"/>
      <c r="G144" s="29"/>
      <c r="H144" s="29">
        <v>5520</v>
      </c>
      <c r="I144" s="29">
        <v>5520</v>
      </c>
    </row>
    <row r="145" spans="1:9" x14ac:dyDescent="0.25">
      <c r="A145" s="35" t="s">
        <v>23</v>
      </c>
      <c r="B145" s="29"/>
      <c r="C145" s="29"/>
      <c r="D145" s="29"/>
      <c r="E145" s="29"/>
      <c r="F145" s="29">
        <v>24840</v>
      </c>
      <c r="G145" s="29">
        <v>111780</v>
      </c>
      <c r="H145" s="29">
        <v>110400</v>
      </c>
      <c r="I145" s="29">
        <v>247020</v>
      </c>
    </row>
    <row r="146" spans="1:9" x14ac:dyDescent="0.25">
      <c r="A146" s="35" t="s">
        <v>28</v>
      </c>
      <c r="B146" s="29"/>
      <c r="C146" s="29"/>
      <c r="D146" s="29"/>
      <c r="E146" s="29"/>
      <c r="F146" s="29">
        <v>57960</v>
      </c>
      <c r="G146" s="29">
        <v>59340</v>
      </c>
      <c r="H146" s="29">
        <v>4140</v>
      </c>
      <c r="I146" s="29">
        <v>121440</v>
      </c>
    </row>
    <row r="147" spans="1:9" x14ac:dyDescent="0.25">
      <c r="A147" s="35" t="s">
        <v>35</v>
      </c>
      <c r="B147" s="29">
        <v>187680</v>
      </c>
      <c r="C147" s="29">
        <v>216660</v>
      </c>
      <c r="D147" s="29">
        <v>213900</v>
      </c>
      <c r="E147" s="29">
        <v>211140</v>
      </c>
      <c r="F147" s="29"/>
      <c r="G147" s="29"/>
      <c r="H147" s="29"/>
      <c r="I147" s="29">
        <v>829380</v>
      </c>
    </row>
    <row r="148" spans="1:9" x14ac:dyDescent="0.25">
      <c r="A148" s="35" t="s">
        <v>273</v>
      </c>
      <c r="B148" s="29"/>
      <c r="C148" s="29"/>
      <c r="D148" s="29"/>
      <c r="E148" s="29"/>
      <c r="F148" s="29"/>
      <c r="G148" s="29"/>
      <c r="H148" s="29">
        <v>13800</v>
      </c>
      <c r="I148" s="29">
        <v>13800</v>
      </c>
    </row>
    <row r="149" spans="1:9" x14ac:dyDescent="0.25">
      <c r="A149" s="4" t="s">
        <v>42</v>
      </c>
      <c r="B149" s="29">
        <v>5672</v>
      </c>
      <c r="C149" s="29">
        <v>163637.20000000001</v>
      </c>
      <c r="D149" s="29">
        <v>148890</v>
      </c>
      <c r="E149" s="29">
        <v>126202</v>
      </c>
      <c r="F149" s="29">
        <v>82244</v>
      </c>
      <c r="G149" s="29">
        <v>99260</v>
      </c>
      <c r="H149" s="29">
        <v>165906</v>
      </c>
      <c r="I149" s="29">
        <v>791811.2</v>
      </c>
    </row>
    <row r="150" spans="1:9" x14ac:dyDescent="0.25">
      <c r="A150" s="35" t="s">
        <v>31</v>
      </c>
      <c r="B150" s="29"/>
      <c r="C150" s="29"/>
      <c r="D150" s="29"/>
      <c r="E150" s="29"/>
      <c r="F150" s="29">
        <v>5672</v>
      </c>
      <c r="G150" s="29">
        <v>14180</v>
      </c>
      <c r="H150" s="29">
        <v>8508</v>
      </c>
      <c r="I150" s="29">
        <v>28360</v>
      </c>
    </row>
    <row r="151" spans="1:9" x14ac:dyDescent="0.25">
      <c r="A151" s="35" t="s">
        <v>23</v>
      </c>
      <c r="B151" s="29"/>
      <c r="C151" s="29"/>
      <c r="D151" s="29"/>
      <c r="E151" s="29"/>
      <c r="F151" s="29">
        <v>76572</v>
      </c>
      <c r="G151" s="29">
        <v>85080</v>
      </c>
      <c r="H151" s="29">
        <v>157398</v>
      </c>
      <c r="I151" s="29">
        <v>319050</v>
      </c>
    </row>
    <row r="152" spans="1:9" x14ac:dyDescent="0.25">
      <c r="A152" s="35" t="s">
        <v>35</v>
      </c>
      <c r="B152" s="29">
        <v>5672</v>
      </c>
      <c r="C152" s="29">
        <v>163637.20000000001</v>
      </c>
      <c r="D152" s="29">
        <v>148890</v>
      </c>
      <c r="E152" s="29">
        <v>126202</v>
      </c>
      <c r="F152" s="29"/>
      <c r="G152" s="29"/>
      <c r="H152" s="29"/>
      <c r="I152" s="29">
        <v>444401.2</v>
      </c>
    </row>
    <row r="153" spans="1:9" x14ac:dyDescent="0.25">
      <c r="A153" s="4" t="s">
        <v>44</v>
      </c>
      <c r="B153" s="29"/>
      <c r="C153" s="29">
        <v>230114.94252500002</v>
      </c>
      <c r="D153" s="29">
        <v>354022.98849999998</v>
      </c>
      <c r="E153" s="29">
        <v>354022.98849999998</v>
      </c>
      <c r="F153" s="29">
        <v>295019.1570833333</v>
      </c>
      <c r="G153" s="29">
        <v>354022.98849999998</v>
      </c>
      <c r="H153" s="29">
        <v>230403.54822214672</v>
      </c>
      <c r="I153" s="29">
        <v>1817606.6133304802</v>
      </c>
    </row>
    <row r="154" spans="1:9" x14ac:dyDescent="0.25">
      <c r="A154" s="35" t="s">
        <v>29</v>
      </c>
      <c r="B154" s="29"/>
      <c r="C154" s="29"/>
      <c r="D154" s="29">
        <v>54789.272029761902</v>
      </c>
      <c r="E154" s="29">
        <v>114655.17241193182</v>
      </c>
      <c r="F154" s="29">
        <v>157343.55044444441</v>
      </c>
      <c r="G154" s="29">
        <v>25620.084694078949</v>
      </c>
      <c r="H154" s="29">
        <v>184226.63667866847</v>
      </c>
      <c r="I154" s="29">
        <v>536634.71625888557</v>
      </c>
    </row>
    <row r="155" spans="1:9" x14ac:dyDescent="0.25">
      <c r="A155" s="35" t="s">
        <v>34</v>
      </c>
      <c r="B155" s="29"/>
      <c r="C155" s="29"/>
      <c r="D155" s="29"/>
      <c r="E155" s="29"/>
      <c r="F155" s="29"/>
      <c r="G155" s="29">
        <v>286479.12885197368</v>
      </c>
      <c r="H155" s="29"/>
      <c r="I155" s="29">
        <v>286479.12885197368</v>
      </c>
    </row>
    <row r="156" spans="1:9" x14ac:dyDescent="0.25">
      <c r="A156" s="35" t="s">
        <v>31</v>
      </c>
      <c r="B156" s="29"/>
      <c r="C156" s="29"/>
      <c r="D156" s="29"/>
      <c r="E156" s="29"/>
      <c r="F156" s="29"/>
      <c r="G156" s="29"/>
      <c r="H156" s="29">
        <v>30784.607695652172</v>
      </c>
      <c r="I156" s="29">
        <v>30784.607695652172</v>
      </c>
    </row>
    <row r="157" spans="1:9" x14ac:dyDescent="0.25">
      <c r="A157" s="35" t="s">
        <v>28</v>
      </c>
      <c r="B157" s="29"/>
      <c r="C157" s="29">
        <v>230114.94252500002</v>
      </c>
      <c r="D157" s="29">
        <v>299233.71647023805</v>
      </c>
      <c r="E157" s="29">
        <v>239367.81608806815</v>
      </c>
      <c r="F157" s="29">
        <v>44252.873562499997</v>
      </c>
      <c r="G157" s="29">
        <v>41923.774953947366</v>
      </c>
      <c r="H157" s="29">
        <v>15392.303847826086</v>
      </c>
      <c r="I157" s="29">
        <v>870285.4274475798</v>
      </c>
    </row>
    <row r="158" spans="1:9" x14ac:dyDescent="0.25">
      <c r="A158" s="35" t="s">
        <v>18</v>
      </c>
      <c r="B158" s="29"/>
      <c r="C158" s="29"/>
      <c r="D158" s="29"/>
      <c r="E158" s="29"/>
      <c r="F158" s="29">
        <v>93422.733076388889</v>
      </c>
      <c r="G158" s="29"/>
      <c r="H158" s="29"/>
      <c r="I158" s="29">
        <v>93422.733076388889</v>
      </c>
    </row>
    <row r="159" spans="1:9" x14ac:dyDescent="0.25">
      <c r="A159" s="4" t="s">
        <v>46</v>
      </c>
      <c r="B159" s="29"/>
      <c r="C159" s="29"/>
      <c r="D159" s="29">
        <v>162561.57634285712</v>
      </c>
      <c r="E159" s="29">
        <v>189655.17240000001</v>
      </c>
      <c r="F159" s="29">
        <v>189655.17240000004</v>
      </c>
      <c r="G159" s="29">
        <v>199637.02357894738</v>
      </c>
      <c r="H159" s="29">
        <v>189655.17239999998</v>
      </c>
      <c r="I159" s="29">
        <v>931164.11712180451</v>
      </c>
    </row>
    <row r="160" spans="1:9" x14ac:dyDescent="0.25">
      <c r="A160" s="35" t="s">
        <v>31</v>
      </c>
      <c r="B160" s="29"/>
      <c r="C160" s="29"/>
      <c r="D160" s="29"/>
      <c r="E160" s="29"/>
      <c r="F160" s="29">
        <v>168582.37546666671</v>
      </c>
      <c r="G160" s="29">
        <v>199637.02357894738</v>
      </c>
      <c r="H160" s="29">
        <v>156671.66415652173</v>
      </c>
      <c r="I160" s="29">
        <v>524891.06320213573</v>
      </c>
    </row>
    <row r="161" spans="1:9" x14ac:dyDescent="0.25">
      <c r="A161" s="35" t="s">
        <v>35</v>
      </c>
      <c r="B161" s="29"/>
      <c r="C161" s="29"/>
      <c r="D161" s="29">
        <v>162561.57634285712</v>
      </c>
      <c r="E161" s="29">
        <v>189655.17240000001</v>
      </c>
      <c r="F161" s="29"/>
      <c r="G161" s="29"/>
      <c r="H161" s="29"/>
      <c r="I161" s="29">
        <v>352216.74874285713</v>
      </c>
    </row>
    <row r="162" spans="1:9" x14ac:dyDescent="0.25">
      <c r="A162" s="35" t="s">
        <v>273</v>
      </c>
      <c r="B162" s="29"/>
      <c r="C162" s="29"/>
      <c r="D162" s="29"/>
      <c r="E162" s="29"/>
      <c r="F162" s="29"/>
      <c r="G162" s="29"/>
      <c r="H162" s="29">
        <v>32983.50824347826</v>
      </c>
      <c r="I162" s="29">
        <v>32983.50824347826</v>
      </c>
    </row>
    <row r="163" spans="1:9" x14ac:dyDescent="0.25">
      <c r="A163" s="35" t="s">
        <v>18</v>
      </c>
      <c r="B163" s="29"/>
      <c r="C163" s="29"/>
      <c r="D163" s="29"/>
      <c r="E163" s="29"/>
      <c r="F163" s="29">
        <v>21072.796933333335</v>
      </c>
      <c r="G163" s="29"/>
      <c r="H163" s="29"/>
      <c r="I163" s="29">
        <v>21072.796933333335</v>
      </c>
    </row>
    <row r="164" spans="1:9" x14ac:dyDescent="0.25">
      <c r="A164" s="4" t="s">
        <v>21</v>
      </c>
      <c r="B164" s="29">
        <v>284482.75860000006</v>
      </c>
      <c r="C164" s="29">
        <v>284482.75860000012</v>
      </c>
      <c r="D164" s="29">
        <v>284482.7586</v>
      </c>
      <c r="E164" s="29">
        <v>308728.44825340906</v>
      </c>
      <c r="F164" s="29">
        <v>207435.3448125</v>
      </c>
      <c r="G164" s="29">
        <v>284482.7586</v>
      </c>
      <c r="H164" s="29">
        <v>284482.7586</v>
      </c>
      <c r="I164" s="29">
        <v>1938577.5860659094</v>
      </c>
    </row>
    <row r="165" spans="1:9" x14ac:dyDescent="0.25">
      <c r="A165" s="35" t="s">
        <v>31</v>
      </c>
      <c r="B165" s="29"/>
      <c r="C165" s="29"/>
      <c r="D165" s="29"/>
      <c r="E165" s="29"/>
      <c r="F165" s="29"/>
      <c r="G165" s="29"/>
      <c r="H165" s="29">
        <v>15461.019489130435</v>
      </c>
      <c r="I165" s="29">
        <v>15461.019489130435</v>
      </c>
    </row>
    <row r="166" spans="1:9" x14ac:dyDescent="0.25">
      <c r="A166" s="35" t="s">
        <v>23</v>
      </c>
      <c r="B166" s="29"/>
      <c r="C166" s="29"/>
      <c r="D166" s="29"/>
      <c r="E166" s="29"/>
      <c r="F166" s="29">
        <v>71120.68965</v>
      </c>
      <c r="G166" s="29">
        <v>164700.54445263158</v>
      </c>
      <c r="H166" s="29">
        <v>92766.116934782607</v>
      </c>
      <c r="I166" s="29">
        <v>328587.35103741416</v>
      </c>
    </row>
    <row r="167" spans="1:9" x14ac:dyDescent="0.25">
      <c r="A167" s="35" t="s">
        <v>35</v>
      </c>
      <c r="B167" s="29">
        <v>167342.79917647064</v>
      </c>
      <c r="C167" s="29">
        <v>213362.0689500001</v>
      </c>
      <c r="D167" s="29">
        <v>84667.487678571444</v>
      </c>
      <c r="E167" s="29"/>
      <c r="F167" s="29"/>
      <c r="G167" s="29"/>
      <c r="H167" s="29"/>
      <c r="I167" s="29">
        <v>465372.35580504214</v>
      </c>
    </row>
    <row r="168" spans="1:9" x14ac:dyDescent="0.25">
      <c r="A168" s="35" t="s">
        <v>273</v>
      </c>
      <c r="B168" s="29"/>
      <c r="C168" s="29"/>
      <c r="D168" s="29"/>
      <c r="E168" s="29"/>
      <c r="F168" s="29"/>
      <c r="G168" s="29"/>
      <c r="H168" s="29">
        <v>80397.301343478262</v>
      </c>
      <c r="I168" s="29">
        <v>80397.301343478262</v>
      </c>
    </row>
    <row r="169" spans="1:9" x14ac:dyDescent="0.25">
      <c r="A169" s="35" t="s">
        <v>20</v>
      </c>
      <c r="B169" s="29">
        <v>41835.699794117645</v>
      </c>
      <c r="C169" s="29">
        <v>71120.68965</v>
      </c>
      <c r="D169" s="29">
        <v>132081.28077857144</v>
      </c>
      <c r="E169" s="29">
        <v>308728.44825340906</v>
      </c>
      <c r="F169" s="29">
        <v>57291.666662500007</v>
      </c>
      <c r="G169" s="29">
        <v>119782.21414736842</v>
      </c>
      <c r="H169" s="29">
        <v>95858.320832608704</v>
      </c>
      <c r="I169" s="29">
        <v>826698.32011857536</v>
      </c>
    </row>
    <row r="170" spans="1:9" x14ac:dyDescent="0.25">
      <c r="A170" s="35" t="s">
        <v>18</v>
      </c>
      <c r="B170" s="29">
        <v>75304.259629411768</v>
      </c>
      <c r="C170" s="29"/>
      <c r="D170" s="29">
        <v>67733.990142857147</v>
      </c>
      <c r="E170" s="29"/>
      <c r="F170" s="29">
        <v>79022.988500000007</v>
      </c>
      <c r="G170" s="29"/>
      <c r="H170" s="29"/>
      <c r="I170" s="29">
        <v>222061.23827226894</v>
      </c>
    </row>
    <row r="171" spans="1:9" x14ac:dyDescent="0.25">
      <c r="A171" s="4" t="s">
        <v>238</v>
      </c>
      <c r="B171" s="29">
        <v>2885897.638870589</v>
      </c>
      <c r="C171" s="29">
        <v>2959133.4068193757</v>
      </c>
      <c r="D171" s="29">
        <v>3191391.5325320833</v>
      </c>
      <c r="E171" s="29">
        <v>3331242.8620205116</v>
      </c>
      <c r="F171" s="29">
        <v>2922726.790447223</v>
      </c>
      <c r="G171" s="29">
        <v>3235696.8480756576</v>
      </c>
      <c r="H171" s="29">
        <v>3264502.3817156246</v>
      </c>
      <c r="I171" s="29">
        <v>21790591.460481063</v>
      </c>
    </row>
  </sheetData>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975873" r:id="rId4" name="btnRefreshAll">
              <controlPr defaultSize="0" print="0" autoFill="0" autoPict="0" macro="[0]!RunFullProcess_And_CreateReports">
                <anchor moveWithCells="1" sizeWithCells="1">
                  <from>
                    <xdr:col>0</xdr:col>
                    <xdr:colOff>123825</xdr:colOff>
                    <xdr:row>0</xdr:row>
                    <xdr:rowOff>123825</xdr:rowOff>
                  </from>
                  <to>
                    <xdr:col>3</xdr:col>
                    <xdr:colOff>581025</xdr:colOff>
                    <xdr:row>2</xdr:row>
                    <xdr:rowOff>57150</xdr:rowOff>
                  </to>
                </anchor>
              </controlPr>
            </control>
          </mc:Choice>
        </mc:AlternateContent>
        <mc:AlternateContent xmlns:mc="http://schemas.openxmlformats.org/markup-compatibility/2006">
          <mc:Choice Requires="x14">
            <control shapeId="975874" r:id="rId5" name="btnToggleRows">
              <controlPr defaultSize="0" print="0" autoFill="0" autoPict="0" macro="[0]!TogglePivotRowOrder">
                <anchor moveWithCells="1" sizeWithCells="1">
                  <from>
                    <xdr:col>4</xdr:col>
                    <xdr:colOff>95250</xdr:colOff>
                    <xdr:row>0</xdr:row>
                    <xdr:rowOff>123825</xdr:rowOff>
                  </from>
                  <to>
                    <xdr:col>7</xdr:col>
                    <xdr:colOff>552450</xdr:colOff>
                    <xdr:row>2</xdr:row>
                    <xdr:rowOff>57150</xdr:rowOff>
                  </to>
                </anchor>
              </controlPr>
            </control>
          </mc:Choice>
        </mc:AlternateContent>
        <mc:AlternateContent xmlns:mc="http://schemas.openxmlformats.org/markup-compatibility/2006">
          <mc:Choice Requires="x14">
            <control shapeId="975875" r:id="rId6" name="btnToggleData">
              <controlPr defaultSize="0" print="0" autoFill="0" autoPict="0" macro="[0]!TogglePivotDataField">
                <anchor moveWithCells="1" sizeWithCells="1">
                  <from>
                    <xdr:col>8</xdr:col>
                    <xdr:colOff>66675</xdr:colOff>
                    <xdr:row>0</xdr:row>
                    <xdr:rowOff>123825</xdr:rowOff>
                  </from>
                  <to>
                    <xdr:col>11</xdr:col>
                    <xdr:colOff>523875</xdr:colOff>
                    <xdr:row>2</xdr:row>
                    <xdr:rowOff>57150</xdr:rowOff>
                  </to>
                </anchor>
              </controlPr>
            </control>
          </mc:Choice>
        </mc:AlternateContent>
        <mc:AlternateContent xmlns:mc="http://schemas.openxmlformats.org/markup-compatibility/2006">
          <mc:Choice Requires="x14">
            <control shapeId="975876" r:id="rId7" name="btnToggleCollapseData">
              <controlPr defaultSize="0" print="0" autoFill="0" autoPict="0" macro="[0]!ToggleCollapsePivot">
                <anchor moveWithCells="1" sizeWithCells="1">
                  <from>
                    <xdr:col>8</xdr:col>
                    <xdr:colOff>66675</xdr:colOff>
                    <xdr:row>20</xdr:row>
                    <xdr:rowOff>0</xdr:rowOff>
                  </from>
                  <to>
                    <xdr:col>11</xdr:col>
                    <xdr:colOff>523875</xdr:colOff>
                    <xdr:row>21</xdr:row>
                    <xdr:rowOff>123825</xdr:rowOff>
                  </to>
                </anchor>
              </controlPr>
            </control>
          </mc:Choice>
        </mc:AlternateContent>
      </controls>
    </mc:Choice>
  </mc:AlternateContent>
  <extLst>
    <ext xmlns:x14="http://schemas.microsoft.com/office/spreadsheetml/2009/9/main" uri="{A8765BA9-456A-4dab-B4F3-ACF838C121DE}">
      <x14:slicerList>
        <x14:slicer r:id="rId8"/>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8F798-97EF-4A5E-B81D-42317AB6B215}">
  <sheetPr>
    <tabColor indexed="10"/>
  </sheetPr>
  <dimension ref="A1:P23"/>
  <sheetViews>
    <sheetView workbookViewId="0"/>
  </sheetViews>
  <sheetFormatPr defaultRowHeight="15" x14ac:dyDescent="0.25"/>
  <cols>
    <col min="1" max="1" width="21.7109375" style="1" bestFit="1" customWidth="1"/>
    <col min="2" max="2" width="6.5703125" bestFit="1" customWidth="1"/>
    <col min="3" max="3" width="9.7109375" bestFit="1" customWidth="1"/>
    <col min="4" max="4" width="6.5703125" bestFit="1" customWidth="1"/>
    <col min="5" max="5" width="9.7109375" bestFit="1" customWidth="1"/>
    <col min="6" max="6" width="6.5703125" bestFit="1" customWidth="1"/>
    <col min="7" max="7" width="9.7109375" bestFit="1" customWidth="1"/>
    <col min="8" max="8" width="6.5703125" bestFit="1" customWidth="1"/>
    <col min="9" max="9" width="9.7109375" bestFit="1" customWidth="1"/>
    <col min="10" max="10" width="6.5703125" bestFit="1" customWidth="1"/>
    <col min="11" max="11" width="9.7109375" bestFit="1" customWidth="1"/>
    <col min="12" max="12" width="6.5703125" bestFit="1" customWidth="1"/>
    <col min="13" max="13" width="9.7109375" bestFit="1" customWidth="1"/>
    <col min="14" max="14" width="7.140625" bestFit="1" customWidth="1"/>
    <col min="15" max="15" width="9.7109375" bestFit="1" customWidth="1"/>
  </cols>
  <sheetData>
    <row r="1" spans="1:16" s="1" customFormat="1" x14ac:dyDescent="0.25">
      <c r="A1" s="36"/>
      <c r="B1" s="32" t="s">
        <v>264</v>
      </c>
      <c r="C1" s="32"/>
      <c r="D1" s="32" t="s">
        <v>265</v>
      </c>
      <c r="E1" s="32"/>
      <c r="F1" s="32" t="s">
        <v>266</v>
      </c>
      <c r="G1" s="32"/>
      <c r="H1" s="32" t="s">
        <v>267</v>
      </c>
      <c r="I1" s="32"/>
      <c r="J1" s="32" t="s">
        <v>239</v>
      </c>
      <c r="K1" s="32"/>
      <c r="L1" s="32" t="s">
        <v>263</v>
      </c>
      <c r="M1" s="32"/>
      <c r="N1" s="32" t="s">
        <v>1029</v>
      </c>
      <c r="O1" s="32"/>
    </row>
    <row r="2" spans="1:16" s="1" customFormat="1" x14ac:dyDescent="0.25">
      <c r="A2" s="36" t="s">
        <v>277</v>
      </c>
      <c r="B2" s="20" t="s">
        <v>278</v>
      </c>
      <c r="C2" s="20" t="s">
        <v>279</v>
      </c>
      <c r="D2" s="20" t="s">
        <v>278</v>
      </c>
      <c r="E2" s="20" t="s">
        <v>279</v>
      </c>
      <c r="F2" s="20" t="s">
        <v>278</v>
      </c>
      <c r="G2" s="20" t="s">
        <v>279</v>
      </c>
      <c r="H2" s="20" t="s">
        <v>278</v>
      </c>
      <c r="I2" s="20" t="s">
        <v>279</v>
      </c>
      <c r="J2" s="20" t="s">
        <v>278</v>
      </c>
      <c r="K2" s="20" t="s">
        <v>279</v>
      </c>
      <c r="L2" s="20" t="s">
        <v>278</v>
      </c>
      <c r="M2" s="20" t="s">
        <v>279</v>
      </c>
      <c r="N2" s="20" t="s">
        <v>278</v>
      </c>
      <c r="O2" s="20" t="s">
        <v>279</v>
      </c>
    </row>
    <row r="3" spans="1:16" x14ac:dyDescent="0.25">
      <c r="A3" s="20" t="s">
        <v>33</v>
      </c>
      <c r="B3" s="17">
        <v>136</v>
      </c>
      <c r="C3" s="17">
        <v>136</v>
      </c>
      <c r="D3" s="17">
        <v>160</v>
      </c>
      <c r="E3" s="17">
        <v>160</v>
      </c>
      <c r="F3" s="17">
        <v>168</v>
      </c>
      <c r="G3" s="17">
        <v>168</v>
      </c>
      <c r="H3" s="17">
        <v>176</v>
      </c>
      <c r="I3" s="17">
        <v>176</v>
      </c>
      <c r="J3" s="17">
        <v>144</v>
      </c>
      <c r="K3" s="17">
        <v>144</v>
      </c>
      <c r="L3" s="17">
        <v>156</v>
      </c>
      <c r="M3" s="17">
        <v>156</v>
      </c>
      <c r="N3" s="17">
        <v>184</v>
      </c>
      <c r="O3" s="17">
        <v>184</v>
      </c>
      <c r="P3" s="16"/>
    </row>
    <row r="4" spans="1:16" x14ac:dyDescent="0.25">
      <c r="A4" s="20" t="s">
        <v>43</v>
      </c>
      <c r="B4" s="17">
        <v>136</v>
      </c>
      <c r="C4" s="17">
        <v>136</v>
      </c>
      <c r="D4" s="17">
        <v>160</v>
      </c>
      <c r="E4" s="17">
        <v>160</v>
      </c>
      <c r="F4" s="17">
        <v>168</v>
      </c>
      <c r="G4" s="17">
        <v>168</v>
      </c>
      <c r="H4" s="17">
        <v>176</v>
      </c>
      <c r="I4" s="17">
        <v>176</v>
      </c>
      <c r="J4" s="17">
        <v>144</v>
      </c>
      <c r="K4" s="17">
        <v>144</v>
      </c>
      <c r="L4" s="17">
        <v>72</v>
      </c>
      <c r="M4" s="17">
        <v>72</v>
      </c>
      <c r="N4" s="17">
        <v>184</v>
      </c>
      <c r="O4" s="17">
        <v>184</v>
      </c>
      <c r="P4" s="16"/>
    </row>
    <row r="5" spans="1:16" x14ac:dyDescent="0.25">
      <c r="A5" s="20" t="s">
        <v>49</v>
      </c>
      <c r="B5" s="17"/>
      <c r="C5" s="17"/>
      <c r="D5" s="17"/>
      <c r="E5" s="17"/>
      <c r="F5" s="17">
        <v>72</v>
      </c>
      <c r="G5" s="17">
        <v>72</v>
      </c>
      <c r="H5" s="17">
        <v>176</v>
      </c>
      <c r="I5" s="17">
        <v>176</v>
      </c>
      <c r="J5" s="17">
        <v>144</v>
      </c>
      <c r="K5" s="17">
        <v>144</v>
      </c>
      <c r="L5" s="17">
        <v>152</v>
      </c>
      <c r="M5" s="17">
        <v>152</v>
      </c>
      <c r="N5" s="17">
        <v>184</v>
      </c>
      <c r="O5" s="17">
        <v>184</v>
      </c>
      <c r="P5" s="16"/>
    </row>
    <row r="6" spans="1:16" x14ac:dyDescent="0.25">
      <c r="A6" s="20" t="s">
        <v>30</v>
      </c>
      <c r="B6" s="17">
        <v>136</v>
      </c>
      <c r="C6" s="17">
        <v>136</v>
      </c>
      <c r="D6" s="17">
        <v>160</v>
      </c>
      <c r="E6" s="17">
        <v>160</v>
      </c>
      <c r="F6" s="17">
        <v>168</v>
      </c>
      <c r="G6" s="17">
        <v>168</v>
      </c>
      <c r="H6" s="17">
        <v>176</v>
      </c>
      <c r="I6" s="17">
        <v>176</v>
      </c>
      <c r="J6" s="17">
        <v>144</v>
      </c>
      <c r="K6" s="17">
        <v>144</v>
      </c>
      <c r="L6" s="17">
        <v>152</v>
      </c>
      <c r="M6" s="17">
        <v>152</v>
      </c>
      <c r="N6" s="17">
        <v>184</v>
      </c>
      <c r="O6" s="17">
        <v>184</v>
      </c>
      <c r="P6" s="16"/>
    </row>
    <row r="7" spans="1:16" x14ac:dyDescent="0.25">
      <c r="A7" s="20" t="s">
        <v>32</v>
      </c>
      <c r="B7" s="17">
        <v>136</v>
      </c>
      <c r="C7" s="17">
        <v>136</v>
      </c>
      <c r="D7" s="17">
        <v>160</v>
      </c>
      <c r="E7" s="17">
        <v>160</v>
      </c>
      <c r="F7" s="17">
        <v>168</v>
      </c>
      <c r="G7" s="17">
        <v>168</v>
      </c>
      <c r="H7" s="17">
        <v>177</v>
      </c>
      <c r="I7" s="17">
        <v>177</v>
      </c>
      <c r="J7" s="17">
        <v>144</v>
      </c>
      <c r="K7" s="17">
        <v>144</v>
      </c>
      <c r="L7" s="17">
        <v>120.5</v>
      </c>
      <c r="M7" s="17">
        <v>120.5</v>
      </c>
      <c r="N7" s="17">
        <v>184</v>
      </c>
      <c r="O7" s="17">
        <v>184</v>
      </c>
      <c r="P7" s="16"/>
    </row>
    <row r="8" spans="1:16" x14ac:dyDescent="0.25">
      <c r="A8" s="20" t="s">
        <v>41</v>
      </c>
      <c r="B8" s="17">
        <v>136</v>
      </c>
      <c r="C8" s="17">
        <v>136</v>
      </c>
      <c r="D8" s="17">
        <v>120</v>
      </c>
      <c r="E8" s="17">
        <v>120</v>
      </c>
      <c r="F8" s="17">
        <v>168</v>
      </c>
      <c r="G8" s="17">
        <v>168</v>
      </c>
      <c r="H8" s="17">
        <v>177</v>
      </c>
      <c r="I8" s="17">
        <v>177</v>
      </c>
      <c r="J8" s="17">
        <v>144</v>
      </c>
      <c r="K8" s="17">
        <v>144</v>
      </c>
      <c r="L8" s="17">
        <v>118</v>
      </c>
      <c r="M8" s="17">
        <v>118</v>
      </c>
      <c r="N8" s="17">
        <v>192</v>
      </c>
      <c r="O8" s="17">
        <v>192</v>
      </c>
      <c r="P8" s="16"/>
    </row>
    <row r="9" spans="1:16" x14ac:dyDescent="0.25">
      <c r="A9" s="20" t="s">
        <v>36</v>
      </c>
      <c r="B9" s="17">
        <v>136</v>
      </c>
      <c r="C9" s="17">
        <v>136</v>
      </c>
      <c r="D9" s="17">
        <v>160</v>
      </c>
      <c r="E9" s="17">
        <v>160</v>
      </c>
      <c r="F9" s="17">
        <v>168.1</v>
      </c>
      <c r="G9" s="17">
        <v>168.1</v>
      </c>
      <c r="H9" s="17">
        <v>151.89999999999998</v>
      </c>
      <c r="I9" s="17">
        <v>151.89999999999998</v>
      </c>
      <c r="J9" s="17">
        <v>80</v>
      </c>
      <c r="K9" s="17">
        <v>80</v>
      </c>
      <c r="L9" s="17">
        <v>152</v>
      </c>
      <c r="M9" s="17">
        <v>152</v>
      </c>
      <c r="N9" s="17">
        <v>184</v>
      </c>
      <c r="O9" s="17">
        <v>184</v>
      </c>
      <c r="P9" s="16"/>
    </row>
    <row r="10" spans="1:16" x14ac:dyDescent="0.25">
      <c r="A10" s="20" t="s">
        <v>26</v>
      </c>
      <c r="B10" s="17">
        <v>136</v>
      </c>
      <c r="C10" s="17">
        <v>136</v>
      </c>
      <c r="D10" s="17">
        <v>138</v>
      </c>
      <c r="E10" s="17">
        <v>138</v>
      </c>
      <c r="F10" s="17">
        <v>58</v>
      </c>
      <c r="G10" s="17">
        <v>58</v>
      </c>
      <c r="H10" s="17">
        <v>154</v>
      </c>
      <c r="I10" s="17">
        <v>154</v>
      </c>
      <c r="J10" s="17">
        <v>62</v>
      </c>
      <c r="K10" s="17">
        <v>62</v>
      </c>
      <c r="L10" s="17">
        <v>131.5</v>
      </c>
      <c r="M10" s="17">
        <v>131.5</v>
      </c>
      <c r="N10" s="17">
        <v>156</v>
      </c>
      <c r="O10" s="17">
        <v>156</v>
      </c>
      <c r="P10" s="16"/>
    </row>
    <row r="11" spans="1:16" x14ac:dyDescent="0.25">
      <c r="A11" s="20" t="s">
        <v>37</v>
      </c>
      <c r="B11" s="17">
        <v>136</v>
      </c>
      <c r="C11" s="17">
        <v>136</v>
      </c>
      <c r="D11" s="17">
        <v>160</v>
      </c>
      <c r="E11" s="17">
        <v>160</v>
      </c>
      <c r="F11" s="17">
        <v>168</v>
      </c>
      <c r="G11" s="17">
        <v>168</v>
      </c>
      <c r="H11" s="17">
        <v>176</v>
      </c>
      <c r="I11" s="17">
        <v>176</v>
      </c>
      <c r="J11" s="17">
        <v>144</v>
      </c>
      <c r="K11" s="17">
        <v>144</v>
      </c>
      <c r="L11" s="17">
        <v>152</v>
      </c>
      <c r="M11" s="17">
        <v>152</v>
      </c>
      <c r="N11" s="17">
        <v>184</v>
      </c>
      <c r="O11" s="17">
        <v>184</v>
      </c>
      <c r="P11" s="16"/>
    </row>
    <row r="12" spans="1:16" x14ac:dyDescent="0.25">
      <c r="A12" s="20" t="s">
        <v>44</v>
      </c>
      <c r="B12" s="17"/>
      <c r="C12" s="17"/>
      <c r="D12" s="17">
        <v>104</v>
      </c>
      <c r="E12" s="17">
        <v>104</v>
      </c>
      <c r="F12" s="17">
        <v>168</v>
      </c>
      <c r="G12" s="17">
        <v>168</v>
      </c>
      <c r="H12" s="17">
        <v>176</v>
      </c>
      <c r="I12" s="17">
        <v>176</v>
      </c>
      <c r="J12" s="17">
        <v>120</v>
      </c>
      <c r="K12" s="17">
        <v>120</v>
      </c>
      <c r="L12" s="17">
        <v>152</v>
      </c>
      <c r="M12" s="17">
        <v>152</v>
      </c>
      <c r="N12" s="17">
        <v>119.75</v>
      </c>
      <c r="O12" s="17">
        <v>119.75</v>
      </c>
      <c r="P12" s="16"/>
    </row>
    <row r="13" spans="1:16" x14ac:dyDescent="0.25">
      <c r="A13" s="20" t="s">
        <v>46</v>
      </c>
      <c r="B13" s="17"/>
      <c r="C13" s="17"/>
      <c r="D13" s="17"/>
      <c r="E13" s="17"/>
      <c r="F13" s="17">
        <v>144</v>
      </c>
      <c r="G13" s="17">
        <v>144</v>
      </c>
      <c r="H13" s="17">
        <v>176</v>
      </c>
      <c r="I13" s="17">
        <v>176</v>
      </c>
      <c r="J13" s="17">
        <v>144</v>
      </c>
      <c r="K13" s="17">
        <v>144</v>
      </c>
      <c r="L13" s="17">
        <v>160</v>
      </c>
      <c r="M13" s="17">
        <v>160</v>
      </c>
      <c r="N13" s="17">
        <v>184</v>
      </c>
      <c r="O13" s="17">
        <v>184</v>
      </c>
      <c r="P13" s="16"/>
    </row>
    <row r="14" spans="1:16" x14ac:dyDescent="0.25">
      <c r="A14" s="20" t="s">
        <v>21</v>
      </c>
      <c r="B14" s="17">
        <v>136</v>
      </c>
      <c r="C14" s="17">
        <v>136</v>
      </c>
      <c r="D14" s="17">
        <v>160</v>
      </c>
      <c r="E14" s="17">
        <v>160</v>
      </c>
      <c r="F14" s="17">
        <v>168</v>
      </c>
      <c r="G14" s="17">
        <v>168</v>
      </c>
      <c r="H14" s="17">
        <v>191</v>
      </c>
      <c r="I14" s="17">
        <v>191</v>
      </c>
      <c r="J14" s="17">
        <v>105</v>
      </c>
      <c r="K14" s="17">
        <v>105</v>
      </c>
      <c r="L14" s="17">
        <v>152</v>
      </c>
      <c r="M14" s="17">
        <v>152</v>
      </c>
      <c r="N14" s="17">
        <v>184</v>
      </c>
      <c r="O14" s="17">
        <v>184</v>
      </c>
      <c r="P14" s="16"/>
    </row>
    <row r="15" spans="1:16" x14ac:dyDescent="0.25">
      <c r="A15" s="20" t="s">
        <v>39</v>
      </c>
      <c r="B15" s="17">
        <v>136</v>
      </c>
      <c r="C15" s="17">
        <v>136</v>
      </c>
      <c r="D15" s="17">
        <v>160</v>
      </c>
      <c r="E15" s="17">
        <v>160</v>
      </c>
      <c r="F15" s="17">
        <v>168</v>
      </c>
      <c r="G15" s="17">
        <v>168</v>
      </c>
      <c r="H15" s="17">
        <v>176</v>
      </c>
      <c r="I15" s="17">
        <v>176</v>
      </c>
      <c r="J15" s="17">
        <v>144</v>
      </c>
      <c r="K15" s="17">
        <v>144</v>
      </c>
      <c r="L15" s="17">
        <v>152</v>
      </c>
      <c r="M15" s="17">
        <v>152</v>
      </c>
      <c r="N15" s="17">
        <v>184</v>
      </c>
      <c r="O15" s="17">
        <v>184</v>
      </c>
      <c r="P15" s="16"/>
    </row>
    <row r="16" spans="1:16" x14ac:dyDescent="0.25">
      <c r="A16" s="20" t="s">
        <v>25</v>
      </c>
      <c r="B16" s="17">
        <v>136</v>
      </c>
      <c r="C16" s="17">
        <v>136</v>
      </c>
      <c r="D16" s="17">
        <v>160</v>
      </c>
      <c r="E16" s="17">
        <v>160</v>
      </c>
      <c r="F16" s="17">
        <v>168</v>
      </c>
      <c r="G16" s="17">
        <v>168</v>
      </c>
      <c r="H16" s="17">
        <v>176</v>
      </c>
      <c r="I16" s="17">
        <v>176</v>
      </c>
      <c r="J16" s="17">
        <v>129</v>
      </c>
      <c r="K16" s="17">
        <v>129</v>
      </c>
      <c r="L16" s="17">
        <v>152</v>
      </c>
      <c r="M16" s="17">
        <v>152</v>
      </c>
      <c r="N16" s="17">
        <v>184</v>
      </c>
      <c r="O16" s="17">
        <v>184</v>
      </c>
      <c r="P16" s="16"/>
    </row>
    <row r="17" spans="1:16" x14ac:dyDescent="0.25">
      <c r="A17" s="20" t="s">
        <v>27</v>
      </c>
      <c r="B17" s="17">
        <v>136</v>
      </c>
      <c r="C17" s="17">
        <v>136</v>
      </c>
      <c r="D17" s="17">
        <v>161</v>
      </c>
      <c r="E17" s="17">
        <v>161</v>
      </c>
      <c r="F17" s="17">
        <v>168</v>
      </c>
      <c r="G17" s="17">
        <v>168</v>
      </c>
      <c r="H17" s="17">
        <v>176</v>
      </c>
      <c r="I17" s="17">
        <v>176</v>
      </c>
      <c r="J17" s="17">
        <v>144</v>
      </c>
      <c r="K17" s="17">
        <v>144</v>
      </c>
      <c r="L17" s="17">
        <v>145.5</v>
      </c>
      <c r="M17" s="17">
        <v>145.5</v>
      </c>
      <c r="N17" s="17">
        <v>112</v>
      </c>
      <c r="O17" s="17">
        <v>112</v>
      </c>
      <c r="P17" s="16"/>
    </row>
    <row r="18" spans="1:16" x14ac:dyDescent="0.25">
      <c r="A18" s="20" t="s">
        <v>42</v>
      </c>
      <c r="B18" s="17">
        <v>4</v>
      </c>
      <c r="C18" s="17">
        <v>4</v>
      </c>
      <c r="D18" s="17">
        <v>115.4</v>
      </c>
      <c r="E18" s="17">
        <v>115.4</v>
      </c>
      <c r="F18" s="17">
        <v>105</v>
      </c>
      <c r="G18" s="17">
        <v>105</v>
      </c>
      <c r="H18" s="17">
        <v>89</v>
      </c>
      <c r="I18" s="17">
        <v>89</v>
      </c>
      <c r="J18" s="17">
        <v>58</v>
      </c>
      <c r="K18" s="17">
        <v>58</v>
      </c>
      <c r="L18" s="17">
        <v>70</v>
      </c>
      <c r="M18" s="17">
        <v>70</v>
      </c>
      <c r="N18" s="17">
        <v>117</v>
      </c>
      <c r="O18" s="17">
        <v>117</v>
      </c>
      <c r="P18" s="16"/>
    </row>
    <row r="19" spans="1:16" x14ac:dyDescent="0.25">
      <c r="A19" s="20" t="s">
        <v>252</v>
      </c>
      <c r="B19" s="17">
        <v>136</v>
      </c>
      <c r="C19" s="17">
        <v>136</v>
      </c>
      <c r="D19" s="17">
        <v>157</v>
      </c>
      <c r="E19" s="17">
        <v>157</v>
      </c>
      <c r="F19" s="17">
        <v>155</v>
      </c>
      <c r="G19" s="17">
        <v>155</v>
      </c>
      <c r="H19" s="17">
        <v>153</v>
      </c>
      <c r="I19" s="17">
        <v>153</v>
      </c>
      <c r="J19" s="17">
        <v>60</v>
      </c>
      <c r="K19" s="17">
        <v>60</v>
      </c>
      <c r="L19" s="17">
        <v>124</v>
      </c>
      <c r="M19" s="17">
        <v>124</v>
      </c>
      <c r="N19" s="17">
        <v>97</v>
      </c>
      <c r="O19" s="17">
        <v>97</v>
      </c>
      <c r="P19" s="16"/>
    </row>
    <row r="20" spans="1:16" x14ac:dyDescent="0.25">
      <c r="A20" s="20" t="s">
        <v>231</v>
      </c>
      <c r="B20" s="17">
        <v>127</v>
      </c>
      <c r="C20" s="17">
        <v>127</v>
      </c>
      <c r="D20" s="17"/>
      <c r="E20" s="17"/>
      <c r="F20" s="17"/>
      <c r="G20" s="17"/>
      <c r="H20" s="17"/>
      <c r="I20" s="17"/>
      <c r="J20" s="17"/>
      <c r="K20" s="17"/>
      <c r="L20" s="17"/>
      <c r="M20" s="17"/>
      <c r="N20" s="17"/>
      <c r="O20" s="17"/>
      <c r="P20" s="16"/>
    </row>
    <row r="21" spans="1:16" x14ac:dyDescent="0.25">
      <c r="A21" s="20" t="s">
        <v>256</v>
      </c>
      <c r="B21" s="17">
        <v>72</v>
      </c>
      <c r="C21" s="17">
        <v>72</v>
      </c>
      <c r="D21" s="17"/>
      <c r="E21" s="17"/>
      <c r="F21" s="17"/>
      <c r="G21" s="17"/>
      <c r="H21" s="17"/>
      <c r="I21" s="17"/>
      <c r="J21" s="17"/>
      <c r="K21" s="17"/>
      <c r="L21" s="17"/>
      <c r="M21" s="17"/>
      <c r="N21" s="17"/>
      <c r="O21" s="17"/>
      <c r="P21" s="16"/>
    </row>
    <row r="22" spans="1:16" x14ac:dyDescent="0.25">
      <c r="A22" s="20" t="s">
        <v>257</v>
      </c>
      <c r="B22" s="17">
        <v>136</v>
      </c>
      <c r="C22" s="17">
        <v>136</v>
      </c>
      <c r="D22" s="17">
        <v>160</v>
      </c>
      <c r="E22" s="17">
        <v>160</v>
      </c>
      <c r="F22" s="17">
        <v>32</v>
      </c>
      <c r="G22" s="17">
        <v>32</v>
      </c>
      <c r="H22" s="17"/>
      <c r="I22" s="17"/>
      <c r="J22" s="17"/>
      <c r="K22" s="17"/>
      <c r="L22" s="17"/>
      <c r="M22" s="17"/>
      <c r="N22" s="17"/>
      <c r="O22" s="17"/>
      <c r="P22" s="16"/>
    </row>
    <row r="23" spans="1:16" x14ac:dyDescent="0.25">
      <c r="B23" s="16"/>
      <c r="C23" s="16"/>
      <c r="D23" s="16"/>
      <c r="E23" s="16"/>
      <c r="F23" s="16"/>
      <c r="G23" s="16"/>
      <c r="H23" s="16"/>
      <c r="I23" s="16"/>
      <c r="J23" s="16"/>
      <c r="K23" s="16"/>
      <c r="L23" s="16"/>
      <c r="M23" s="16"/>
      <c r="N23" s="16"/>
      <c r="O23" s="16"/>
      <c r="P23" s="16"/>
    </row>
  </sheetData>
  <mergeCells count="7">
    <mergeCell ref="N1:O1"/>
    <mergeCell ref="B1:C1"/>
    <mergeCell ref="D1:E1"/>
    <mergeCell ref="F1:G1"/>
    <mergeCell ref="H1:I1"/>
    <mergeCell ref="J1:K1"/>
    <mergeCell ref="L1:M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979127-DC32-451C-87B6-02E0BE437F0B}">
  <sheetPr>
    <tabColor indexed="10"/>
  </sheetPr>
  <dimension ref="A1:E29"/>
  <sheetViews>
    <sheetView workbookViewId="0">
      <selection activeCell="E22" sqref="B22:E22"/>
    </sheetView>
  </sheetViews>
  <sheetFormatPr defaultRowHeight="15" x14ac:dyDescent="0.25"/>
  <cols>
    <col min="1" max="1" width="32.28515625" bestFit="1" customWidth="1"/>
    <col min="2" max="2" width="17.5703125" style="29" customWidth="1"/>
    <col min="3" max="3" width="15.7109375" style="29" customWidth="1"/>
    <col min="4" max="4" width="14.42578125" style="29" bestFit="1" customWidth="1"/>
    <col min="5" max="5" width="12.7109375" bestFit="1" customWidth="1"/>
  </cols>
  <sheetData>
    <row r="1" spans="1:5" x14ac:dyDescent="0.25">
      <c r="A1" s="1" t="s">
        <v>280</v>
      </c>
      <c r="B1" s="28" t="s">
        <v>281</v>
      </c>
      <c r="C1" s="28" t="s">
        <v>282</v>
      </c>
      <c r="D1" s="28" t="s">
        <v>283</v>
      </c>
      <c r="E1" s="1" t="s">
        <v>286</v>
      </c>
    </row>
    <row r="2" spans="1:5" x14ac:dyDescent="0.25">
      <c r="A2" t="s">
        <v>951</v>
      </c>
      <c r="B2" s="29">
        <v>74281.609194999997</v>
      </c>
      <c r="C2" s="29">
        <v>183000</v>
      </c>
      <c r="D2" s="29">
        <f>C2-B2</f>
        <v>108718.390805</v>
      </c>
      <c r="E2" s="25">
        <f>IFERROR(D2/C2,0)</f>
        <v>0.59408956724043716</v>
      </c>
    </row>
    <row r="3" spans="1:5" x14ac:dyDescent="0.25">
      <c r="A3" t="s">
        <v>40</v>
      </c>
      <c r="B3" s="29">
        <v>588005.40903191175</v>
      </c>
      <c r="C3" s="29">
        <v>1355850</v>
      </c>
      <c r="D3" s="29">
        <f>C3-B3</f>
        <v>767844.59096808825</v>
      </c>
      <c r="E3" s="25">
        <f>IFERROR(D3/C3,0)</f>
        <v>0.56631971897192779</v>
      </c>
    </row>
    <row r="4" spans="1:5" x14ac:dyDescent="0.25">
      <c r="A4" t="s">
        <v>29</v>
      </c>
      <c r="B4" s="29">
        <v>882629.97256516328</v>
      </c>
      <c r="C4" s="29">
        <v>0</v>
      </c>
      <c r="D4" s="29">
        <f>C4-B4</f>
        <v>-882629.97256516328</v>
      </c>
      <c r="E4" s="25">
        <f>IFERROR(D4/C4,0)</f>
        <v>0</v>
      </c>
    </row>
    <row r="5" spans="1:5" x14ac:dyDescent="0.25">
      <c r="A5" t="s">
        <v>258</v>
      </c>
      <c r="B5" s="29">
        <v>30679.513182352945</v>
      </c>
      <c r="C5" s="29">
        <v>0</v>
      </c>
      <c r="D5" s="29">
        <f>C5-B5</f>
        <v>-30679.513182352945</v>
      </c>
      <c r="E5" s="25">
        <f>IFERROR(D5/C5,0)</f>
        <v>0</v>
      </c>
    </row>
    <row r="6" spans="1:5" x14ac:dyDescent="0.25">
      <c r="A6" t="s">
        <v>250</v>
      </c>
      <c r="B6" s="29">
        <v>19895.589486932684</v>
      </c>
      <c r="C6" s="29">
        <v>8995.5849999999991</v>
      </c>
      <c r="D6" s="29">
        <f>C6-B6</f>
        <v>-10900.004486932685</v>
      </c>
      <c r="E6" s="25">
        <f>IFERROR(D6/C6,0)</f>
        <v>-1.2117060187783992</v>
      </c>
    </row>
    <row r="7" spans="1:5" x14ac:dyDescent="0.25">
      <c r="A7" t="s">
        <v>34</v>
      </c>
      <c r="B7" s="29">
        <v>1654657.144583151</v>
      </c>
      <c r="C7" s="29">
        <v>0</v>
      </c>
      <c r="D7" s="29">
        <f>C7-B7</f>
        <v>-1654657.144583151</v>
      </c>
      <c r="E7" s="25">
        <f>IFERROR(D7/C7,0)</f>
        <v>0</v>
      </c>
    </row>
    <row r="8" spans="1:5" x14ac:dyDescent="0.25">
      <c r="A8" t="s">
        <v>31</v>
      </c>
      <c r="B8" s="29">
        <v>2635054.4619390303</v>
      </c>
      <c r="C8" s="29">
        <v>0</v>
      </c>
      <c r="D8" s="29">
        <f>C8-B8</f>
        <v>-2635054.4619390303</v>
      </c>
      <c r="E8" s="25">
        <f>IFERROR(D8/C8,0)</f>
        <v>0</v>
      </c>
    </row>
    <row r="9" spans="1:5" x14ac:dyDescent="0.25">
      <c r="A9" t="s">
        <v>50</v>
      </c>
      <c r="B9" s="29">
        <v>112119.67547040441</v>
      </c>
      <c r="C9" s="29">
        <v>0</v>
      </c>
      <c r="D9" s="29">
        <f>C9-B9</f>
        <v>-112119.67547040441</v>
      </c>
      <c r="E9" s="25">
        <f>IFERROR(D9/C9,0)</f>
        <v>0</v>
      </c>
    </row>
    <row r="10" spans="1:5" x14ac:dyDescent="0.25">
      <c r="A10" t="s">
        <v>45</v>
      </c>
      <c r="B10" s="29">
        <v>320751.23152126628</v>
      </c>
      <c r="C10" s="29">
        <v>652800</v>
      </c>
      <c r="D10" s="29">
        <f>C10-B10</f>
        <v>332048.76847873372</v>
      </c>
      <c r="E10" s="25">
        <f>IFERROR(D10/C10,0)</f>
        <v>0.50865313798825629</v>
      </c>
    </row>
    <row r="11" spans="1:5" x14ac:dyDescent="0.25">
      <c r="A11" t="s">
        <v>60</v>
      </c>
      <c r="B11" s="29">
        <v>292460.31745476188</v>
      </c>
      <c r="C11" s="29">
        <v>597300</v>
      </c>
      <c r="D11" s="29">
        <f>C11-B11</f>
        <v>304839.68254523812</v>
      </c>
      <c r="E11" s="25">
        <f>IFERROR(D11/C11,0)</f>
        <v>0.51036277004057951</v>
      </c>
    </row>
    <row r="12" spans="1:5" x14ac:dyDescent="0.25">
      <c r="A12" t="s">
        <v>952</v>
      </c>
      <c r="B12" s="29">
        <v>366172.28564826061</v>
      </c>
      <c r="C12" s="29">
        <v>350000</v>
      </c>
      <c r="D12" s="29">
        <f>C12-B12</f>
        <v>-16172.285648260615</v>
      </c>
      <c r="E12" s="25">
        <f>IFERROR(D12/C12,0)</f>
        <v>-4.6206530423601753E-2</v>
      </c>
    </row>
    <row r="13" spans="1:5" x14ac:dyDescent="0.25">
      <c r="A13" t="s">
        <v>953</v>
      </c>
      <c r="B13" s="29">
        <v>54187.192114285717</v>
      </c>
      <c r="C13" s="29">
        <v>120000</v>
      </c>
      <c r="D13" s="29">
        <f>C13-B13</f>
        <v>65812.807885714283</v>
      </c>
      <c r="E13" s="25">
        <f>IFERROR(D13/C13,0)</f>
        <v>0.54844006571428572</v>
      </c>
    </row>
    <row r="14" spans="1:5" x14ac:dyDescent="0.25">
      <c r="A14" t="s">
        <v>270</v>
      </c>
      <c r="B14" s="29">
        <v>163473.81863434345</v>
      </c>
      <c r="C14" s="29">
        <v>249000</v>
      </c>
      <c r="D14" s="29">
        <f>C14-B14</f>
        <v>85526.18136565655</v>
      </c>
      <c r="E14" s="25">
        <f>IFERROR(D14/C14,0)</f>
        <v>0.34347864002271705</v>
      </c>
    </row>
    <row r="15" spans="1:5" x14ac:dyDescent="0.25">
      <c r="A15" t="s">
        <v>954</v>
      </c>
      <c r="B15" s="29">
        <v>92332.123405263163</v>
      </c>
      <c r="C15" s="29">
        <v>159000</v>
      </c>
      <c r="D15" s="29">
        <f>C15-B15</f>
        <v>66667.876594736837</v>
      </c>
      <c r="E15" s="25">
        <f>IFERROR(D15/C15,0)</f>
        <v>0.41929482135054613</v>
      </c>
    </row>
    <row r="16" spans="1:5" x14ac:dyDescent="0.25">
      <c r="A16" t="s">
        <v>955</v>
      </c>
      <c r="B16" s="29">
        <v>231662.12944736844</v>
      </c>
      <c r="C16" s="29">
        <v>558000</v>
      </c>
      <c r="D16" s="29">
        <f>C16-B16</f>
        <v>326337.87055263156</v>
      </c>
      <c r="E16" s="25">
        <f>IFERROR(D16/C16,0)</f>
        <v>0.58483489346349737</v>
      </c>
    </row>
    <row r="17" spans="1:5" x14ac:dyDescent="0.25">
      <c r="A17" t="s">
        <v>956</v>
      </c>
      <c r="B17" s="29">
        <v>690599.43709519436</v>
      </c>
      <c r="C17" s="29">
        <v>1080000</v>
      </c>
      <c r="D17" s="29">
        <f>C17-B17</f>
        <v>389400.56290480564</v>
      </c>
      <c r="E17" s="25">
        <f>IFERROR(D17/C17,0)</f>
        <v>0.36055607676370893</v>
      </c>
    </row>
    <row r="18" spans="1:5" x14ac:dyDescent="0.25">
      <c r="A18" t="s">
        <v>1011</v>
      </c>
      <c r="B18" s="29">
        <v>49705.801857359322</v>
      </c>
      <c r="C18" s="29">
        <v>0</v>
      </c>
      <c r="D18" s="29">
        <f>C18-B18</f>
        <v>-49705.801857359322</v>
      </c>
      <c r="E18" s="25">
        <f>IFERROR(D18/C18,0)</f>
        <v>0</v>
      </c>
    </row>
    <row r="19" spans="1:5" x14ac:dyDescent="0.25">
      <c r="A19" t="s">
        <v>23</v>
      </c>
      <c r="B19" s="29">
        <v>1328826.3867515316</v>
      </c>
      <c r="C19" s="29">
        <v>2491666</v>
      </c>
      <c r="D19" s="29">
        <f>C19-B19</f>
        <v>1162839.6132484684</v>
      </c>
      <c r="E19" s="25">
        <f>IFERROR(D19/C19,0)</f>
        <v>0.46669160844530061</v>
      </c>
    </row>
    <row r="20" spans="1:5" x14ac:dyDescent="0.25">
      <c r="A20" t="s">
        <v>47</v>
      </c>
      <c r="B20" s="29">
        <v>393575.53363311687</v>
      </c>
      <c r="C20" s="29">
        <v>924800</v>
      </c>
      <c r="D20" s="29">
        <f>C20-B20</f>
        <v>531224.46636688313</v>
      </c>
      <c r="E20" s="25">
        <f>IFERROR(D20/C20,0)</f>
        <v>0.57442091951436325</v>
      </c>
    </row>
    <row r="21" spans="1:5" x14ac:dyDescent="0.25">
      <c r="A21" t="s">
        <v>28</v>
      </c>
      <c r="B21" s="29">
        <v>1450008.4739759238</v>
      </c>
      <c r="C21" s="29">
        <v>3038000</v>
      </c>
      <c r="D21" s="29">
        <f>C21-B21</f>
        <v>1587991.5260240762</v>
      </c>
      <c r="E21" s="25">
        <f>IFERROR(D21/C21,0)</f>
        <v>0.52270952140358007</v>
      </c>
    </row>
    <row r="22" spans="1:5" x14ac:dyDescent="0.25">
      <c r="A22" t="s">
        <v>48</v>
      </c>
      <c r="B22" s="29">
        <v>311609.19540005689</v>
      </c>
      <c r="C22" s="29">
        <v>789200</v>
      </c>
      <c r="D22" s="29">
        <f>C22-B22</f>
        <v>477590.80459994311</v>
      </c>
      <c r="E22" s="25">
        <f>IFERROR(D22/C22,0)</f>
        <v>0.60515814064868612</v>
      </c>
    </row>
    <row r="23" spans="1:5" x14ac:dyDescent="0.25">
      <c r="A23" t="s">
        <v>38</v>
      </c>
      <c r="B23" s="29">
        <v>341717.37659037439</v>
      </c>
      <c r="C23" s="29">
        <v>0</v>
      </c>
      <c r="D23" s="29">
        <f>C23-B23</f>
        <v>-341717.37659037439</v>
      </c>
      <c r="E23" s="25">
        <f>IFERROR(D23/C23,0)</f>
        <v>0</v>
      </c>
    </row>
    <row r="24" spans="1:5" x14ac:dyDescent="0.25">
      <c r="A24" t="s">
        <v>24</v>
      </c>
      <c r="B24" s="29">
        <v>1155843.8981578194</v>
      </c>
      <c r="C24" s="29">
        <v>1523500</v>
      </c>
      <c r="D24" s="29">
        <f>C24-B24</f>
        <v>367656.10184218059</v>
      </c>
      <c r="E24" s="25">
        <f>IFERROR(D24/C24,0)</f>
        <v>0.24132333563648217</v>
      </c>
    </row>
    <row r="25" spans="1:5" x14ac:dyDescent="0.25">
      <c r="A25" t="s">
        <v>35</v>
      </c>
      <c r="B25" s="29">
        <v>4959008.8312585521</v>
      </c>
      <c r="C25" s="29">
        <v>4974700</v>
      </c>
      <c r="D25" s="29">
        <f>C25-B25</f>
        <v>15691.168741447851</v>
      </c>
      <c r="E25" s="25">
        <f>IFERROR(D25/C25,0)</f>
        <v>3.1541939697766401E-3</v>
      </c>
    </row>
    <row r="26" spans="1:5" x14ac:dyDescent="0.25">
      <c r="A26" t="s">
        <v>273</v>
      </c>
      <c r="B26" s="29">
        <v>459695.80212826084</v>
      </c>
      <c r="C26" s="29">
        <v>2389500</v>
      </c>
      <c r="D26" s="29">
        <f>C26-B26</f>
        <v>1929804.197871739</v>
      </c>
      <c r="E26" s="25">
        <f>IFERROR(D26/C26,0)</f>
        <v>0.80761841300344805</v>
      </c>
    </row>
    <row r="27" spans="1:5" x14ac:dyDescent="0.25">
      <c r="A27" t="s">
        <v>254</v>
      </c>
      <c r="B27" s="29">
        <v>284166.36480956216</v>
      </c>
      <c r="C27" s="29">
        <v>612000</v>
      </c>
      <c r="D27" s="29">
        <f>C27-B27</f>
        <v>327833.63519043784</v>
      </c>
      <c r="E27" s="25">
        <f>IFERROR(D27/C27,0)</f>
        <v>0.53567587449417953</v>
      </c>
    </row>
    <row r="28" spans="1:5" x14ac:dyDescent="0.25">
      <c r="A28" t="s">
        <v>20</v>
      </c>
      <c r="B28" s="29">
        <v>987481.02399303438</v>
      </c>
      <c r="C28" s="29">
        <v>1866425</v>
      </c>
      <c r="D28" s="29">
        <f>C28-B28</f>
        <v>878943.97600696562</v>
      </c>
      <c r="E28" s="25">
        <f>IFERROR(D28/C28,0)</f>
        <v>0.47092381210440581</v>
      </c>
    </row>
    <row r="29" spans="1:5" x14ac:dyDescent="0.25">
      <c r="A29" t="s">
        <v>18</v>
      </c>
      <c r="B29" s="29">
        <v>1859990.8611507651</v>
      </c>
      <c r="C29" s="29">
        <v>0</v>
      </c>
      <c r="D29" s="29">
        <f>C29-B29</f>
        <v>-1859990.8611507651</v>
      </c>
      <c r="E29" s="25">
        <f>IFERROR(D29/C29,0)</f>
        <v>0</v>
      </c>
    </row>
  </sheetData>
  <pageMargins left="0.7" right="0.7" top="0.75" bottom="0.75" header="0.3" footer="0.3"/>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4AF27D-156E-4AC4-9547-55450446BC32}">
  <sheetPr codeName="Sheet3">
    <tabColor indexed="57"/>
  </sheetPr>
  <dimension ref="A1:B8"/>
  <sheetViews>
    <sheetView workbookViewId="0">
      <selection activeCell="B2" sqref="B2"/>
    </sheetView>
  </sheetViews>
  <sheetFormatPr defaultRowHeight="15" x14ac:dyDescent="0.25"/>
  <cols>
    <col min="1" max="1" width="38.85546875" customWidth="1"/>
    <col min="2" max="2" width="128.5703125" customWidth="1"/>
  </cols>
  <sheetData>
    <row r="1" spans="1:2" x14ac:dyDescent="0.25">
      <c r="B1" s="6"/>
    </row>
    <row r="2" spans="1:2" ht="150" x14ac:dyDescent="0.25">
      <c r="B2" s="7" t="s">
        <v>52</v>
      </c>
    </row>
    <row r="3" spans="1:2" x14ac:dyDescent="0.25">
      <c r="A3" s="33" t="s">
        <v>53</v>
      </c>
      <c r="B3" s="33"/>
    </row>
    <row r="4" spans="1:2" ht="157.5" customHeight="1" x14ac:dyDescent="0.25">
      <c r="A4" s="8" t="s">
        <v>241</v>
      </c>
      <c r="B4" s="6" t="s">
        <v>276</v>
      </c>
    </row>
    <row r="5" spans="1:2" ht="195" x14ac:dyDescent="0.25">
      <c r="A5" s="9" t="s">
        <v>240</v>
      </c>
      <c r="B5" s="6" t="s">
        <v>242</v>
      </c>
    </row>
    <row r="6" spans="1:2" ht="135" x14ac:dyDescent="0.25">
      <c r="A6" s="9" t="s">
        <v>248</v>
      </c>
      <c r="B6" s="6" t="s">
        <v>243</v>
      </c>
    </row>
    <row r="7" spans="1:2" ht="165" x14ac:dyDescent="0.25">
      <c r="A7" s="9" t="s">
        <v>247</v>
      </c>
      <c r="B7" s="6" t="s">
        <v>245</v>
      </c>
    </row>
    <row r="8" spans="1:2" ht="150" x14ac:dyDescent="0.25">
      <c r="A8" s="9" t="s">
        <v>246</v>
      </c>
      <c r="B8" s="6" t="s">
        <v>244</v>
      </c>
    </row>
  </sheetData>
  <mergeCells count="1">
    <mergeCell ref="A3:B3"/>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88A705-EF71-4081-B6B4-00ECFE3F66A4}">
  <sheetPr codeName="Sheet1">
    <tabColor indexed="25"/>
  </sheetPr>
  <dimension ref="A1:N1744"/>
  <sheetViews>
    <sheetView zoomScaleNormal="100" workbookViewId="0">
      <selection activeCell="K99" sqref="K99"/>
    </sheetView>
  </sheetViews>
  <sheetFormatPr defaultRowHeight="15" x14ac:dyDescent="0.25"/>
  <cols>
    <col min="1" max="1" width="10.42578125" bestFit="1" customWidth="1"/>
    <col min="2" max="2" width="32.28515625" bestFit="1" customWidth="1"/>
    <col min="3" max="3" width="10.5703125" bestFit="1" customWidth="1"/>
    <col min="4" max="4" width="20.85546875" bestFit="1" customWidth="1"/>
    <col min="5" max="5" width="24.42578125" bestFit="1" customWidth="1"/>
    <col min="6" max="6" width="10.140625" bestFit="1" customWidth="1"/>
    <col min="7" max="7" width="8.7109375" bestFit="1" customWidth="1"/>
    <col min="8" max="8" width="12.7109375" bestFit="1" customWidth="1"/>
    <col min="9" max="9" width="25.7109375" customWidth="1"/>
    <col min="10" max="10" width="13.5703125" bestFit="1" customWidth="1"/>
    <col min="11" max="11" width="9" bestFit="1" customWidth="1"/>
    <col min="12" max="13" width="12" style="29" bestFit="1" customWidth="1"/>
    <col min="14" max="14" width="15.140625" bestFit="1" customWidth="1"/>
  </cols>
  <sheetData>
    <row r="1" spans="1:14" x14ac:dyDescent="0.25">
      <c r="A1" s="1" t="s">
        <v>8</v>
      </c>
      <c r="B1" s="1" t="s">
        <v>9</v>
      </c>
      <c r="C1" s="1" t="s">
        <v>10</v>
      </c>
      <c r="D1" s="1" t="s">
        <v>11</v>
      </c>
      <c r="E1" s="1" t="s">
        <v>12</v>
      </c>
      <c r="F1" s="1" t="s">
        <v>13</v>
      </c>
      <c r="G1" s="1" t="s">
        <v>14</v>
      </c>
      <c r="H1" s="1" t="s">
        <v>65</v>
      </c>
      <c r="I1" s="1" t="s">
        <v>15</v>
      </c>
      <c r="J1" s="1" t="s">
        <v>16</v>
      </c>
      <c r="K1" s="1" t="s">
        <v>66</v>
      </c>
      <c r="L1" s="28" t="s">
        <v>260</v>
      </c>
      <c r="M1" s="28" t="s">
        <v>261</v>
      </c>
      <c r="N1" t="s">
        <v>949</v>
      </c>
    </row>
    <row r="2" spans="1:14" x14ac:dyDescent="0.25">
      <c r="A2">
        <v>449562</v>
      </c>
      <c r="B2" t="s">
        <v>29</v>
      </c>
      <c r="C2">
        <v>56013</v>
      </c>
      <c r="D2" t="s">
        <v>44</v>
      </c>
      <c r="E2" t="s">
        <v>22</v>
      </c>
      <c r="F2" s="27">
        <v>45869</v>
      </c>
      <c r="G2">
        <v>0.75</v>
      </c>
      <c r="H2">
        <v>0.75</v>
      </c>
      <c r="I2" t="s">
        <v>1014</v>
      </c>
      <c r="J2" s="27">
        <v>45882</v>
      </c>
      <c r="L2" s="29">
        <v>1924.0379809782607</v>
      </c>
      <c r="M2" s="29">
        <v>1443.0284857336956</v>
      </c>
      <c r="N2" s="15">
        <v>45839</v>
      </c>
    </row>
    <row r="3" spans="1:14" x14ac:dyDescent="0.25">
      <c r="A3">
        <v>446150</v>
      </c>
      <c r="B3" t="s">
        <v>31</v>
      </c>
      <c r="C3">
        <v>56715</v>
      </c>
      <c r="D3" t="s">
        <v>32</v>
      </c>
      <c r="E3" t="s">
        <v>19</v>
      </c>
      <c r="F3" s="27">
        <v>45869</v>
      </c>
      <c r="G3">
        <v>24</v>
      </c>
      <c r="H3">
        <v>24</v>
      </c>
      <c r="I3" t="s">
        <v>255</v>
      </c>
      <c r="J3" s="27">
        <v>45871</v>
      </c>
      <c r="L3" s="29">
        <v>2061.4692652173912</v>
      </c>
      <c r="M3" s="29">
        <v>49475.262365217393</v>
      </c>
      <c r="N3" s="15">
        <v>45839</v>
      </c>
    </row>
    <row r="4" spans="1:14" x14ac:dyDescent="0.25">
      <c r="A4">
        <v>446149</v>
      </c>
      <c r="B4" t="s">
        <v>31</v>
      </c>
      <c r="C4">
        <v>13969</v>
      </c>
      <c r="D4" t="s">
        <v>32</v>
      </c>
      <c r="E4" t="s">
        <v>19</v>
      </c>
      <c r="F4" s="27">
        <v>45869</v>
      </c>
      <c r="G4">
        <v>56</v>
      </c>
      <c r="H4">
        <v>56</v>
      </c>
      <c r="I4" t="s">
        <v>294</v>
      </c>
      <c r="J4" s="27">
        <v>45871</v>
      </c>
      <c r="L4" s="29">
        <v>2061.4692652173912</v>
      </c>
      <c r="M4" s="29">
        <v>115442.27885217391</v>
      </c>
      <c r="N4" s="15">
        <v>45839</v>
      </c>
    </row>
    <row r="5" spans="1:14" x14ac:dyDescent="0.25">
      <c r="A5">
        <v>446148</v>
      </c>
      <c r="B5" t="s">
        <v>18</v>
      </c>
      <c r="C5">
        <v>34</v>
      </c>
      <c r="D5" t="s">
        <v>39</v>
      </c>
      <c r="E5" t="s">
        <v>19</v>
      </c>
      <c r="F5" s="27">
        <v>45869</v>
      </c>
      <c r="G5">
        <v>80</v>
      </c>
      <c r="H5">
        <v>80</v>
      </c>
      <c r="I5" t="s">
        <v>1094</v>
      </c>
      <c r="J5" s="27">
        <v>45871</v>
      </c>
      <c r="L5" s="29">
        <v>687.15642173913045</v>
      </c>
      <c r="M5" s="29">
        <v>54972.513739130438</v>
      </c>
      <c r="N5" s="15">
        <v>45839</v>
      </c>
    </row>
    <row r="6" spans="1:14" x14ac:dyDescent="0.25">
      <c r="A6">
        <v>446147</v>
      </c>
      <c r="B6" t="s">
        <v>18</v>
      </c>
      <c r="C6">
        <v>34</v>
      </c>
      <c r="D6" t="s">
        <v>26</v>
      </c>
      <c r="E6" t="s">
        <v>19</v>
      </c>
      <c r="F6" s="27">
        <v>45869</v>
      </c>
      <c r="G6">
        <v>24</v>
      </c>
      <c r="H6">
        <v>24</v>
      </c>
      <c r="I6" t="s">
        <v>255</v>
      </c>
      <c r="J6" s="27">
        <v>45871</v>
      </c>
      <c r="L6" s="29">
        <v>893.30334836956524</v>
      </c>
      <c r="M6" s="29">
        <v>21439.280360869565</v>
      </c>
      <c r="N6" s="15">
        <v>45839</v>
      </c>
    </row>
    <row r="7" spans="1:14" x14ac:dyDescent="0.25">
      <c r="A7">
        <v>446146</v>
      </c>
      <c r="B7" t="s">
        <v>18</v>
      </c>
      <c r="C7">
        <v>29</v>
      </c>
      <c r="D7" t="s">
        <v>49</v>
      </c>
      <c r="E7" t="s">
        <v>19</v>
      </c>
      <c r="F7" s="27">
        <v>45869</v>
      </c>
      <c r="G7">
        <v>64</v>
      </c>
      <c r="H7">
        <v>64</v>
      </c>
      <c r="I7" t="s">
        <v>255</v>
      </c>
      <c r="J7" s="27">
        <v>45871</v>
      </c>
      <c r="L7" s="29">
        <v>1030.7346326086956</v>
      </c>
      <c r="M7" s="29">
        <v>65967.01648695652</v>
      </c>
      <c r="N7" s="15">
        <v>45839</v>
      </c>
    </row>
    <row r="8" spans="1:14" x14ac:dyDescent="0.25">
      <c r="A8">
        <v>446145</v>
      </c>
      <c r="B8" t="s">
        <v>18</v>
      </c>
      <c r="C8">
        <v>29</v>
      </c>
      <c r="D8" t="s">
        <v>37</v>
      </c>
      <c r="E8" t="s">
        <v>19</v>
      </c>
      <c r="F8" s="27">
        <v>45869</v>
      </c>
      <c r="G8">
        <v>40</v>
      </c>
      <c r="H8">
        <v>40</v>
      </c>
      <c r="I8" t="s">
        <v>255</v>
      </c>
      <c r="J8" s="27">
        <v>45871</v>
      </c>
      <c r="L8" s="29">
        <v>412.29385326086958</v>
      </c>
      <c r="M8" s="29">
        <v>16491.754130434783</v>
      </c>
      <c r="N8" s="15">
        <v>45839</v>
      </c>
    </row>
    <row r="9" spans="1:14" x14ac:dyDescent="0.25">
      <c r="A9">
        <v>446144</v>
      </c>
      <c r="B9" t="s">
        <v>31</v>
      </c>
      <c r="C9">
        <v>13969</v>
      </c>
      <c r="D9" t="s">
        <v>30</v>
      </c>
      <c r="E9" t="s">
        <v>19</v>
      </c>
      <c r="F9" s="27">
        <v>45869</v>
      </c>
      <c r="G9">
        <v>40</v>
      </c>
      <c r="H9">
        <v>40</v>
      </c>
      <c r="I9" t="s">
        <v>294</v>
      </c>
      <c r="J9" s="27">
        <v>45871</v>
      </c>
      <c r="L9" s="29">
        <v>824.58770597826083</v>
      </c>
      <c r="M9" s="29">
        <v>32983.508239130431</v>
      </c>
      <c r="N9" s="15">
        <v>45839</v>
      </c>
    </row>
    <row r="10" spans="1:14" x14ac:dyDescent="0.25">
      <c r="A10">
        <v>446143</v>
      </c>
      <c r="B10" t="s">
        <v>31</v>
      </c>
      <c r="C10">
        <v>13969</v>
      </c>
      <c r="D10" t="s">
        <v>36</v>
      </c>
      <c r="E10" t="s">
        <v>19</v>
      </c>
      <c r="F10" s="27">
        <v>45869</v>
      </c>
      <c r="G10">
        <v>32</v>
      </c>
      <c r="H10">
        <v>32</v>
      </c>
      <c r="I10" t="s">
        <v>294</v>
      </c>
      <c r="J10" s="27">
        <v>45871</v>
      </c>
      <c r="L10" s="29">
        <v>1649.1754125</v>
      </c>
      <c r="M10" s="29">
        <v>52773.6132</v>
      </c>
      <c r="N10" s="15">
        <v>45839</v>
      </c>
    </row>
    <row r="11" spans="1:14" x14ac:dyDescent="0.25">
      <c r="A11">
        <v>446142</v>
      </c>
      <c r="B11" t="s">
        <v>31</v>
      </c>
      <c r="C11">
        <v>13969</v>
      </c>
      <c r="D11" t="s">
        <v>46</v>
      </c>
      <c r="E11" t="s">
        <v>19</v>
      </c>
      <c r="F11" s="27">
        <v>45869</v>
      </c>
      <c r="G11">
        <v>136</v>
      </c>
      <c r="H11">
        <v>136</v>
      </c>
      <c r="I11" t="s">
        <v>294</v>
      </c>
      <c r="J11" s="27">
        <v>45871</v>
      </c>
      <c r="L11" s="29">
        <v>1030.7346326086956</v>
      </c>
      <c r="M11" s="29">
        <v>140179.9100347826</v>
      </c>
      <c r="N11" s="15">
        <v>45839</v>
      </c>
    </row>
    <row r="12" spans="1:14" x14ac:dyDescent="0.25">
      <c r="A12">
        <v>446141</v>
      </c>
      <c r="B12" t="s">
        <v>31</v>
      </c>
      <c r="C12">
        <v>13969</v>
      </c>
      <c r="D12" t="s">
        <v>33</v>
      </c>
      <c r="E12" t="s">
        <v>19</v>
      </c>
      <c r="F12" s="27">
        <v>45869</v>
      </c>
      <c r="G12">
        <v>22</v>
      </c>
      <c r="H12">
        <v>22</v>
      </c>
      <c r="I12" t="s">
        <v>294</v>
      </c>
      <c r="J12" s="27">
        <v>45871</v>
      </c>
      <c r="L12" s="29">
        <v>1717.8910543478262</v>
      </c>
      <c r="M12" s="29">
        <v>37793.603195652177</v>
      </c>
      <c r="N12" s="15">
        <v>45839</v>
      </c>
    </row>
    <row r="13" spans="1:14" x14ac:dyDescent="0.25">
      <c r="A13">
        <v>446140</v>
      </c>
      <c r="B13" t="s">
        <v>34</v>
      </c>
      <c r="C13">
        <v>21152</v>
      </c>
      <c r="D13" t="s">
        <v>33</v>
      </c>
      <c r="E13" t="s">
        <v>19</v>
      </c>
      <c r="F13" s="27">
        <v>45869</v>
      </c>
      <c r="G13">
        <v>6</v>
      </c>
      <c r="H13">
        <v>6</v>
      </c>
      <c r="I13" t="s">
        <v>487</v>
      </c>
      <c r="J13" s="27">
        <v>45871</v>
      </c>
      <c r="L13" s="29">
        <v>1717.8910543478262</v>
      </c>
      <c r="M13" s="29">
        <v>10307.346326086958</v>
      </c>
      <c r="N13" s="15">
        <v>45839</v>
      </c>
    </row>
    <row r="14" spans="1:14" x14ac:dyDescent="0.25">
      <c r="A14">
        <v>446139</v>
      </c>
      <c r="B14" t="s">
        <v>34</v>
      </c>
      <c r="C14">
        <v>21152</v>
      </c>
      <c r="D14" t="s">
        <v>32</v>
      </c>
      <c r="E14" t="s">
        <v>19</v>
      </c>
      <c r="F14" s="27">
        <v>45869</v>
      </c>
      <c r="G14">
        <v>104</v>
      </c>
      <c r="H14">
        <v>104</v>
      </c>
      <c r="I14" t="s">
        <v>487</v>
      </c>
      <c r="J14" s="27">
        <v>45871</v>
      </c>
      <c r="L14" s="29">
        <v>2061.4692652173912</v>
      </c>
      <c r="M14" s="29">
        <v>214392.8035826087</v>
      </c>
      <c r="N14" s="15">
        <v>45839</v>
      </c>
    </row>
    <row r="15" spans="1:14" x14ac:dyDescent="0.25">
      <c r="A15">
        <v>445796</v>
      </c>
      <c r="B15" t="s">
        <v>29</v>
      </c>
      <c r="C15">
        <v>56280</v>
      </c>
      <c r="D15" t="s">
        <v>44</v>
      </c>
      <c r="E15" t="s">
        <v>22</v>
      </c>
      <c r="F15" s="27">
        <v>45869</v>
      </c>
      <c r="G15">
        <v>8</v>
      </c>
      <c r="H15">
        <v>8</v>
      </c>
      <c r="I15" t="s">
        <v>1092</v>
      </c>
      <c r="J15" s="27">
        <v>45870</v>
      </c>
      <c r="L15" s="29">
        <v>1924.0379809782607</v>
      </c>
      <c r="M15" s="29">
        <v>15392.303847826086</v>
      </c>
      <c r="N15" s="15">
        <v>45839</v>
      </c>
    </row>
    <row r="16" spans="1:14" x14ac:dyDescent="0.25">
      <c r="A16">
        <v>446136</v>
      </c>
      <c r="B16" t="s">
        <v>956</v>
      </c>
      <c r="C16">
        <v>56713</v>
      </c>
      <c r="D16" t="s">
        <v>37</v>
      </c>
      <c r="E16" t="s">
        <v>22</v>
      </c>
      <c r="F16" s="27">
        <v>45868</v>
      </c>
      <c r="G16">
        <v>24</v>
      </c>
      <c r="H16">
        <v>24</v>
      </c>
      <c r="I16" t="s">
        <v>294</v>
      </c>
      <c r="J16" s="27">
        <v>45871</v>
      </c>
      <c r="L16" s="29">
        <v>412.29385326086958</v>
      </c>
      <c r="M16" s="29">
        <v>9895.05247826087</v>
      </c>
      <c r="N16" s="15">
        <v>45839</v>
      </c>
    </row>
    <row r="17" spans="1:14" x14ac:dyDescent="0.25">
      <c r="A17">
        <v>446134</v>
      </c>
      <c r="B17" t="s">
        <v>952</v>
      </c>
      <c r="C17">
        <v>56710</v>
      </c>
      <c r="D17" t="s">
        <v>26</v>
      </c>
      <c r="E17" t="s">
        <v>22</v>
      </c>
      <c r="F17" s="27">
        <v>45868</v>
      </c>
      <c r="G17">
        <v>82</v>
      </c>
      <c r="H17">
        <v>82</v>
      </c>
      <c r="I17" t="s">
        <v>294</v>
      </c>
      <c r="J17" s="27">
        <v>45871</v>
      </c>
      <c r="L17" s="29">
        <v>893.30334836956524</v>
      </c>
      <c r="M17" s="29">
        <v>73250.874566304352</v>
      </c>
      <c r="N17" s="15">
        <v>45839</v>
      </c>
    </row>
    <row r="18" spans="1:14" x14ac:dyDescent="0.25">
      <c r="A18">
        <v>445806</v>
      </c>
      <c r="B18" t="s">
        <v>29</v>
      </c>
      <c r="C18">
        <v>56280</v>
      </c>
      <c r="D18" t="s">
        <v>44</v>
      </c>
      <c r="E18" t="s">
        <v>22</v>
      </c>
      <c r="F18" s="27">
        <v>45868</v>
      </c>
      <c r="G18">
        <v>1</v>
      </c>
      <c r="H18">
        <v>1</v>
      </c>
      <c r="I18" t="s">
        <v>1093</v>
      </c>
      <c r="J18" s="27">
        <v>45870</v>
      </c>
      <c r="L18" s="29">
        <v>1924.0379809782607</v>
      </c>
      <c r="M18" s="29">
        <v>1924.0379809782607</v>
      </c>
      <c r="N18" s="15">
        <v>45839</v>
      </c>
    </row>
    <row r="19" spans="1:14" x14ac:dyDescent="0.25">
      <c r="A19">
        <v>445802</v>
      </c>
      <c r="B19" t="s">
        <v>29</v>
      </c>
      <c r="C19">
        <v>56280</v>
      </c>
      <c r="D19" t="s">
        <v>44</v>
      </c>
      <c r="E19" t="s">
        <v>22</v>
      </c>
      <c r="F19" s="27">
        <v>45868</v>
      </c>
      <c r="G19">
        <v>7</v>
      </c>
      <c r="H19">
        <v>7</v>
      </c>
      <c r="I19" t="s">
        <v>1092</v>
      </c>
      <c r="J19" s="27">
        <v>45870</v>
      </c>
      <c r="L19" s="29">
        <v>1924.0379809782607</v>
      </c>
      <c r="M19" s="29">
        <v>13468.265866847825</v>
      </c>
      <c r="N19" s="15">
        <v>45839</v>
      </c>
    </row>
    <row r="20" spans="1:14" x14ac:dyDescent="0.25">
      <c r="A20">
        <v>444044</v>
      </c>
      <c r="B20" t="s">
        <v>956</v>
      </c>
      <c r="C20">
        <v>54972</v>
      </c>
      <c r="D20" t="s">
        <v>41</v>
      </c>
      <c r="E20" t="s">
        <v>22</v>
      </c>
      <c r="F20" s="27">
        <v>45868</v>
      </c>
      <c r="G20">
        <v>8</v>
      </c>
      <c r="H20">
        <v>8</v>
      </c>
      <c r="I20" t="s">
        <v>1082</v>
      </c>
      <c r="J20" s="27">
        <v>45868</v>
      </c>
      <c r="L20" s="29">
        <v>1374.3128434782609</v>
      </c>
      <c r="M20" s="29">
        <v>10994.502747826087</v>
      </c>
      <c r="N20" s="15">
        <v>45839</v>
      </c>
    </row>
    <row r="21" spans="1:14" x14ac:dyDescent="0.25">
      <c r="A21">
        <v>444001</v>
      </c>
      <c r="B21" t="s">
        <v>29</v>
      </c>
      <c r="C21">
        <v>56013</v>
      </c>
      <c r="D21" t="s">
        <v>44</v>
      </c>
      <c r="E21" t="s">
        <v>22</v>
      </c>
      <c r="F21" s="27">
        <v>45868</v>
      </c>
      <c r="G21">
        <v>0.75</v>
      </c>
      <c r="H21">
        <v>0.75</v>
      </c>
      <c r="I21" t="s">
        <v>1014</v>
      </c>
      <c r="J21" s="27">
        <v>45868</v>
      </c>
      <c r="L21" s="29">
        <v>1924.0379809782607</v>
      </c>
      <c r="M21" s="29">
        <v>1443.0284857336956</v>
      </c>
      <c r="N21" s="15">
        <v>45839</v>
      </c>
    </row>
    <row r="22" spans="1:14" x14ac:dyDescent="0.25">
      <c r="A22">
        <v>444043</v>
      </c>
      <c r="B22" t="s">
        <v>956</v>
      </c>
      <c r="C22">
        <v>54972</v>
      </c>
      <c r="D22" t="s">
        <v>41</v>
      </c>
      <c r="E22" t="s">
        <v>22</v>
      </c>
      <c r="F22" s="27">
        <v>45867</v>
      </c>
      <c r="G22">
        <v>8</v>
      </c>
      <c r="H22">
        <v>8</v>
      </c>
      <c r="I22" t="s">
        <v>1082</v>
      </c>
      <c r="J22" s="27">
        <v>45868</v>
      </c>
      <c r="L22" s="29">
        <v>1374.3128434782609</v>
      </c>
      <c r="M22" s="29">
        <v>10994.502747826087</v>
      </c>
      <c r="N22" s="15">
        <v>45839</v>
      </c>
    </row>
    <row r="23" spans="1:14" x14ac:dyDescent="0.25">
      <c r="A23">
        <v>444000</v>
      </c>
      <c r="B23" t="s">
        <v>29</v>
      </c>
      <c r="C23">
        <v>56013</v>
      </c>
      <c r="D23" t="s">
        <v>44</v>
      </c>
      <c r="E23" t="s">
        <v>22</v>
      </c>
      <c r="F23" s="27">
        <v>45867</v>
      </c>
      <c r="G23">
        <v>0.75</v>
      </c>
      <c r="H23">
        <v>0.75</v>
      </c>
      <c r="I23" t="s">
        <v>1014</v>
      </c>
      <c r="J23" s="27">
        <v>45868</v>
      </c>
      <c r="L23" s="29">
        <v>1924.0379809782607</v>
      </c>
      <c r="M23" s="29">
        <v>1443.0284857336956</v>
      </c>
      <c r="N23" s="15">
        <v>45839</v>
      </c>
    </row>
    <row r="24" spans="1:14" x14ac:dyDescent="0.25">
      <c r="A24">
        <v>444042</v>
      </c>
      <c r="B24" t="s">
        <v>956</v>
      </c>
      <c r="C24">
        <v>54972</v>
      </c>
      <c r="D24" t="s">
        <v>41</v>
      </c>
      <c r="E24" t="s">
        <v>22</v>
      </c>
      <c r="F24" s="27">
        <v>45866</v>
      </c>
      <c r="G24">
        <v>8</v>
      </c>
      <c r="H24">
        <v>8</v>
      </c>
      <c r="I24" t="s">
        <v>1082</v>
      </c>
      <c r="J24" s="27">
        <v>45868</v>
      </c>
      <c r="L24" s="29">
        <v>1374.3128434782609</v>
      </c>
      <c r="M24" s="29">
        <v>10994.502747826087</v>
      </c>
      <c r="N24" s="15">
        <v>45839</v>
      </c>
    </row>
    <row r="25" spans="1:14" x14ac:dyDescent="0.25">
      <c r="A25">
        <v>444008</v>
      </c>
      <c r="B25" t="s">
        <v>29</v>
      </c>
      <c r="C25">
        <v>56280</v>
      </c>
      <c r="D25" t="s">
        <v>44</v>
      </c>
      <c r="E25" t="s">
        <v>22</v>
      </c>
      <c r="F25" s="27">
        <v>45866</v>
      </c>
      <c r="G25">
        <v>3.75</v>
      </c>
      <c r="H25">
        <v>3.75</v>
      </c>
      <c r="I25" t="s">
        <v>1083</v>
      </c>
      <c r="J25" s="27">
        <v>45868</v>
      </c>
      <c r="L25" s="29">
        <v>1924.0379809782607</v>
      </c>
      <c r="M25" s="29">
        <v>7215.1424286684778</v>
      </c>
      <c r="N25" s="15">
        <v>45839</v>
      </c>
    </row>
    <row r="26" spans="1:14" x14ac:dyDescent="0.25">
      <c r="A26">
        <v>443999</v>
      </c>
      <c r="B26" t="s">
        <v>29</v>
      </c>
      <c r="C26">
        <v>56013</v>
      </c>
      <c r="D26" t="s">
        <v>44</v>
      </c>
      <c r="E26" t="s">
        <v>22</v>
      </c>
      <c r="F26" s="27">
        <v>45866</v>
      </c>
      <c r="G26">
        <v>0.75</v>
      </c>
      <c r="H26">
        <v>0.75</v>
      </c>
      <c r="I26" t="s">
        <v>1014</v>
      </c>
      <c r="J26" s="27">
        <v>45868</v>
      </c>
      <c r="L26" s="29">
        <v>1924.0379809782607</v>
      </c>
      <c r="M26" s="29">
        <v>1443.0284857336956</v>
      </c>
      <c r="N26" s="15">
        <v>45839</v>
      </c>
    </row>
    <row r="27" spans="1:14" x14ac:dyDescent="0.25">
      <c r="A27">
        <v>446131</v>
      </c>
      <c r="B27" t="s">
        <v>23</v>
      </c>
      <c r="C27">
        <v>54722</v>
      </c>
      <c r="D27" t="s">
        <v>27</v>
      </c>
      <c r="E27" t="s">
        <v>22</v>
      </c>
      <c r="F27" s="27">
        <v>45863</v>
      </c>
      <c r="G27">
        <v>87</v>
      </c>
      <c r="H27">
        <v>87</v>
      </c>
      <c r="I27" t="s">
        <v>294</v>
      </c>
      <c r="J27" s="27">
        <v>45871</v>
      </c>
      <c r="L27" s="29">
        <v>549.72513749999996</v>
      </c>
      <c r="M27" s="29">
        <v>47826.086962499998</v>
      </c>
      <c r="N27" s="15">
        <v>45839</v>
      </c>
    </row>
    <row r="28" spans="1:14" x14ac:dyDescent="0.25">
      <c r="A28">
        <v>446130</v>
      </c>
      <c r="B28" t="s">
        <v>23</v>
      </c>
      <c r="C28">
        <v>54720</v>
      </c>
      <c r="D28" t="s">
        <v>252</v>
      </c>
      <c r="E28" t="s">
        <v>22</v>
      </c>
      <c r="F28" s="27">
        <v>45863</v>
      </c>
      <c r="G28">
        <v>80</v>
      </c>
      <c r="H28">
        <v>80</v>
      </c>
      <c r="I28" t="s">
        <v>294</v>
      </c>
      <c r="J28" s="27">
        <v>45871</v>
      </c>
      <c r="L28" s="29">
        <v>1380</v>
      </c>
      <c r="M28" s="29">
        <v>110400</v>
      </c>
      <c r="N28" s="15">
        <v>45839</v>
      </c>
    </row>
    <row r="29" spans="1:14" x14ac:dyDescent="0.25">
      <c r="A29">
        <v>446129</v>
      </c>
      <c r="B29" t="s">
        <v>23</v>
      </c>
      <c r="C29">
        <v>54720</v>
      </c>
      <c r="D29" t="s">
        <v>42</v>
      </c>
      <c r="E29" t="s">
        <v>22</v>
      </c>
      <c r="F29" s="27">
        <v>45863</v>
      </c>
      <c r="G29">
        <v>111</v>
      </c>
      <c r="H29">
        <v>111</v>
      </c>
      <c r="I29" t="s">
        <v>294</v>
      </c>
      <c r="J29" s="27">
        <v>45871</v>
      </c>
      <c r="L29" s="29">
        <v>1418</v>
      </c>
      <c r="M29" s="29">
        <v>157398</v>
      </c>
      <c r="N29" s="15">
        <v>45839</v>
      </c>
    </row>
    <row r="30" spans="1:14" x14ac:dyDescent="0.25">
      <c r="A30">
        <v>446128</v>
      </c>
      <c r="B30" t="s">
        <v>23</v>
      </c>
      <c r="C30">
        <v>54722</v>
      </c>
      <c r="D30" t="s">
        <v>21</v>
      </c>
      <c r="E30" t="s">
        <v>22</v>
      </c>
      <c r="F30" s="27">
        <v>45863</v>
      </c>
      <c r="G30">
        <v>60</v>
      </c>
      <c r="H30">
        <v>60</v>
      </c>
      <c r="I30" t="s">
        <v>294</v>
      </c>
      <c r="J30" s="27">
        <v>45871</v>
      </c>
      <c r="L30" s="29">
        <v>1546.1019489130435</v>
      </c>
      <c r="M30" s="29">
        <v>92766.116934782607</v>
      </c>
      <c r="N30" s="15">
        <v>45839</v>
      </c>
    </row>
    <row r="31" spans="1:14" x14ac:dyDescent="0.25">
      <c r="A31">
        <v>446127</v>
      </c>
      <c r="B31" t="s">
        <v>23</v>
      </c>
      <c r="C31">
        <v>54720</v>
      </c>
      <c r="D31" t="s">
        <v>33</v>
      </c>
      <c r="E31" t="s">
        <v>22</v>
      </c>
      <c r="F31" s="27">
        <v>45863</v>
      </c>
      <c r="G31">
        <v>4</v>
      </c>
      <c r="H31">
        <v>4</v>
      </c>
      <c r="I31" t="s">
        <v>294</v>
      </c>
      <c r="J31" s="27">
        <v>45871</v>
      </c>
      <c r="L31" s="29">
        <v>1717.8910543478262</v>
      </c>
      <c r="M31" s="29">
        <v>6871.5642173913047</v>
      </c>
      <c r="N31" s="15">
        <v>45839</v>
      </c>
    </row>
    <row r="32" spans="1:14" x14ac:dyDescent="0.25">
      <c r="A32">
        <v>446126</v>
      </c>
      <c r="B32" t="s">
        <v>273</v>
      </c>
      <c r="C32">
        <v>56703</v>
      </c>
      <c r="D32" t="s">
        <v>252</v>
      </c>
      <c r="E32" t="s">
        <v>22</v>
      </c>
      <c r="F32" s="27">
        <v>45863</v>
      </c>
      <c r="G32">
        <v>10</v>
      </c>
      <c r="H32">
        <v>10</v>
      </c>
      <c r="I32" t="s">
        <v>294</v>
      </c>
      <c r="J32" s="27">
        <v>45871</v>
      </c>
      <c r="L32" s="29">
        <v>1380</v>
      </c>
      <c r="M32" s="29">
        <v>13800</v>
      </c>
      <c r="N32" s="15">
        <v>45839</v>
      </c>
    </row>
    <row r="33" spans="1:14" x14ac:dyDescent="0.25">
      <c r="A33">
        <v>446125</v>
      </c>
      <c r="B33" t="s">
        <v>273</v>
      </c>
      <c r="C33">
        <v>56704</v>
      </c>
      <c r="D33" t="s">
        <v>36</v>
      </c>
      <c r="E33" t="s">
        <v>22</v>
      </c>
      <c r="F33" s="27">
        <v>45863</v>
      </c>
      <c r="G33">
        <v>120</v>
      </c>
      <c r="H33">
        <v>120</v>
      </c>
      <c r="I33" t="s">
        <v>294</v>
      </c>
      <c r="J33" s="27">
        <v>45871</v>
      </c>
      <c r="L33" s="29">
        <v>1649.1754125</v>
      </c>
      <c r="M33" s="29">
        <v>197901.04949999999</v>
      </c>
      <c r="N33" s="15">
        <v>45839</v>
      </c>
    </row>
    <row r="34" spans="1:14" x14ac:dyDescent="0.25">
      <c r="A34">
        <v>446124</v>
      </c>
      <c r="B34" t="s">
        <v>273</v>
      </c>
      <c r="C34">
        <v>56704</v>
      </c>
      <c r="D34" t="s">
        <v>46</v>
      </c>
      <c r="E34" t="s">
        <v>22</v>
      </c>
      <c r="F34" s="27">
        <v>45863</v>
      </c>
      <c r="G34">
        <v>32</v>
      </c>
      <c r="H34">
        <v>32</v>
      </c>
      <c r="I34" t="s">
        <v>294</v>
      </c>
      <c r="J34" s="27">
        <v>45871</v>
      </c>
      <c r="L34" s="29">
        <v>1030.7346326086956</v>
      </c>
      <c r="M34" s="29">
        <v>32983.50824347826</v>
      </c>
      <c r="N34" s="15">
        <v>45839</v>
      </c>
    </row>
    <row r="35" spans="1:14" x14ac:dyDescent="0.25">
      <c r="A35">
        <v>446123</v>
      </c>
      <c r="B35" t="s">
        <v>273</v>
      </c>
      <c r="C35">
        <v>56703</v>
      </c>
      <c r="D35" t="s">
        <v>43</v>
      </c>
      <c r="E35" t="s">
        <v>22</v>
      </c>
      <c r="F35" s="27">
        <v>45863</v>
      </c>
      <c r="G35">
        <v>152</v>
      </c>
      <c r="H35">
        <v>152</v>
      </c>
      <c r="I35" t="s">
        <v>294</v>
      </c>
      <c r="J35" s="27">
        <v>45871</v>
      </c>
      <c r="L35" s="29">
        <v>343.57821086956523</v>
      </c>
      <c r="M35" s="29">
        <v>52223.888052173912</v>
      </c>
      <c r="N35" s="15">
        <v>45839</v>
      </c>
    </row>
    <row r="36" spans="1:14" x14ac:dyDescent="0.25">
      <c r="A36">
        <v>446122</v>
      </c>
      <c r="B36" t="s">
        <v>273</v>
      </c>
      <c r="C36">
        <v>56704</v>
      </c>
      <c r="D36" t="s">
        <v>21</v>
      </c>
      <c r="E36" t="s">
        <v>22</v>
      </c>
      <c r="F36" s="27">
        <v>45863</v>
      </c>
      <c r="G36">
        <v>52</v>
      </c>
      <c r="H36">
        <v>52</v>
      </c>
      <c r="I36" t="s">
        <v>294</v>
      </c>
      <c r="J36" s="27">
        <v>45871</v>
      </c>
      <c r="L36" s="29">
        <v>1546.1019489130435</v>
      </c>
      <c r="M36" s="29">
        <v>80397.301343478262</v>
      </c>
      <c r="N36" s="15">
        <v>45839</v>
      </c>
    </row>
    <row r="37" spans="1:14" x14ac:dyDescent="0.25">
      <c r="A37">
        <v>446121</v>
      </c>
      <c r="B37" t="s">
        <v>273</v>
      </c>
      <c r="C37">
        <v>56706</v>
      </c>
      <c r="D37" t="s">
        <v>37</v>
      </c>
      <c r="E37" t="s">
        <v>22</v>
      </c>
      <c r="F37" s="27">
        <v>45863</v>
      </c>
      <c r="G37">
        <v>104</v>
      </c>
      <c r="H37">
        <v>104</v>
      </c>
      <c r="I37" t="s">
        <v>294</v>
      </c>
      <c r="J37" s="27">
        <v>45871</v>
      </c>
      <c r="L37" s="29">
        <v>412.29385326086958</v>
      </c>
      <c r="M37" s="29">
        <v>42878.560739130437</v>
      </c>
      <c r="N37" s="15">
        <v>45839</v>
      </c>
    </row>
    <row r="38" spans="1:14" x14ac:dyDescent="0.25">
      <c r="A38">
        <v>446120</v>
      </c>
      <c r="B38" t="s">
        <v>273</v>
      </c>
      <c r="C38">
        <v>56703</v>
      </c>
      <c r="D38" t="s">
        <v>33</v>
      </c>
      <c r="E38" t="s">
        <v>22</v>
      </c>
      <c r="F38" s="27">
        <v>45863</v>
      </c>
      <c r="G38">
        <v>23</v>
      </c>
      <c r="H38">
        <v>23</v>
      </c>
      <c r="I38" t="s">
        <v>294</v>
      </c>
      <c r="J38" s="27">
        <v>45871</v>
      </c>
      <c r="L38" s="29">
        <v>1717.8910543478262</v>
      </c>
      <c r="M38" s="29">
        <v>39511.494250000003</v>
      </c>
      <c r="N38" s="15">
        <v>45839</v>
      </c>
    </row>
    <row r="39" spans="1:14" x14ac:dyDescent="0.25">
      <c r="A39">
        <v>444041</v>
      </c>
      <c r="B39" t="s">
        <v>956</v>
      </c>
      <c r="C39">
        <v>54972</v>
      </c>
      <c r="D39" t="s">
        <v>41</v>
      </c>
      <c r="E39" t="s">
        <v>22</v>
      </c>
      <c r="F39" s="27">
        <v>45863</v>
      </c>
      <c r="G39">
        <v>8</v>
      </c>
      <c r="H39">
        <v>8</v>
      </c>
      <c r="I39" t="s">
        <v>1084</v>
      </c>
      <c r="J39" s="27">
        <v>45868</v>
      </c>
      <c r="L39" s="29">
        <v>1374.3128434782609</v>
      </c>
      <c r="M39" s="29">
        <v>10994.502747826087</v>
      </c>
      <c r="N39" s="15">
        <v>45839</v>
      </c>
    </row>
    <row r="40" spans="1:14" x14ac:dyDescent="0.25">
      <c r="A40">
        <v>443024</v>
      </c>
      <c r="B40" t="s">
        <v>29</v>
      </c>
      <c r="C40">
        <v>56280</v>
      </c>
      <c r="D40" t="s">
        <v>44</v>
      </c>
      <c r="E40" t="s">
        <v>22</v>
      </c>
      <c r="F40" s="27">
        <v>45863</v>
      </c>
      <c r="G40">
        <v>3.75</v>
      </c>
      <c r="H40">
        <v>3.75</v>
      </c>
      <c r="I40" t="s">
        <v>1085</v>
      </c>
      <c r="J40" s="27">
        <v>45863</v>
      </c>
      <c r="L40" s="29">
        <v>1924.0379809782607</v>
      </c>
      <c r="M40" s="29">
        <v>7215.1424286684778</v>
      </c>
      <c r="N40" s="15">
        <v>45839</v>
      </c>
    </row>
    <row r="41" spans="1:14" x14ac:dyDescent="0.25">
      <c r="A41">
        <v>443022</v>
      </c>
      <c r="B41" t="s">
        <v>29</v>
      </c>
      <c r="C41">
        <v>56013</v>
      </c>
      <c r="D41" t="s">
        <v>44</v>
      </c>
      <c r="E41" t="s">
        <v>22</v>
      </c>
      <c r="F41" s="27">
        <v>45863</v>
      </c>
      <c r="G41">
        <v>0.75</v>
      </c>
      <c r="H41">
        <v>0.75</v>
      </c>
      <c r="I41" t="s">
        <v>1014</v>
      </c>
      <c r="J41" s="27">
        <v>45863</v>
      </c>
      <c r="L41" s="29">
        <v>1924.0379809782607</v>
      </c>
      <c r="M41" s="29">
        <v>1443.0284857336956</v>
      </c>
      <c r="N41" s="15">
        <v>45839</v>
      </c>
    </row>
    <row r="42" spans="1:14" x14ac:dyDescent="0.25">
      <c r="A42">
        <v>443021</v>
      </c>
      <c r="B42" t="s">
        <v>29</v>
      </c>
      <c r="C42">
        <v>56013</v>
      </c>
      <c r="D42" t="s">
        <v>44</v>
      </c>
      <c r="E42" t="s">
        <v>22</v>
      </c>
      <c r="F42" s="27">
        <v>45863</v>
      </c>
      <c r="G42">
        <v>1</v>
      </c>
      <c r="H42">
        <v>1</v>
      </c>
      <c r="I42" t="s">
        <v>1086</v>
      </c>
      <c r="J42" s="27">
        <v>45863</v>
      </c>
      <c r="L42" s="29">
        <v>1924.0379809782607</v>
      </c>
      <c r="M42" s="29">
        <v>1924.0379809782607</v>
      </c>
      <c r="N42" s="15">
        <v>45839</v>
      </c>
    </row>
    <row r="43" spans="1:14" x14ac:dyDescent="0.25">
      <c r="A43">
        <v>446119</v>
      </c>
      <c r="B43" t="s">
        <v>24</v>
      </c>
      <c r="C43">
        <v>54433</v>
      </c>
      <c r="D43" t="s">
        <v>25</v>
      </c>
      <c r="E43" t="s">
        <v>22</v>
      </c>
      <c r="F43" s="27">
        <v>45862</v>
      </c>
      <c r="G43">
        <v>128</v>
      </c>
      <c r="H43">
        <v>128</v>
      </c>
      <c r="I43" t="s">
        <v>294</v>
      </c>
      <c r="J43" s="27">
        <v>45871</v>
      </c>
      <c r="L43" s="29">
        <v>1030.7346326086956</v>
      </c>
      <c r="M43" s="29">
        <v>131934.03297391304</v>
      </c>
      <c r="N43" s="15">
        <v>45839</v>
      </c>
    </row>
    <row r="44" spans="1:14" x14ac:dyDescent="0.25">
      <c r="A44">
        <v>446118</v>
      </c>
      <c r="B44" t="s">
        <v>24</v>
      </c>
      <c r="C44">
        <v>54431</v>
      </c>
      <c r="D44" t="s">
        <v>49</v>
      </c>
      <c r="E44" t="s">
        <v>22</v>
      </c>
      <c r="F44" s="27">
        <v>45862</v>
      </c>
      <c r="G44">
        <v>104</v>
      </c>
      <c r="H44">
        <v>104</v>
      </c>
      <c r="I44" t="s">
        <v>294</v>
      </c>
      <c r="J44" s="27">
        <v>45871</v>
      </c>
      <c r="L44" s="29">
        <v>1030.7346326086956</v>
      </c>
      <c r="M44" s="29">
        <v>107196.40179130435</v>
      </c>
      <c r="N44" s="15">
        <v>45839</v>
      </c>
    </row>
    <row r="45" spans="1:14" x14ac:dyDescent="0.25">
      <c r="A45">
        <v>446117</v>
      </c>
      <c r="B45" t="s">
        <v>24</v>
      </c>
      <c r="C45">
        <v>54431</v>
      </c>
      <c r="D45" t="s">
        <v>39</v>
      </c>
      <c r="E45" t="s">
        <v>22</v>
      </c>
      <c r="F45" s="27">
        <v>45862</v>
      </c>
      <c r="G45">
        <v>56</v>
      </c>
      <c r="H45">
        <v>56</v>
      </c>
      <c r="I45" t="s">
        <v>294</v>
      </c>
      <c r="J45" s="27">
        <v>45871</v>
      </c>
      <c r="L45" s="29">
        <v>687.15642173913045</v>
      </c>
      <c r="M45" s="29">
        <v>38480.759617391304</v>
      </c>
      <c r="N45" s="15">
        <v>45839</v>
      </c>
    </row>
    <row r="46" spans="1:14" x14ac:dyDescent="0.25">
      <c r="A46">
        <v>446116</v>
      </c>
      <c r="B46" t="s">
        <v>28</v>
      </c>
      <c r="C46">
        <v>51251</v>
      </c>
      <c r="D46" t="s">
        <v>27</v>
      </c>
      <c r="E46" t="s">
        <v>22</v>
      </c>
      <c r="F46" s="27">
        <v>45862</v>
      </c>
      <c r="G46">
        <v>9</v>
      </c>
      <c r="H46">
        <v>9</v>
      </c>
      <c r="I46" t="s">
        <v>294</v>
      </c>
      <c r="J46" s="27">
        <v>45871</v>
      </c>
      <c r="L46" s="29">
        <v>549.72513749999996</v>
      </c>
      <c r="M46" s="29">
        <v>4947.5262374999993</v>
      </c>
      <c r="N46" s="15">
        <v>45839</v>
      </c>
    </row>
    <row r="47" spans="1:14" x14ac:dyDescent="0.25">
      <c r="A47">
        <v>446115</v>
      </c>
      <c r="B47" t="s">
        <v>28</v>
      </c>
      <c r="C47">
        <v>51251</v>
      </c>
      <c r="D47" t="s">
        <v>252</v>
      </c>
      <c r="E47" t="s">
        <v>22</v>
      </c>
      <c r="F47" s="27">
        <v>45862</v>
      </c>
      <c r="G47">
        <v>3</v>
      </c>
      <c r="H47">
        <v>3</v>
      </c>
      <c r="I47" t="s">
        <v>294</v>
      </c>
      <c r="J47" s="27">
        <v>45871</v>
      </c>
      <c r="L47" s="29">
        <v>1380</v>
      </c>
      <c r="M47" s="29">
        <v>4140</v>
      </c>
      <c r="N47" s="15">
        <v>45839</v>
      </c>
    </row>
    <row r="48" spans="1:14" x14ac:dyDescent="0.25">
      <c r="A48">
        <v>446114</v>
      </c>
      <c r="B48" t="s">
        <v>28</v>
      </c>
      <c r="C48">
        <v>51251</v>
      </c>
      <c r="D48" t="s">
        <v>44</v>
      </c>
      <c r="E48" t="s">
        <v>22</v>
      </c>
      <c r="F48" s="27">
        <v>45862</v>
      </c>
      <c r="G48">
        <v>8</v>
      </c>
      <c r="H48">
        <v>8</v>
      </c>
      <c r="I48" t="s">
        <v>294</v>
      </c>
      <c r="J48" s="27">
        <v>45871</v>
      </c>
      <c r="L48" s="29">
        <v>1924.0379809782607</v>
      </c>
      <c r="M48" s="29">
        <v>15392.303847826086</v>
      </c>
      <c r="N48" s="15">
        <v>45839</v>
      </c>
    </row>
    <row r="49" spans="1:14" x14ac:dyDescent="0.25">
      <c r="A49">
        <v>446113</v>
      </c>
      <c r="B49" t="s">
        <v>28</v>
      </c>
      <c r="C49">
        <v>51251</v>
      </c>
      <c r="D49" t="s">
        <v>33</v>
      </c>
      <c r="E49" t="s">
        <v>22</v>
      </c>
      <c r="F49" s="27">
        <v>45862</v>
      </c>
      <c r="G49">
        <v>2</v>
      </c>
      <c r="H49">
        <v>2</v>
      </c>
      <c r="I49" t="s">
        <v>294</v>
      </c>
      <c r="J49" s="27">
        <v>45871</v>
      </c>
      <c r="L49" s="29">
        <v>1717.8910543478262</v>
      </c>
      <c r="M49" s="29">
        <v>3435.7821086956524</v>
      </c>
      <c r="N49" s="15">
        <v>45839</v>
      </c>
    </row>
    <row r="50" spans="1:14" x14ac:dyDescent="0.25">
      <c r="A50">
        <v>444040</v>
      </c>
      <c r="B50" t="s">
        <v>956</v>
      </c>
      <c r="C50">
        <v>54972</v>
      </c>
      <c r="D50" t="s">
        <v>41</v>
      </c>
      <c r="E50" t="s">
        <v>22</v>
      </c>
      <c r="F50" s="27">
        <v>45862</v>
      </c>
      <c r="G50">
        <v>8</v>
      </c>
      <c r="H50">
        <v>8</v>
      </c>
      <c r="I50" t="s">
        <v>1084</v>
      </c>
      <c r="J50" s="27">
        <v>45868</v>
      </c>
      <c r="L50" s="29">
        <v>1374.3128434782609</v>
      </c>
      <c r="M50" s="29">
        <v>10994.502747826087</v>
      </c>
      <c r="N50" s="15">
        <v>45839</v>
      </c>
    </row>
    <row r="51" spans="1:14" x14ac:dyDescent="0.25">
      <c r="A51">
        <v>443023</v>
      </c>
      <c r="B51" t="s">
        <v>29</v>
      </c>
      <c r="C51">
        <v>56280</v>
      </c>
      <c r="D51" t="s">
        <v>44</v>
      </c>
      <c r="E51" t="s">
        <v>22</v>
      </c>
      <c r="F51" s="27">
        <v>45862</v>
      </c>
      <c r="G51">
        <v>4.25</v>
      </c>
      <c r="H51">
        <v>4.25</v>
      </c>
      <c r="I51" t="s">
        <v>1087</v>
      </c>
      <c r="J51" s="27">
        <v>45863</v>
      </c>
      <c r="L51" s="29">
        <v>1924.0379809782607</v>
      </c>
      <c r="M51" s="29">
        <v>8177.1614191576082</v>
      </c>
      <c r="N51" s="15">
        <v>45839</v>
      </c>
    </row>
    <row r="52" spans="1:14" x14ac:dyDescent="0.25">
      <c r="A52">
        <v>443019</v>
      </c>
      <c r="B52" t="s">
        <v>29</v>
      </c>
      <c r="C52">
        <v>56013</v>
      </c>
      <c r="D52" t="s">
        <v>44</v>
      </c>
      <c r="E52" t="s">
        <v>22</v>
      </c>
      <c r="F52" s="27">
        <v>45862</v>
      </c>
      <c r="G52">
        <v>0.75</v>
      </c>
      <c r="H52">
        <v>0.75</v>
      </c>
      <c r="I52" t="s">
        <v>1014</v>
      </c>
      <c r="J52" s="27">
        <v>45863</v>
      </c>
      <c r="L52" s="29">
        <v>1924.0379809782607</v>
      </c>
      <c r="M52" s="29">
        <v>1443.0284857336956</v>
      </c>
      <c r="N52" s="15">
        <v>45839</v>
      </c>
    </row>
    <row r="53" spans="1:14" x14ac:dyDescent="0.25">
      <c r="A53">
        <v>444039</v>
      </c>
      <c r="B53" t="s">
        <v>956</v>
      </c>
      <c r="C53">
        <v>54972</v>
      </c>
      <c r="D53" t="s">
        <v>41</v>
      </c>
      <c r="E53" t="s">
        <v>22</v>
      </c>
      <c r="F53" s="27">
        <v>45861</v>
      </c>
      <c r="G53">
        <v>8</v>
      </c>
      <c r="H53">
        <v>8</v>
      </c>
      <c r="I53" t="s">
        <v>1084</v>
      </c>
      <c r="J53" s="27">
        <v>45868</v>
      </c>
      <c r="L53" s="29">
        <v>1374.3128434782609</v>
      </c>
      <c r="M53" s="29">
        <v>10994.502747826087</v>
      </c>
      <c r="N53" s="15">
        <v>45839</v>
      </c>
    </row>
    <row r="54" spans="1:14" x14ac:dyDescent="0.25">
      <c r="A54">
        <v>442124</v>
      </c>
      <c r="B54" t="s">
        <v>29</v>
      </c>
      <c r="C54">
        <v>56280</v>
      </c>
      <c r="D54" t="s">
        <v>44</v>
      </c>
      <c r="E54" t="s">
        <v>22</v>
      </c>
      <c r="F54" s="27">
        <v>45861</v>
      </c>
      <c r="G54">
        <v>5.25</v>
      </c>
      <c r="H54">
        <v>5.25</v>
      </c>
      <c r="I54" t="s">
        <v>1036</v>
      </c>
      <c r="J54" s="27">
        <v>45861</v>
      </c>
      <c r="L54" s="29">
        <v>1924.0379809782607</v>
      </c>
      <c r="M54" s="29">
        <v>10101.199400135869</v>
      </c>
      <c r="N54" s="15">
        <v>45839</v>
      </c>
    </row>
    <row r="55" spans="1:14" x14ac:dyDescent="0.25">
      <c r="A55">
        <v>442117</v>
      </c>
      <c r="B55" t="s">
        <v>29</v>
      </c>
      <c r="C55">
        <v>56013</v>
      </c>
      <c r="D55" t="s">
        <v>44</v>
      </c>
      <c r="E55" t="s">
        <v>22</v>
      </c>
      <c r="F55" s="27">
        <v>45861</v>
      </c>
      <c r="G55">
        <v>0.75</v>
      </c>
      <c r="H55">
        <v>0.75</v>
      </c>
      <c r="I55" t="s">
        <v>1014</v>
      </c>
      <c r="J55" s="27">
        <v>45861</v>
      </c>
      <c r="L55" s="29">
        <v>1924.0379809782607</v>
      </c>
      <c r="M55" s="29">
        <v>1443.0284857336956</v>
      </c>
      <c r="N55" s="15">
        <v>45839</v>
      </c>
    </row>
    <row r="56" spans="1:14" x14ac:dyDescent="0.25">
      <c r="A56">
        <v>446164</v>
      </c>
      <c r="B56" t="s">
        <v>31</v>
      </c>
      <c r="C56">
        <v>56715</v>
      </c>
      <c r="D56" t="s">
        <v>46</v>
      </c>
      <c r="E56" t="s">
        <v>19</v>
      </c>
      <c r="F56" s="27">
        <v>45860</v>
      </c>
      <c r="G56">
        <v>16</v>
      </c>
      <c r="H56">
        <v>16</v>
      </c>
      <c r="I56" t="s">
        <v>255</v>
      </c>
      <c r="J56" s="27">
        <v>45871</v>
      </c>
      <c r="L56" s="29">
        <v>1030.7346326086956</v>
      </c>
      <c r="M56" s="29">
        <v>16491.75412173913</v>
      </c>
      <c r="N56" s="15">
        <v>45839</v>
      </c>
    </row>
    <row r="57" spans="1:14" x14ac:dyDescent="0.25">
      <c r="A57">
        <v>446163</v>
      </c>
      <c r="B57" t="s">
        <v>31</v>
      </c>
      <c r="C57">
        <v>56715</v>
      </c>
      <c r="D57" t="s">
        <v>43</v>
      </c>
      <c r="E57" t="s">
        <v>19</v>
      </c>
      <c r="F57" s="27">
        <v>45860</v>
      </c>
      <c r="G57">
        <v>8</v>
      </c>
      <c r="H57">
        <v>8</v>
      </c>
      <c r="I57" t="s">
        <v>255</v>
      </c>
      <c r="J57" s="27">
        <v>45871</v>
      </c>
      <c r="L57" s="29">
        <v>343.57821086956523</v>
      </c>
      <c r="M57" s="29">
        <v>2748.6256869565218</v>
      </c>
      <c r="N57" s="15">
        <v>45839</v>
      </c>
    </row>
    <row r="58" spans="1:14" x14ac:dyDescent="0.25">
      <c r="A58">
        <v>446162</v>
      </c>
      <c r="B58" t="s">
        <v>31</v>
      </c>
      <c r="C58">
        <v>56715</v>
      </c>
      <c r="D58" t="s">
        <v>21</v>
      </c>
      <c r="E58" t="s">
        <v>19</v>
      </c>
      <c r="F58" s="27">
        <v>45860</v>
      </c>
      <c r="G58">
        <v>10</v>
      </c>
      <c r="H58">
        <v>10</v>
      </c>
      <c r="I58" t="s">
        <v>255</v>
      </c>
      <c r="J58" s="27">
        <v>45871</v>
      </c>
      <c r="L58" s="29">
        <v>1546.1019489130435</v>
      </c>
      <c r="M58" s="29">
        <v>15461.019489130435</v>
      </c>
      <c r="N58" s="15">
        <v>45839</v>
      </c>
    </row>
    <row r="59" spans="1:14" x14ac:dyDescent="0.25">
      <c r="A59">
        <v>442122</v>
      </c>
      <c r="B59" t="s">
        <v>29</v>
      </c>
      <c r="C59">
        <v>56280</v>
      </c>
      <c r="D59" t="s">
        <v>44</v>
      </c>
      <c r="E59" t="s">
        <v>22</v>
      </c>
      <c r="F59" s="27">
        <v>45860</v>
      </c>
      <c r="G59">
        <v>4.75</v>
      </c>
      <c r="H59">
        <v>4.75</v>
      </c>
      <c r="I59" t="s">
        <v>1036</v>
      </c>
      <c r="J59" s="27">
        <v>45861</v>
      </c>
      <c r="L59" s="29">
        <v>1924.0379809782607</v>
      </c>
      <c r="M59" s="29">
        <v>9139.1804096467386</v>
      </c>
      <c r="N59" s="15">
        <v>45839</v>
      </c>
    </row>
    <row r="60" spans="1:14" x14ac:dyDescent="0.25">
      <c r="A60">
        <v>442116</v>
      </c>
      <c r="B60" t="s">
        <v>29</v>
      </c>
      <c r="C60">
        <v>56013</v>
      </c>
      <c r="D60" t="s">
        <v>44</v>
      </c>
      <c r="E60" t="s">
        <v>22</v>
      </c>
      <c r="F60" s="27">
        <v>45860</v>
      </c>
      <c r="G60">
        <v>0.75</v>
      </c>
      <c r="H60">
        <v>0.75</v>
      </c>
      <c r="I60" t="s">
        <v>1014</v>
      </c>
      <c r="J60" s="27">
        <v>45861</v>
      </c>
      <c r="L60" s="29">
        <v>1924.0379809782607</v>
      </c>
      <c r="M60" s="29">
        <v>1443.0284857336956</v>
      </c>
      <c r="N60" s="15">
        <v>45839</v>
      </c>
    </row>
    <row r="61" spans="1:14" x14ac:dyDescent="0.25">
      <c r="A61">
        <v>444038</v>
      </c>
      <c r="B61" t="s">
        <v>956</v>
      </c>
      <c r="C61">
        <v>54972</v>
      </c>
      <c r="D61" t="s">
        <v>41</v>
      </c>
      <c r="E61" t="s">
        <v>22</v>
      </c>
      <c r="F61" s="27">
        <v>45859</v>
      </c>
      <c r="G61">
        <v>8</v>
      </c>
      <c r="H61">
        <v>8</v>
      </c>
      <c r="I61" t="s">
        <v>1088</v>
      </c>
      <c r="J61" s="27">
        <v>45868</v>
      </c>
      <c r="L61" s="29">
        <v>1374.3128434782609</v>
      </c>
      <c r="M61" s="29">
        <v>10994.502747826087</v>
      </c>
      <c r="N61" s="15">
        <v>45839</v>
      </c>
    </row>
    <row r="62" spans="1:14" x14ac:dyDescent="0.25">
      <c r="A62">
        <v>444037</v>
      </c>
      <c r="B62" t="s">
        <v>956</v>
      </c>
      <c r="C62">
        <v>54972</v>
      </c>
      <c r="D62" t="s">
        <v>41</v>
      </c>
      <c r="E62" t="s">
        <v>22</v>
      </c>
      <c r="F62" s="27">
        <v>45859</v>
      </c>
      <c r="G62">
        <v>8</v>
      </c>
      <c r="H62">
        <v>8</v>
      </c>
      <c r="I62" t="s">
        <v>1088</v>
      </c>
      <c r="J62" s="27">
        <v>45868</v>
      </c>
      <c r="L62" s="29">
        <v>1374.3128434782609</v>
      </c>
      <c r="M62" s="29">
        <v>10994.502747826087</v>
      </c>
      <c r="N62" s="15">
        <v>45839</v>
      </c>
    </row>
    <row r="63" spans="1:14" x14ac:dyDescent="0.25">
      <c r="A63">
        <v>442120</v>
      </c>
      <c r="B63" t="s">
        <v>29</v>
      </c>
      <c r="C63">
        <v>56280</v>
      </c>
      <c r="D63" t="s">
        <v>44</v>
      </c>
      <c r="E63" t="s">
        <v>22</v>
      </c>
      <c r="F63" s="27">
        <v>45859</v>
      </c>
      <c r="G63">
        <v>6.75</v>
      </c>
      <c r="H63">
        <v>6.75</v>
      </c>
      <c r="I63" t="s">
        <v>1036</v>
      </c>
      <c r="J63" s="27">
        <v>45861</v>
      </c>
      <c r="L63" s="29">
        <v>1924.0379809782607</v>
      </c>
      <c r="M63" s="29">
        <v>12987.25637160326</v>
      </c>
      <c r="N63" s="15">
        <v>45839</v>
      </c>
    </row>
    <row r="64" spans="1:14" x14ac:dyDescent="0.25">
      <c r="A64">
        <v>442115</v>
      </c>
      <c r="B64" t="s">
        <v>29</v>
      </c>
      <c r="C64">
        <v>56013</v>
      </c>
      <c r="D64" t="s">
        <v>44</v>
      </c>
      <c r="E64" t="s">
        <v>22</v>
      </c>
      <c r="F64" s="27">
        <v>45859</v>
      </c>
      <c r="G64">
        <v>0.75</v>
      </c>
      <c r="H64">
        <v>0.75</v>
      </c>
      <c r="I64" t="s">
        <v>1014</v>
      </c>
      <c r="J64" s="27">
        <v>45861</v>
      </c>
      <c r="L64" s="29">
        <v>1924.0379809782607</v>
      </c>
      <c r="M64" s="29">
        <v>1443.0284857336956</v>
      </c>
      <c r="N64" s="15">
        <v>45839</v>
      </c>
    </row>
    <row r="65" spans="1:14" x14ac:dyDescent="0.25">
      <c r="A65">
        <v>441815</v>
      </c>
      <c r="B65" t="s">
        <v>956</v>
      </c>
      <c r="C65">
        <v>54971</v>
      </c>
      <c r="D65" t="s">
        <v>33</v>
      </c>
      <c r="E65" t="s">
        <v>22</v>
      </c>
      <c r="F65" s="27">
        <v>45859</v>
      </c>
      <c r="G65">
        <v>8</v>
      </c>
      <c r="H65">
        <v>8</v>
      </c>
      <c r="I65" t="s">
        <v>1030</v>
      </c>
      <c r="J65" s="27">
        <v>45860</v>
      </c>
      <c r="L65" s="29">
        <v>1717.8910543478262</v>
      </c>
      <c r="M65" s="29">
        <v>13743.128434782609</v>
      </c>
      <c r="N65" s="15">
        <v>45839</v>
      </c>
    </row>
    <row r="66" spans="1:14" x14ac:dyDescent="0.25">
      <c r="A66">
        <v>446161</v>
      </c>
      <c r="B66" t="s">
        <v>31</v>
      </c>
      <c r="C66">
        <v>56715</v>
      </c>
      <c r="D66" t="s">
        <v>39</v>
      </c>
      <c r="E66" t="s">
        <v>19</v>
      </c>
      <c r="F66" s="27">
        <v>45856</v>
      </c>
      <c r="G66">
        <v>16</v>
      </c>
      <c r="H66">
        <v>16</v>
      </c>
      <c r="I66" t="s">
        <v>255</v>
      </c>
      <c r="J66" s="27">
        <v>45871</v>
      </c>
      <c r="L66" s="29">
        <v>687.15642173913045</v>
      </c>
      <c r="M66" s="29">
        <v>10994.502747826087</v>
      </c>
      <c r="N66" s="15">
        <v>45839</v>
      </c>
    </row>
    <row r="67" spans="1:14" x14ac:dyDescent="0.25">
      <c r="A67">
        <v>446160</v>
      </c>
      <c r="B67" t="s">
        <v>31</v>
      </c>
      <c r="C67">
        <v>56715</v>
      </c>
      <c r="D67" t="s">
        <v>37</v>
      </c>
      <c r="E67" t="s">
        <v>19</v>
      </c>
      <c r="F67" s="27">
        <v>45856</v>
      </c>
      <c r="G67">
        <v>16</v>
      </c>
      <c r="H67">
        <v>16</v>
      </c>
      <c r="I67" t="s">
        <v>255</v>
      </c>
      <c r="J67" s="27">
        <v>45871</v>
      </c>
      <c r="L67" s="29">
        <v>412.29385326086958</v>
      </c>
      <c r="M67" s="29">
        <v>6596.7016521739133</v>
      </c>
      <c r="N67" s="15">
        <v>45839</v>
      </c>
    </row>
    <row r="68" spans="1:14" x14ac:dyDescent="0.25">
      <c r="A68">
        <v>444034</v>
      </c>
      <c r="B68" t="s">
        <v>956</v>
      </c>
      <c r="C68">
        <v>55004</v>
      </c>
      <c r="D68" t="s">
        <v>41</v>
      </c>
      <c r="E68" t="s">
        <v>22</v>
      </c>
      <c r="F68" s="27">
        <v>45856</v>
      </c>
      <c r="G68">
        <v>8</v>
      </c>
      <c r="H68">
        <v>8</v>
      </c>
      <c r="I68" t="s">
        <v>1089</v>
      </c>
      <c r="J68" s="27">
        <v>45868</v>
      </c>
      <c r="L68" s="29">
        <v>1374.3128434782609</v>
      </c>
      <c r="M68" s="29">
        <v>10994.502747826087</v>
      </c>
      <c r="N68" s="15">
        <v>45839</v>
      </c>
    </row>
    <row r="69" spans="1:14" x14ac:dyDescent="0.25">
      <c r="A69">
        <v>441816</v>
      </c>
      <c r="B69" t="s">
        <v>18</v>
      </c>
      <c r="C69">
        <v>17</v>
      </c>
      <c r="D69" t="s">
        <v>33</v>
      </c>
      <c r="E69" t="s">
        <v>19</v>
      </c>
      <c r="F69" s="27">
        <v>45856</v>
      </c>
      <c r="G69">
        <v>8</v>
      </c>
      <c r="H69">
        <v>8</v>
      </c>
      <c r="I69" t="s">
        <v>1031</v>
      </c>
      <c r="J69" s="27">
        <v>45860</v>
      </c>
      <c r="L69" s="29">
        <v>1717.8910543478262</v>
      </c>
      <c r="M69" s="29">
        <v>13743.128434782609</v>
      </c>
      <c r="N69" s="15">
        <v>45839</v>
      </c>
    </row>
    <row r="70" spans="1:14" x14ac:dyDescent="0.25">
      <c r="A70">
        <v>441298</v>
      </c>
      <c r="B70" t="s">
        <v>29</v>
      </c>
      <c r="C70">
        <v>56013</v>
      </c>
      <c r="D70" t="s">
        <v>44</v>
      </c>
      <c r="E70" t="s">
        <v>22</v>
      </c>
      <c r="F70" s="27">
        <v>45856</v>
      </c>
      <c r="G70">
        <v>0.75</v>
      </c>
      <c r="H70">
        <v>0.75</v>
      </c>
      <c r="I70" t="s">
        <v>1014</v>
      </c>
      <c r="J70" s="27">
        <v>45859</v>
      </c>
      <c r="L70" s="29">
        <v>1924.0379809782607</v>
      </c>
      <c r="M70" s="29">
        <v>1443.0284857336956</v>
      </c>
      <c r="N70" s="15">
        <v>45839</v>
      </c>
    </row>
    <row r="71" spans="1:14" x14ac:dyDescent="0.25">
      <c r="A71">
        <v>446181</v>
      </c>
      <c r="B71" t="s">
        <v>18</v>
      </c>
      <c r="C71">
        <v>17</v>
      </c>
      <c r="D71" t="s">
        <v>36</v>
      </c>
      <c r="E71" t="s">
        <v>19</v>
      </c>
      <c r="F71" s="27">
        <v>45855</v>
      </c>
      <c r="G71">
        <v>32</v>
      </c>
      <c r="H71">
        <v>32</v>
      </c>
      <c r="I71" t="s">
        <v>255</v>
      </c>
      <c r="J71" s="27">
        <v>45871</v>
      </c>
      <c r="L71" s="29">
        <v>1649.1754125</v>
      </c>
      <c r="M71" s="29">
        <v>52773.6132</v>
      </c>
      <c r="N71" s="15">
        <v>45839</v>
      </c>
    </row>
    <row r="72" spans="1:14" x14ac:dyDescent="0.25">
      <c r="A72">
        <v>446180</v>
      </c>
      <c r="B72" t="s">
        <v>31</v>
      </c>
      <c r="C72">
        <v>56715</v>
      </c>
      <c r="D72" t="s">
        <v>41</v>
      </c>
      <c r="E72" t="s">
        <v>19</v>
      </c>
      <c r="F72" s="27">
        <v>45855</v>
      </c>
      <c r="G72">
        <v>16</v>
      </c>
      <c r="H72">
        <v>16</v>
      </c>
      <c r="I72" t="s">
        <v>255</v>
      </c>
      <c r="J72" s="27">
        <v>45871</v>
      </c>
      <c r="L72" s="29">
        <v>1374.3128434782609</v>
      </c>
      <c r="M72" s="29">
        <v>21989.005495652174</v>
      </c>
      <c r="N72" s="15">
        <v>45839</v>
      </c>
    </row>
    <row r="73" spans="1:14" x14ac:dyDescent="0.25">
      <c r="A73">
        <v>446179</v>
      </c>
      <c r="B73" t="s">
        <v>18</v>
      </c>
      <c r="C73">
        <v>17</v>
      </c>
      <c r="D73" t="s">
        <v>25</v>
      </c>
      <c r="E73" t="s">
        <v>19</v>
      </c>
      <c r="F73" s="27">
        <v>45855</v>
      </c>
      <c r="G73">
        <v>40</v>
      </c>
      <c r="H73">
        <v>40</v>
      </c>
      <c r="I73" t="s">
        <v>255</v>
      </c>
      <c r="J73" s="27">
        <v>45871</v>
      </c>
      <c r="L73" s="29">
        <v>1030.7346326086956</v>
      </c>
      <c r="M73" s="29">
        <v>41229.385304347823</v>
      </c>
      <c r="N73" s="15">
        <v>45839</v>
      </c>
    </row>
    <row r="74" spans="1:14" x14ac:dyDescent="0.25">
      <c r="A74">
        <v>446178</v>
      </c>
      <c r="B74" t="s">
        <v>24</v>
      </c>
      <c r="C74">
        <v>55464</v>
      </c>
      <c r="D74" t="s">
        <v>39</v>
      </c>
      <c r="E74" t="s">
        <v>22</v>
      </c>
      <c r="F74" s="27">
        <v>45855</v>
      </c>
      <c r="G74">
        <v>32</v>
      </c>
      <c r="H74">
        <v>32</v>
      </c>
      <c r="I74" t="s">
        <v>294</v>
      </c>
      <c r="J74" s="27">
        <v>45871</v>
      </c>
      <c r="L74" s="29">
        <v>687.15642173913045</v>
      </c>
      <c r="M74" s="29">
        <v>21989.005495652174</v>
      </c>
      <c r="N74" s="15">
        <v>45839</v>
      </c>
    </row>
    <row r="75" spans="1:14" x14ac:dyDescent="0.25">
      <c r="A75">
        <v>446177</v>
      </c>
      <c r="B75" t="s">
        <v>18</v>
      </c>
      <c r="C75">
        <v>17</v>
      </c>
      <c r="D75" t="s">
        <v>30</v>
      </c>
      <c r="E75" t="s">
        <v>19</v>
      </c>
      <c r="F75" s="27">
        <v>45855</v>
      </c>
      <c r="G75">
        <v>88</v>
      </c>
      <c r="H75">
        <v>88</v>
      </c>
      <c r="I75" t="s">
        <v>255</v>
      </c>
      <c r="J75" s="27">
        <v>45871</v>
      </c>
      <c r="L75" s="29">
        <v>824.58770597826083</v>
      </c>
      <c r="M75" s="29">
        <v>72563.718126086955</v>
      </c>
      <c r="N75" s="15">
        <v>45839</v>
      </c>
    </row>
    <row r="76" spans="1:14" x14ac:dyDescent="0.25">
      <c r="A76">
        <v>441818</v>
      </c>
      <c r="B76" t="s">
        <v>18</v>
      </c>
      <c r="C76">
        <v>17</v>
      </c>
      <c r="D76" t="s">
        <v>33</v>
      </c>
      <c r="E76" t="s">
        <v>19</v>
      </c>
      <c r="F76" s="27">
        <v>45855</v>
      </c>
      <c r="G76">
        <v>8</v>
      </c>
      <c r="H76">
        <v>8</v>
      </c>
      <c r="I76" t="s">
        <v>1031</v>
      </c>
      <c r="J76" s="27">
        <v>45860</v>
      </c>
      <c r="L76" s="29">
        <v>1717.8910543478262</v>
      </c>
      <c r="M76" s="29">
        <v>13743.128434782609</v>
      </c>
      <c r="N76" s="15">
        <v>45839</v>
      </c>
    </row>
    <row r="77" spans="1:14" x14ac:dyDescent="0.25">
      <c r="A77">
        <v>441299</v>
      </c>
      <c r="B77" t="s">
        <v>29</v>
      </c>
      <c r="C77">
        <v>56013</v>
      </c>
      <c r="D77" t="s">
        <v>44</v>
      </c>
      <c r="E77" t="s">
        <v>22</v>
      </c>
      <c r="F77" s="27">
        <v>45855</v>
      </c>
      <c r="G77">
        <v>1</v>
      </c>
      <c r="H77">
        <v>1</v>
      </c>
      <c r="I77" t="s">
        <v>1014</v>
      </c>
      <c r="J77" s="27">
        <v>45859</v>
      </c>
      <c r="L77" s="29">
        <v>1924.0379809782607</v>
      </c>
      <c r="M77" s="29">
        <v>1924.0379809782607</v>
      </c>
      <c r="N77" s="15">
        <v>45839</v>
      </c>
    </row>
    <row r="78" spans="1:14" x14ac:dyDescent="0.25">
      <c r="A78">
        <v>446176</v>
      </c>
      <c r="B78" t="s">
        <v>23</v>
      </c>
      <c r="C78">
        <v>54722</v>
      </c>
      <c r="D78" t="s">
        <v>30</v>
      </c>
      <c r="E78" t="s">
        <v>22</v>
      </c>
      <c r="F78" s="27">
        <v>45854</v>
      </c>
      <c r="G78">
        <v>40</v>
      </c>
      <c r="H78">
        <v>40</v>
      </c>
      <c r="I78" t="s">
        <v>294</v>
      </c>
      <c r="J78" s="27">
        <v>45871</v>
      </c>
      <c r="L78" s="29">
        <v>824.58770597826083</v>
      </c>
      <c r="M78" s="29">
        <v>32983.508239130431</v>
      </c>
      <c r="N78" s="15">
        <v>45839</v>
      </c>
    </row>
    <row r="79" spans="1:14" x14ac:dyDescent="0.25">
      <c r="A79">
        <v>446175</v>
      </c>
      <c r="B79" t="s">
        <v>18</v>
      </c>
      <c r="C79">
        <v>17</v>
      </c>
      <c r="D79" t="s">
        <v>43</v>
      </c>
      <c r="E79" t="s">
        <v>19</v>
      </c>
      <c r="F79" s="27">
        <v>45854</v>
      </c>
      <c r="G79">
        <v>24</v>
      </c>
      <c r="H79">
        <v>24</v>
      </c>
      <c r="I79" t="s">
        <v>255</v>
      </c>
      <c r="J79" s="27">
        <v>45871</v>
      </c>
      <c r="L79" s="29">
        <v>343.57821086956523</v>
      </c>
      <c r="M79" s="29">
        <v>8245.877060869565</v>
      </c>
      <c r="N79" s="15">
        <v>45839</v>
      </c>
    </row>
    <row r="80" spans="1:14" x14ac:dyDescent="0.25">
      <c r="A80">
        <v>446172</v>
      </c>
      <c r="B80" t="s">
        <v>31</v>
      </c>
      <c r="C80">
        <v>56715</v>
      </c>
      <c r="D80" t="s">
        <v>26</v>
      </c>
      <c r="E80" t="s">
        <v>19</v>
      </c>
      <c r="F80" s="27">
        <v>45854</v>
      </c>
      <c r="G80">
        <v>16</v>
      </c>
      <c r="H80">
        <v>16</v>
      </c>
      <c r="I80" t="s">
        <v>255</v>
      </c>
      <c r="J80" s="27">
        <v>45871</v>
      </c>
      <c r="L80" s="29">
        <v>893.30334836956524</v>
      </c>
      <c r="M80" s="29">
        <v>14292.853573913044</v>
      </c>
      <c r="N80" s="15">
        <v>45839</v>
      </c>
    </row>
    <row r="81" spans="1:14" x14ac:dyDescent="0.25">
      <c r="A81">
        <v>446171</v>
      </c>
      <c r="B81" t="s">
        <v>31</v>
      </c>
      <c r="C81">
        <v>56715</v>
      </c>
      <c r="D81" t="s">
        <v>25</v>
      </c>
      <c r="E81" t="s">
        <v>19</v>
      </c>
      <c r="F81" s="27">
        <v>45854</v>
      </c>
      <c r="G81">
        <v>16</v>
      </c>
      <c r="H81">
        <v>16</v>
      </c>
      <c r="I81" t="s">
        <v>255</v>
      </c>
      <c r="J81" s="27">
        <v>45871</v>
      </c>
      <c r="L81" s="29">
        <v>1030.7346326086956</v>
      </c>
      <c r="M81" s="29">
        <v>16491.75412173913</v>
      </c>
      <c r="N81" s="15">
        <v>45839</v>
      </c>
    </row>
    <row r="82" spans="1:14" x14ac:dyDescent="0.25">
      <c r="A82">
        <v>446170</v>
      </c>
      <c r="B82" t="s">
        <v>31</v>
      </c>
      <c r="C82">
        <v>56715</v>
      </c>
      <c r="D82" t="s">
        <v>30</v>
      </c>
      <c r="E82" t="s">
        <v>19</v>
      </c>
      <c r="F82" s="27">
        <v>45854</v>
      </c>
      <c r="G82">
        <v>16</v>
      </c>
      <c r="H82">
        <v>16</v>
      </c>
      <c r="I82" t="s">
        <v>255</v>
      </c>
      <c r="J82" s="27">
        <v>45871</v>
      </c>
      <c r="L82" s="29">
        <v>824.58770597826083</v>
      </c>
      <c r="M82" s="29">
        <v>13193.403295652173</v>
      </c>
      <c r="N82" s="15">
        <v>45839</v>
      </c>
    </row>
    <row r="83" spans="1:14" x14ac:dyDescent="0.25">
      <c r="A83">
        <v>446169</v>
      </c>
      <c r="B83" t="s">
        <v>31</v>
      </c>
      <c r="C83">
        <v>56715</v>
      </c>
      <c r="D83" t="s">
        <v>49</v>
      </c>
      <c r="E83" t="s">
        <v>19</v>
      </c>
      <c r="F83" s="27">
        <v>45854</v>
      </c>
      <c r="G83">
        <v>16</v>
      </c>
      <c r="H83">
        <v>16</v>
      </c>
      <c r="I83" t="s">
        <v>255</v>
      </c>
      <c r="J83" s="27">
        <v>45871</v>
      </c>
      <c r="L83" s="29">
        <v>1030.7346326086956</v>
      </c>
      <c r="M83" s="29">
        <v>16491.75412173913</v>
      </c>
      <c r="N83" s="15">
        <v>45839</v>
      </c>
    </row>
    <row r="84" spans="1:14" x14ac:dyDescent="0.25">
      <c r="A84">
        <v>446168</v>
      </c>
      <c r="B84" t="s">
        <v>31</v>
      </c>
      <c r="C84">
        <v>56715</v>
      </c>
      <c r="D84" t="s">
        <v>27</v>
      </c>
      <c r="E84" t="s">
        <v>19</v>
      </c>
      <c r="F84" s="27">
        <v>45854</v>
      </c>
      <c r="G84">
        <v>16</v>
      </c>
      <c r="H84">
        <v>16</v>
      </c>
      <c r="I84" t="s">
        <v>255</v>
      </c>
      <c r="J84" s="27">
        <v>45871</v>
      </c>
      <c r="L84" s="29">
        <v>549.72513749999996</v>
      </c>
      <c r="M84" s="29">
        <v>8795.6021999999994</v>
      </c>
      <c r="N84" s="15">
        <v>45839</v>
      </c>
    </row>
    <row r="85" spans="1:14" x14ac:dyDescent="0.25">
      <c r="A85">
        <v>446167</v>
      </c>
      <c r="B85" t="s">
        <v>31</v>
      </c>
      <c r="C85">
        <v>56715</v>
      </c>
      <c r="D85" t="s">
        <v>252</v>
      </c>
      <c r="E85" t="s">
        <v>19</v>
      </c>
      <c r="F85" s="27">
        <v>45854</v>
      </c>
      <c r="G85">
        <v>4</v>
      </c>
      <c r="H85">
        <v>4</v>
      </c>
      <c r="I85" t="s">
        <v>255</v>
      </c>
      <c r="J85" s="27">
        <v>45871</v>
      </c>
      <c r="L85" s="29">
        <v>1380</v>
      </c>
      <c r="M85" s="29">
        <v>5520</v>
      </c>
      <c r="N85" s="15">
        <v>45839</v>
      </c>
    </row>
    <row r="86" spans="1:14" x14ac:dyDescent="0.25">
      <c r="A86">
        <v>446166</v>
      </c>
      <c r="B86" t="s">
        <v>31</v>
      </c>
      <c r="C86">
        <v>56715</v>
      </c>
      <c r="D86" t="s">
        <v>42</v>
      </c>
      <c r="E86" t="s">
        <v>19</v>
      </c>
      <c r="F86" s="27">
        <v>45854</v>
      </c>
      <c r="G86">
        <v>6</v>
      </c>
      <c r="H86">
        <v>6</v>
      </c>
      <c r="I86" t="s">
        <v>255</v>
      </c>
      <c r="J86" s="27">
        <v>45871</v>
      </c>
      <c r="L86" s="29">
        <v>1418</v>
      </c>
      <c r="M86" s="29">
        <v>8508</v>
      </c>
      <c r="N86" s="15">
        <v>45839</v>
      </c>
    </row>
    <row r="87" spans="1:14" x14ac:dyDescent="0.25">
      <c r="A87">
        <v>446137</v>
      </c>
      <c r="B87" t="s">
        <v>20</v>
      </c>
      <c r="C87">
        <v>52830</v>
      </c>
      <c r="D87" t="s">
        <v>21</v>
      </c>
      <c r="E87" t="s">
        <v>22</v>
      </c>
      <c r="F87" s="27">
        <v>45854</v>
      </c>
      <c r="G87">
        <v>62</v>
      </c>
      <c r="H87">
        <v>62</v>
      </c>
      <c r="I87" t="s">
        <v>294</v>
      </c>
      <c r="J87" s="27">
        <v>45871</v>
      </c>
      <c r="L87" s="29">
        <v>1546.1019489130435</v>
      </c>
      <c r="M87" s="29">
        <v>95858.320832608704</v>
      </c>
      <c r="N87" s="15">
        <v>45839</v>
      </c>
    </row>
    <row r="88" spans="1:14" x14ac:dyDescent="0.25">
      <c r="A88">
        <v>444033</v>
      </c>
      <c r="B88" t="s">
        <v>956</v>
      </c>
      <c r="C88">
        <v>55004</v>
      </c>
      <c r="D88" t="s">
        <v>41</v>
      </c>
      <c r="E88" t="s">
        <v>22</v>
      </c>
      <c r="F88" s="27">
        <v>45854</v>
      </c>
      <c r="G88">
        <v>8</v>
      </c>
      <c r="H88">
        <v>8</v>
      </c>
      <c r="I88" t="s">
        <v>1090</v>
      </c>
      <c r="J88" s="27">
        <v>45868</v>
      </c>
      <c r="L88" s="29">
        <v>1374.3128434782609</v>
      </c>
      <c r="M88" s="29">
        <v>10994.502747826087</v>
      </c>
      <c r="N88" s="15">
        <v>45839</v>
      </c>
    </row>
    <row r="89" spans="1:14" x14ac:dyDescent="0.25">
      <c r="A89">
        <v>444032</v>
      </c>
      <c r="B89" t="s">
        <v>956</v>
      </c>
      <c r="C89">
        <v>55004</v>
      </c>
      <c r="D89" t="s">
        <v>41</v>
      </c>
      <c r="E89" t="s">
        <v>22</v>
      </c>
      <c r="F89" s="27">
        <v>45854</v>
      </c>
      <c r="G89">
        <v>8</v>
      </c>
      <c r="H89">
        <v>8</v>
      </c>
      <c r="I89" t="s">
        <v>1091</v>
      </c>
      <c r="J89" s="27">
        <v>45868</v>
      </c>
      <c r="L89" s="29">
        <v>1374.3128434782609</v>
      </c>
      <c r="M89" s="29">
        <v>10994.502747826087</v>
      </c>
      <c r="N89" s="15">
        <v>45839</v>
      </c>
    </row>
    <row r="90" spans="1:14" x14ac:dyDescent="0.25">
      <c r="A90">
        <v>441819</v>
      </c>
      <c r="B90" t="s">
        <v>18</v>
      </c>
      <c r="C90">
        <v>17</v>
      </c>
      <c r="D90" t="s">
        <v>33</v>
      </c>
      <c r="E90" t="s">
        <v>19</v>
      </c>
      <c r="F90" s="27">
        <v>45854</v>
      </c>
      <c r="G90">
        <v>8</v>
      </c>
      <c r="H90">
        <v>8</v>
      </c>
      <c r="I90" t="s">
        <v>1032</v>
      </c>
      <c r="J90" s="27">
        <v>45860</v>
      </c>
      <c r="L90" s="29">
        <v>1717.8910543478262</v>
      </c>
      <c r="M90" s="29">
        <v>13743.128434782609</v>
      </c>
      <c r="N90" s="15">
        <v>45839</v>
      </c>
    </row>
    <row r="91" spans="1:14" x14ac:dyDescent="0.25">
      <c r="A91">
        <v>441300</v>
      </c>
      <c r="B91" t="s">
        <v>29</v>
      </c>
      <c r="C91">
        <v>56013</v>
      </c>
      <c r="D91" t="s">
        <v>44</v>
      </c>
      <c r="E91" t="s">
        <v>22</v>
      </c>
      <c r="F91" s="27">
        <v>45854</v>
      </c>
      <c r="G91">
        <v>0.75</v>
      </c>
      <c r="H91">
        <v>0.75</v>
      </c>
      <c r="I91" t="s">
        <v>1014</v>
      </c>
      <c r="J91" s="27">
        <v>45859</v>
      </c>
      <c r="L91" s="29">
        <v>1924.0379809782607</v>
      </c>
      <c r="M91" s="29">
        <v>1443.0284857336956</v>
      </c>
      <c r="N91" s="15">
        <v>45839</v>
      </c>
    </row>
    <row r="92" spans="1:14" x14ac:dyDescent="0.25">
      <c r="A92">
        <v>446138</v>
      </c>
      <c r="B92" t="s">
        <v>250</v>
      </c>
      <c r="C92">
        <v>13219</v>
      </c>
      <c r="D92" t="s">
        <v>26</v>
      </c>
      <c r="E92" t="s">
        <v>22</v>
      </c>
      <c r="F92" s="27">
        <v>45853</v>
      </c>
      <c r="G92">
        <v>14</v>
      </c>
      <c r="H92">
        <v>14</v>
      </c>
      <c r="I92" t="s">
        <v>294</v>
      </c>
      <c r="J92" s="27">
        <v>45871</v>
      </c>
      <c r="L92" s="29">
        <v>893.30334836956524</v>
      </c>
      <c r="M92" s="29">
        <v>12506.246877173913</v>
      </c>
      <c r="N92" s="15">
        <v>45839</v>
      </c>
    </row>
    <row r="93" spans="1:14" x14ac:dyDescent="0.25">
      <c r="A93">
        <v>444031</v>
      </c>
      <c r="B93" t="s">
        <v>956</v>
      </c>
      <c r="C93">
        <v>55004</v>
      </c>
      <c r="D93" t="s">
        <v>41</v>
      </c>
      <c r="E93" t="s">
        <v>22</v>
      </c>
      <c r="F93" s="27">
        <v>45853</v>
      </c>
      <c r="G93">
        <v>8</v>
      </c>
      <c r="H93">
        <v>8</v>
      </c>
      <c r="I93" t="s">
        <v>1091</v>
      </c>
      <c r="J93" s="27">
        <v>45868</v>
      </c>
      <c r="L93" s="29">
        <v>1374.3128434782609</v>
      </c>
      <c r="M93" s="29">
        <v>10994.502747826087</v>
      </c>
      <c r="N93" s="15">
        <v>45839</v>
      </c>
    </row>
    <row r="94" spans="1:14" x14ac:dyDescent="0.25">
      <c r="A94">
        <v>441820</v>
      </c>
      <c r="B94" t="s">
        <v>18</v>
      </c>
      <c r="C94">
        <v>17</v>
      </c>
      <c r="D94" t="s">
        <v>33</v>
      </c>
      <c r="E94" t="s">
        <v>19</v>
      </c>
      <c r="F94" s="27">
        <v>45853</v>
      </c>
      <c r="G94">
        <v>8</v>
      </c>
      <c r="H94">
        <v>8</v>
      </c>
      <c r="I94" t="s">
        <v>1032</v>
      </c>
      <c r="J94" s="27">
        <v>45860</v>
      </c>
      <c r="L94" s="29">
        <v>1717.8910543478262</v>
      </c>
      <c r="M94" s="29">
        <v>13743.128434782609</v>
      </c>
      <c r="N94" s="15">
        <v>45839</v>
      </c>
    </row>
    <row r="95" spans="1:14" x14ac:dyDescent="0.25">
      <c r="A95">
        <v>441301</v>
      </c>
      <c r="B95" t="s">
        <v>29</v>
      </c>
      <c r="C95">
        <v>56013</v>
      </c>
      <c r="D95" t="s">
        <v>44</v>
      </c>
      <c r="E95" t="s">
        <v>22</v>
      </c>
      <c r="F95" s="27">
        <v>45853</v>
      </c>
      <c r="G95">
        <v>1</v>
      </c>
      <c r="H95">
        <v>1</v>
      </c>
      <c r="I95" t="s">
        <v>1014</v>
      </c>
      <c r="J95" s="27">
        <v>45859</v>
      </c>
      <c r="L95" s="29">
        <v>1924.0379809782607</v>
      </c>
      <c r="M95" s="29">
        <v>1924.0379809782607</v>
      </c>
      <c r="N95" s="15">
        <v>45839</v>
      </c>
    </row>
    <row r="96" spans="1:14" x14ac:dyDescent="0.25">
      <c r="A96">
        <v>444030</v>
      </c>
      <c r="B96" t="s">
        <v>956</v>
      </c>
      <c r="C96">
        <v>55004</v>
      </c>
      <c r="D96" t="s">
        <v>41</v>
      </c>
      <c r="E96" t="s">
        <v>22</v>
      </c>
      <c r="F96" s="27">
        <v>45852</v>
      </c>
      <c r="G96">
        <v>8</v>
      </c>
      <c r="H96">
        <v>8</v>
      </c>
      <c r="I96" t="s">
        <v>1091</v>
      </c>
      <c r="J96" s="27">
        <v>45868</v>
      </c>
      <c r="L96" s="29">
        <v>1374.3128434782609</v>
      </c>
      <c r="M96" s="29">
        <v>10994.502747826087</v>
      </c>
      <c r="N96" s="15">
        <v>45839</v>
      </c>
    </row>
    <row r="97" spans="1:14" x14ac:dyDescent="0.25">
      <c r="A97">
        <v>441822</v>
      </c>
      <c r="B97" t="s">
        <v>18</v>
      </c>
      <c r="C97">
        <v>17</v>
      </c>
      <c r="D97" t="s">
        <v>33</v>
      </c>
      <c r="E97" t="s">
        <v>19</v>
      </c>
      <c r="F97" s="27">
        <v>45852</v>
      </c>
      <c r="G97">
        <v>8</v>
      </c>
      <c r="H97">
        <v>8</v>
      </c>
      <c r="I97" t="s">
        <v>1032</v>
      </c>
      <c r="J97" s="27">
        <v>45860</v>
      </c>
      <c r="L97" s="29">
        <v>1717.8910543478262</v>
      </c>
      <c r="M97" s="29">
        <v>13743.128434782609</v>
      </c>
      <c r="N97" s="15">
        <v>45839</v>
      </c>
    </row>
    <row r="98" spans="1:14" x14ac:dyDescent="0.25">
      <c r="A98">
        <v>438980</v>
      </c>
      <c r="B98" t="s">
        <v>29</v>
      </c>
      <c r="C98">
        <v>56013</v>
      </c>
      <c r="D98" t="s">
        <v>44</v>
      </c>
      <c r="E98" t="s">
        <v>22</v>
      </c>
      <c r="F98" s="27">
        <v>45852</v>
      </c>
      <c r="G98">
        <v>0.75</v>
      </c>
      <c r="H98">
        <v>0.75</v>
      </c>
      <c r="I98" t="s">
        <v>1014</v>
      </c>
      <c r="J98" s="27">
        <v>45852</v>
      </c>
      <c r="L98" s="29">
        <v>1924.0379809782607</v>
      </c>
      <c r="M98" s="29">
        <v>1443.0284857336956</v>
      </c>
      <c r="N98" s="15">
        <v>45839</v>
      </c>
    </row>
    <row r="99" spans="1:14" x14ac:dyDescent="0.25">
      <c r="A99">
        <v>441829</v>
      </c>
      <c r="B99" t="s">
        <v>956</v>
      </c>
      <c r="C99">
        <v>54971</v>
      </c>
      <c r="D99" t="s">
        <v>33</v>
      </c>
      <c r="E99" t="s">
        <v>22</v>
      </c>
      <c r="F99" s="27">
        <v>45849</v>
      </c>
      <c r="G99">
        <v>9</v>
      </c>
      <c r="H99">
        <v>9</v>
      </c>
      <c r="I99" t="s">
        <v>1030</v>
      </c>
      <c r="J99" s="27">
        <v>45860</v>
      </c>
      <c r="L99" s="29">
        <v>1717.8910543478262</v>
      </c>
      <c r="M99" s="29">
        <v>15461.019489130436</v>
      </c>
      <c r="N99" s="15">
        <v>45839</v>
      </c>
    </row>
    <row r="100" spans="1:14" x14ac:dyDescent="0.25">
      <c r="A100">
        <v>441825</v>
      </c>
      <c r="B100" t="s">
        <v>956</v>
      </c>
      <c r="C100">
        <v>54997</v>
      </c>
      <c r="D100" t="s">
        <v>33</v>
      </c>
      <c r="E100" t="s">
        <v>22</v>
      </c>
      <c r="F100" s="27">
        <v>45849</v>
      </c>
      <c r="G100">
        <v>6</v>
      </c>
      <c r="H100">
        <v>6</v>
      </c>
      <c r="I100" t="s">
        <v>1033</v>
      </c>
      <c r="J100" s="27">
        <v>45860</v>
      </c>
      <c r="L100" s="29">
        <v>1717.8910543478262</v>
      </c>
      <c r="M100" s="29">
        <v>10307.346326086958</v>
      </c>
      <c r="N100" s="15">
        <v>45839</v>
      </c>
    </row>
    <row r="101" spans="1:14" x14ac:dyDescent="0.25">
      <c r="A101">
        <v>439600</v>
      </c>
      <c r="B101" t="s">
        <v>956</v>
      </c>
      <c r="C101">
        <v>54981</v>
      </c>
      <c r="D101" t="s">
        <v>41</v>
      </c>
      <c r="E101" t="s">
        <v>22</v>
      </c>
      <c r="F101" s="27">
        <v>45849</v>
      </c>
      <c r="G101">
        <v>8</v>
      </c>
      <c r="H101">
        <v>8</v>
      </c>
      <c r="I101" t="s">
        <v>1015</v>
      </c>
      <c r="J101" s="27">
        <v>45854</v>
      </c>
      <c r="L101" s="29">
        <v>1374.3128434782609</v>
      </c>
      <c r="M101" s="29">
        <v>10994.502747826087</v>
      </c>
      <c r="N101" s="15">
        <v>45839</v>
      </c>
    </row>
    <row r="102" spans="1:14" x14ac:dyDescent="0.25">
      <c r="A102">
        <v>438979</v>
      </c>
      <c r="B102" t="s">
        <v>29</v>
      </c>
      <c r="C102">
        <v>56013</v>
      </c>
      <c r="D102" t="s">
        <v>44</v>
      </c>
      <c r="E102" t="s">
        <v>22</v>
      </c>
      <c r="F102" s="27">
        <v>45849</v>
      </c>
      <c r="G102">
        <v>0.75</v>
      </c>
      <c r="H102">
        <v>0.75</v>
      </c>
      <c r="I102" t="s">
        <v>1014</v>
      </c>
      <c r="J102" s="27">
        <v>45852</v>
      </c>
      <c r="L102" s="29">
        <v>1924.0379809782607</v>
      </c>
      <c r="M102" s="29">
        <v>1443.0284857336956</v>
      </c>
      <c r="N102" s="15">
        <v>45839</v>
      </c>
    </row>
    <row r="103" spans="1:14" x14ac:dyDescent="0.25">
      <c r="A103">
        <v>442395</v>
      </c>
      <c r="B103" t="s">
        <v>956</v>
      </c>
      <c r="C103">
        <v>54996</v>
      </c>
      <c r="D103" t="s">
        <v>33</v>
      </c>
      <c r="E103" t="s">
        <v>22</v>
      </c>
      <c r="F103" s="27">
        <v>45848</v>
      </c>
      <c r="G103">
        <v>2</v>
      </c>
      <c r="H103">
        <v>2</v>
      </c>
      <c r="I103" t="s">
        <v>1038</v>
      </c>
      <c r="J103" s="27">
        <v>45862</v>
      </c>
      <c r="L103" s="29">
        <v>1717.8910543478262</v>
      </c>
      <c r="M103" s="29">
        <v>3435.7821086956524</v>
      </c>
      <c r="N103" s="15">
        <v>45839</v>
      </c>
    </row>
    <row r="104" spans="1:14" x14ac:dyDescent="0.25">
      <c r="A104">
        <v>442396</v>
      </c>
      <c r="B104" t="s">
        <v>956</v>
      </c>
      <c r="C104">
        <v>55003</v>
      </c>
      <c r="D104" t="s">
        <v>33</v>
      </c>
      <c r="E104" t="s">
        <v>22</v>
      </c>
      <c r="F104" s="27">
        <v>45848</v>
      </c>
      <c r="G104">
        <v>6</v>
      </c>
      <c r="H104">
        <v>6</v>
      </c>
      <c r="I104" t="s">
        <v>1037</v>
      </c>
      <c r="J104" s="27">
        <v>45862</v>
      </c>
      <c r="L104" s="29">
        <v>1717.8910543478262</v>
      </c>
      <c r="M104" s="29">
        <v>10307.346326086958</v>
      </c>
      <c r="N104" s="15">
        <v>45839</v>
      </c>
    </row>
    <row r="105" spans="1:14" x14ac:dyDescent="0.25">
      <c r="A105">
        <v>439598</v>
      </c>
      <c r="B105" t="s">
        <v>956</v>
      </c>
      <c r="C105">
        <v>54976</v>
      </c>
      <c r="D105" t="s">
        <v>41</v>
      </c>
      <c r="E105" t="s">
        <v>22</v>
      </c>
      <c r="F105" s="27">
        <v>45848</v>
      </c>
      <c r="G105">
        <v>8</v>
      </c>
      <c r="H105">
        <v>8</v>
      </c>
      <c r="I105" t="s">
        <v>1016</v>
      </c>
      <c r="J105" s="27">
        <v>45854</v>
      </c>
      <c r="L105" s="29">
        <v>1374.3128434782609</v>
      </c>
      <c r="M105" s="29">
        <v>10994.502747826087</v>
      </c>
      <c r="N105" s="15">
        <v>45839</v>
      </c>
    </row>
    <row r="106" spans="1:14" x14ac:dyDescent="0.25">
      <c r="A106">
        <v>438910</v>
      </c>
      <c r="B106" t="s">
        <v>18</v>
      </c>
      <c r="C106">
        <v>34</v>
      </c>
      <c r="D106" t="s">
        <v>26</v>
      </c>
      <c r="E106" t="s">
        <v>19</v>
      </c>
      <c r="F106" s="27">
        <v>45848</v>
      </c>
      <c r="G106">
        <v>4</v>
      </c>
      <c r="H106">
        <v>4</v>
      </c>
      <c r="I106" t="s">
        <v>344</v>
      </c>
      <c r="J106" s="27">
        <v>45852</v>
      </c>
      <c r="L106" s="29">
        <v>893.30334836956524</v>
      </c>
      <c r="M106" s="29">
        <v>3573.213393478261</v>
      </c>
      <c r="N106" s="15">
        <v>45839</v>
      </c>
    </row>
    <row r="107" spans="1:14" x14ac:dyDescent="0.25">
      <c r="A107">
        <v>438453</v>
      </c>
      <c r="B107" t="s">
        <v>29</v>
      </c>
      <c r="C107">
        <v>55996</v>
      </c>
      <c r="D107" t="s">
        <v>44</v>
      </c>
      <c r="E107" t="s">
        <v>22</v>
      </c>
      <c r="F107" s="27">
        <v>45848</v>
      </c>
      <c r="G107">
        <v>1</v>
      </c>
      <c r="H107">
        <v>1</v>
      </c>
      <c r="I107" t="s">
        <v>1017</v>
      </c>
      <c r="J107" s="27">
        <v>45850</v>
      </c>
      <c r="L107" s="29">
        <v>1924.0379809782607</v>
      </c>
      <c r="M107" s="29">
        <v>1924.0379809782607</v>
      </c>
      <c r="N107" s="15">
        <v>45839</v>
      </c>
    </row>
    <row r="108" spans="1:14" x14ac:dyDescent="0.25">
      <c r="A108">
        <v>438978</v>
      </c>
      <c r="B108" t="s">
        <v>29</v>
      </c>
      <c r="C108">
        <v>56013</v>
      </c>
      <c r="D108" t="s">
        <v>44</v>
      </c>
      <c r="E108" t="s">
        <v>22</v>
      </c>
      <c r="F108" s="27">
        <v>45848</v>
      </c>
      <c r="G108">
        <v>0.75</v>
      </c>
      <c r="H108">
        <v>0.75</v>
      </c>
      <c r="I108" t="s">
        <v>1014</v>
      </c>
      <c r="J108" s="27">
        <v>45852</v>
      </c>
      <c r="L108" s="29">
        <v>1924.0379809782607</v>
      </c>
      <c r="M108" s="29">
        <v>1443.0284857336956</v>
      </c>
      <c r="N108" s="15">
        <v>45839</v>
      </c>
    </row>
    <row r="109" spans="1:14" x14ac:dyDescent="0.25">
      <c r="A109">
        <v>446165</v>
      </c>
      <c r="B109" t="s">
        <v>31</v>
      </c>
      <c r="C109">
        <v>56715</v>
      </c>
      <c r="D109" t="s">
        <v>44</v>
      </c>
      <c r="E109" t="s">
        <v>19</v>
      </c>
      <c r="F109" s="27">
        <v>45848</v>
      </c>
      <c r="G109">
        <v>16</v>
      </c>
      <c r="H109">
        <v>16</v>
      </c>
      <c r="I109" t="s">
        <v>255</v>
      </c>
      <c r="J109" s="27">
        <v>45871</v>
      </c>
      <c r="L109" s="29">
        <v>1924.0379809782607</v>
      </c>
      <c r="M109" s="29">
        <v>30784.607695652172</v>
      </c>
      <c r="N109" s="15">
        <v>45839</v>
      </c>
    </row>
    <row r="110" spans="1:14" x14ac:dyDescent="0.25">
      <c r="A110">
        <v>442397</v>
      </c>
      <c r="B110" t="s">
        <v>956</v>
      </c>
      <c r="C110">
        <v>55002</v>
      </c>
      <c r="D110" t="s">
        <v>33</v>
      </c>
      <c r="E110" t="s">
        <v>22</v>
      </c>
      <c r="F110" s="27">
        <v>45847</v>
      </c>
      <c r="G110">
        <v>5</v>
      </c>
      <c r="H110">
        <v>5</v>
      </c>
      <c r="I110" t="s">
        <v>1038</v>
      </c>
      <c r="J110" s="27">
        <v>45862</v>
      </c>
      <c r="L110" s="29">
        <v>1717.8910543478262</v>
      </c>
      <c r="M110" s="29">
        <v>8589.4552717391307</v>
      </c>
      <c r="N110" s="15">
        <v>45839</v>
      </c>
    </row>
    <row r="111" spans="1:14" x14ac:dyDescent="0.25">
      <c r="A111">
        <v>442398</v>
      </c>
      <c r="B111" t="s">
        <v>956</v>
      </c>
      <c r="C111">
        <v>54989</v>
      </c>
      <c r="D111" t="s">
        <v>33</v>
      </c>
      <c r="E111" t="s">
        <v>22</v>
      </c>
      <c r="F111" s="27">
        <v>45847</v>
      </c>
      <c r="G111">
        <v>3</v>
      </c>
      <c r="H111">
        <v>3</v>
      </c>
      <c r="I111" t="s">
        <v>1039</v>
      </c>
      <c r="J111" s="27">
        <v>45862</v>
      </c>
      <c r="L111" s="29">
        <v>1717.8910543478262</v>
      </c>
      <c r="M111" s="29">
        <v>5153.6731630434788</v>
      </c>
      <c r="N111" s="15">
        <v>45839</v>
      </c>
    </row>
    <row r="112" spans="1:14" x14ac:dyDescent="0.25">
      <c r="A112">
        <v>439597</v>
      </c>
      <c r="B112" t="s">
        <v>956</v>
      </c>
      <c r="C112">
        <v>54976</v>
      </c>
      <c r="D112" t="s">
        <v>41</v>
      </c>
      <c r="E112" t="s">
        <v>22</v>
      </c>
      <c r="F112" s="27">
        <v>45847</v>
      </c>
      <c r="G112">
        <v>8</v>
      </c>
      <c r="H112">
        <v>8</v>
      </c>
      <c r="I112" t="s">
        <v>1016</v>
      </c>
      <c r="J112" s="27">
        <v>45854</v>
      </c>
      <c r="L112" s="29">
        <v>1374.3128434782609</v>
      </c>
      <c r="M112" s="29">
        <v>10994.502747826087</v>
      </c>
      <c r="N112" s="15">
        <v>45839</v>
      </c>
    </row>
    <row r="113" spans="1:14" x14ac:dyDescent="0.25">
      <c r="A113">
        <v>438907</v>
      </c>
      <c r="B113" t="s">
        <v>18</v>
      </c>
      <c r="C113">
        <v>34</v>
      </c>
      <c r="D113" t="s">
        <v>26</v>
      </c>
      <c r="E113" t="s">
        <v>19</v>
      </c>
      <c r="F113" s="27">
        <v>45847</v>
      </c>
      <c r="G113">
        <v>1</v>
      </c>
      <c r="H113">
        <v>1</v>
      </c>
      <c r="I113" t="s">
        <v>292</v>
      </c>
      <c r="J113" s="27">
        <v>45852</v>
      </c>
      <c r="L113" s="29">
        <v>893.30334836956524</v>
      </c>
      <c r="M113" s="29">
        <v>893.30334836956524</v>
      </c>
      <c r="N113" s="15">
        <v>45839</v>
      </c>
    </row>
    <row r="114" spans="1:14" x14ac:dyDescent="0.25">
      <c r="A114">
        <v>438909</v>
      </c>
      <c r="B114" t="s">
        <v>18</v>
      </c>
      <c r="C114">
        <v>34</v>
      </c>
      <c r="D114" t="s">
        <v>26</v>
      </c>
      <c r="E114" t="s">
        <v>19</v>
      </c>
      <c r="F114" s="27">
        <v>45847</v>
      </c>
      <c r="G114">
        <v>4</v>
      </c>
      <c r="H114">
        <v>4</v>
      </c>
      <c r="I114" t="s">
        <v>344</v>
      </c>
      <c r="J114" s="27">
        <v>45852</v>
      </c>
      <c r="L114" s="29">
        <v>893.30334836956524</v>
      </c>
      <c r="M114" s="29">
        <v>3573.213393478261</v>
      </c>
      <c r="N114" s="15">
        <v>45839</v>
      </c>
    </row>
    <row r="115" spans="1:14" x14ac:dyDescent="0.25">
      <c r="A115">
        <v>437138</v>
      </c>
      <c r="B115" t="s">
        <v>29</v>
      </c>
      <c r="C115">
        <v>55873</v>
      </c>
      <c r="D115" t="s">
        <v>44</v>
      </c>
      <c r="E115" t="s">
        <v>22</v>
      </c>
      <c r="F115" s="27">
        <v>45847</v>
      </c>
      <c r="G115">
        <v>4</v>
      </c>
      <c r="H115">
        <v>4</v>
      </c>
      <c r="I115" t="s">
        <v>1018</v>
      </c>
      <c r="J115" s="27">
        <v>45847</v>
      </c>
      <c r="L115" s="29">
        <v>1924.0379809782607</v>
      </c>
      <c r="M115" s="29">
        <v>7696.151923913043</v>
      </c>
      <c r="N115" s="15">
        <v>45839</v>
      </c>
    </row>
    <row r="116" spans="1:14" x14ac:dyDescent="0.25">
      <c r="A116">
        <v>438975</v>
      </c>
      <c r="B116" t="s">
        <v>29</v>
      </c>
      <c r="C116">
        <v>56013</v>
      </c>
      <c r="D116" t="s">
        <v>44</v>
      </c>
      <c r="E116" t="s">
        <v>22</v>
      </c>
      <c r="F116" s="27">
        <v>45847</v>
      </c>
      <c r="G116">
        <v>0.75</v>
      </c>
      <c r="H116">
        <v>0.75</v>
      </c>
      <c r="I116" t="s">
        <v>1014</v>
      </c>
      <c r="J116" s="27">
        <v>45852</v>
      </c>
      <c r="L116" s="29">
        <v>1924.0379809782607</v>
      </c>
      <c r="M116" s="29">
        <v>1443.0284857336956</v>
      </c>
      <c r="N116" s="15">
        <v>45839</v>
      </c>
    </row>
    <row r="117" spans="1:14" x14ac:dyDescent="0.25">
      <c r="A117">
        <v>442399</v>
      </c>
      <c r="B117" t="s">
        <v>956</v>
      </c>
      <c r="C117">
        <v>54989</v>
      </c>
      <c r="D117" t="s">
        <v>33</v>
      </c>
      <c r="E117" t="s">
        <v>22</v>
      </c>
      <c r="F117" s="27">
        <v>45846</v>
      </c>
      <c r="G117">
        <v>1</v>
      </c>
      <c r="H117">
        <v>1</v>
      </c>
      <c r="I117" t="s">
        <v>1044</v>
      </c>
      <c r="J117" s="27">
        <v>45862</v>
      </c>
      <c r="L117" s="29">
        <v>1717.8910543478262</v>
      </c>
      <c r="M117" s="29">
        <v>1717.8910543478262</v>
      </c>
      <c r="N117" s="15">
        <v>45839</v>
      </c>
    </row>
    <row r="118" spans="1:14" x14ac:dyDescent="0.25">
      <c r="A118">
        <v>442400</v>
      </c>
      <c r="B118" t="s">
        <v>956</v>
      </c>
      <c r="C118">
        <v>54994</v>
      </c>
      <c r="D118" t="s">
        <v>33</v>
      </c>
      <c r="E118" t="s">
        <v>22</v>
      </c>
      <c r="F118" s="27">
        <v>45846</v>
      </c>
      <c r="G118">
        <v>1</v>
      </c>
      <c r="H118">
        <v>1</v>
      </c>
      <c r="I118" t="s">
        <v>1043</v>
      </c>
      <c r="J118" s="27">
        <v>45862</v>
      </c>
      <c r="L118" s="29">
        <v>1717.8910543478262</v>
      </c>
      <c r="M118" s="29">
        <v>1717.8910543478262</v>
      </c>
      <c r="N118" s="15">
        <v>45839</v>
      </c>
    </row>
    <row r="119" spans="1:14" x14ac:dyDescent="0.25">
      <c r="A119">
        <v>442401</v>
      </c>
      <c r="B119" t="s">
        <v>956</v>
      </c>
      <c r="C119">
        <v>54996</v>
      </c>
      <c r="D119" t="s">
        <v>33</v>
      </c>
      <c r="E119" t="s">
        <v>22</v>
      </c>
      <c r="F119" s="27">
        <v>45846</v>
      </c>
      <c r="G119">
        <v>1</v>
      </c>
      <c r="H119">
        <v>1</v>
      </c>
      <c r="I119" t="s">
        <v>1042</v>
      </c>
      <c r="J119" s="27">
        <v>45862</v>
      </c>
      <c r="L119" s="29">
        <v>1717.8910543478262</v>
      </c>
      <c r="M119" s="29">
        <v>1717.8910543478262</v>
      </c>
      <c r="N119" s="15">
        <v>45839</v>
      </c>
    </row>
    <row r="120" spans="1:14" x14ac:dyDescent="0.25">
      <c r="A120">
        <v>442402</v>
      </c>
      <c r="B120" t="s">
        <v>956</v>
      </c>
      <c r="C120">
        <v>55003</v>
      </c>
      <c r="D120" t="s">
        <v>33</v>
      </c>
      <c r="E120" t="s">
        <v>22</v>
      </c>
      <c r="F120" s="27">
        <v>45846</v>
      </c>
      <c r="G120">
        <v>4</v>
      </c>
      <c r="H120">
        <v>4</v>
      </c>
      <c r="I120" t="s">
        <v>1041</v>
      </c>
      <c r="J120" s="27">
        <v>45862</v>
      </c>
      <c r="L120" s="29">
        <v>1717.8910543478262</v>
      </c>
      <c r="M120" s="29">
        <v>6871.5642173913047</v>
      </c>
      <c r="N120" s="15">
        <v>45839</v>
      </c>
    </row>
    <row r="121" spans="1:14" x14ac:dyDescent="0.25">
      <c r="A121">
        <v>442403</v>
      </c>
      <c r="B121" t="s">
        <v>28</v>
      </c>
      <c r="C121">
        <v>51251</v>
      </c>
      <c r="D121" t="s">
        <v>33</v>
      </c>
      <c r="E121" t="s">
        <v>22</v>
      </c>
      <c r="F121" s="27">
        <v>45846</v>
      </c>
      <c r="G121">
        <v>1</v>
      </c>
      <c r="H121">
        <v>1</v>
      </c>
      <c r="I121" t="s">
        <v>1040</v>
      </c>
      <c r="J121" s="27">
        <v>45862</v>
      </c>
      <c r="L121" s="29">
        <v>1717.8910543478262</v>
      </c>
      <c r="M121" s="29">
        <v>1717.8910543478262</v>
      </c>
      <c r="N121" s="15">
        <v>45839</v>
      </c>
    </row>
    <row r="122" spans="1:14" x14ac:dyDescent="0.25">
      <c r="A122">
        <v>439595</v>
      </c>
      <c r="B122" t="s">
        <v>956</v>
      </c>
      <c r="C122">
        <v>54979</v>
      </c>
      <c r="D122" t="s">
        <v>41</v>
      </c>
      <c r="E122" t="s">
        <v>22</v>
      </c>
      <c r="F122" s="27">
        <v>45846</v>
      </c>
      <c r="G122">
        <v>8</v>
      </c>
      <c r="H122">
        <v>8</v>
      </c>
      <c r="I122" t="s">
        <v>1019</v>
      </c>
      <c r="J122" s="27">
        <v>45854</v>
      </c>
      <c r="L122" s="29">
        <v>1374.3128434782609</v>
      </c>
      <c r="M122" s="29">
        <v>10994.502747826087</v>
      </c>
      <c r="N122" s="15">
        <v>45839</v>
      </c>
    </row>
    <row r="123" spans="1:14" x14ac:dyDescent="0.25">
      <c r="A123">
        <v>437137</v>
      </c>
      <c r="B123" t="s">
        <v>29</v>
      </c>
      <c r="C123">
        <v>55873</v>
      </c>
      <c r="D123" t="s">
        <v>44</v>
      </c>
      <c r="E123" t="s">
        <v>22</v>
      </c>
      <c r="F123" s="27">
        <v>45846</v>
      </c>
      <c r="G123">
        <v>7</v>
      </c>
      <c r="H123">
        <v>7</v>
      </c>
      <c r="I123" t="s">
        <v>1020</v>
      </c>
      <c r="J123" s="27">
        <v>45847</v>
      </c>
      <c r="L123" s="29">
        <v>1924.0379809782607</v>
      </c>
      <c r="M123" s="29">
        <v>13468.265866847825</v>
      </c>
      <c r="N123" s="15">
        <v>45839</v>
      </c>
    </row>
    <row r="124" spans="1:14" x14ac:dyDescent="0.25">
      <c r="A124">
        <v>438974</v>
      </c>
      <c r="B124" t="s">
        <v>29</v>
      </c>
      <c r="C124">
        <v>56013</v>
      </c>
      <c r="D124" t="s">
        <v>44</v>
      </c>
      <c r="E124" t="s">
        <v>22</v>
      </c>
      <c r="F124" s="27">
        <v>45846</v>
      </c>
      <c r="G124">
        <v>0.75</v>
      </c>
      <c r="H124">
        <v>0.75</v>
      </c>
      <c r="I124" t="s">
        <v>1014</v>
      </c>
      <c r="J124" s="27">
        <v>45852</v>
      </c>
      <c r="L124" s="29">
        <v>1924.0379809782607</v>
      </c>
      <c r="M124" s="29">
        <v>1443.0284857336956</v>
      </c>
      <c r="N124" s="15">
        <v>45839</v>
      </c>
    </row>
    <row r="125" spans="1:14" x14ac:dyDescent="0.25">
      <c r="A125">
        <v>442404</v>
      </c>
      <c r="B125" t="s">
        <v>956</v>
      </c>
      <c r="C125">
        <v>55003</v>
      </c>
      <c r="D125" t="s">
        <v>33</v>
      </c>
      <c r="E125" t="s">
        <v>22</v>
      </c>
      <c r="F125" s="27">
        <v>45845</v>
      </c>
      <c r="G125">
        <v>4</v>
      </c>
      <c r="H125">
        <v>4</v>
      </c>
      <c r="I125" t="s">
        <v>1046</v>
      </c>
      <c r="J125" s="27">
        <v>45862</v>
      </c>
      <c r="L125" s="29">
        <v>1717.8910543478262</v>
      </c>
      <c r="M125" s="29">
        <v>6871.5642173913047</v>
      </c>
      <c r="N125" s="15">
        <v>45839</v>
      </c>
    </row>
    <row r="126" spans="1:14" x14ac:dyDescent="0.25">
      <c r="A126">
        <v>442406</v>
      </c>
      <c r="B126" t="s">
        <v>956</v>
      </c>
      <c r="C126">
        <v>55002</v>
      </c>
      <c r="D126" t="s">
        <v>33</v>
      </c>
      <c r="E126" t="s">
        <v>22</v>
      </c>
      <c r="F126" s="27">
        <v>45845</v>
      </c>
      <c r="G126">
        <v>4</v>
      </c>
      <c r="H126">
        <v>4</v>
      </c>
      <c r="I126" t="s">
        <v>1045</v>
      </c>
      <c r="J126" s="27">
        <v>45862</v>
      </c>
      <c r="L126" s="29">
        <v>1717.8910543478262</v>
      </c>
      <c r="M126" s="29">
        <v>6871.5642173913047</v>
      </c>
      <c r="N126" s="15">
        <v>45839</v>
      </c>
    </row>
    <row r="127" spans="1:14" x14ac:dyDescent="0.25">
      <c r="A127">
        <v>439593</v>
      </c>
      <c r="B127" t="s">
        <v>956</v>
      </c>
      <c r="C127">
        <v>55004</v>
      </c>
      <c r="D127" t="s">
        <v>41</v>
      </c>
      <c r="E127" t="s">
        <v>22</v>
      </c>
      <c r="F127" s="27">
        <v>45845</v>
      </c>
      <c r="G127">
        <v>8</v>
      </c>
      <c r="H127">
        <v>8</v>
      </c>
      <c r="I127" t="s">
        <v>1019</v>
      </c>
      <c r="J127" s="27">
        <v>45854</v>
      </c>
      <c r="L127" s="29">
        <v>1374.3128434782609</v>
      </c>
      <c r="M127" s="29">
        <v>10994.502747826087</v>
      </c>
      <c r="N127" s="15">
        <v>45839</v>
      </c>
    </row>
    <row r="128" spans="1:14" x14ac:dyDescent="0.25">
      <c r="A128">
        <v>437136</v>
      </c>
      <c r="B128" t="s">
        <v>29</v>
      </c>
      <c r="C128">
        <v>55873</v>
      </c>
      <c r="D128" t="s">
        <v>44</v>
      </c>
      <c r="E128" t="s">
        <v>22</v>
      </c>
      <c r="F128" s="27">
        <v>45845</v>
      </c>
      <c r="G128">
        <v>6.5</v>
      </c>
      <c r="H128">
        <v>6.5</v>
      </c>
      <c r="I128" t="s">
        <v>1021</v>
      </c>
      <c r="J128" s="27">
        <v>45847</v>
      </c>
      <c r="L128" s="29">
        <v>1924.0379809782607</v>
      </c>
      <c r="M128" s="29">
        <v>12506.246876358695</v>
      </c>
      <c r="N128" s="15">
        <v>45839</v>
      </c>
    </row>
    <row r="129" spans="1:14" x14ac:dyDescent="0.25">
      <c r="A129">
        <v>438972</v>
      </c>
      <c r="B129" t="s">
        <v>29</v>
      </c>
      <c r="C129">
        <v>56013</v>
      </c>
      <c r="D129" t="s">
        <v>44</v>
      </c>
      <c r="E129" t="s">
        <v>22</v>
      </c>
      <c r="F129" s="27">
        <v>45845</v>
      </c>
      <c r="G129">
        <v>0.75</v>
      </c>
      <c r="H129">
        <v>0.75</v>
      </c>
      <c r="I129" t="s">
        <v>1014</v>
      </c>
      <c r="J129" s="27">
        <v>45852</v>
      </c>
      <c r="L129" s="29">
        <v>1924.0379809782607</v>
      </c>
      <c r="M129" s="29">
        <v>1443.0284857336956</v>
      </c>
      <c r="N129" s="15">
        <v>45839</v>
      </c>
    </row>
    <row r="130" spans="1:14" x14ac:dyDescent="0.25">
      <c r="A130">
        <v>435972</v>
      </c>
      <c r="B130" t="s">
        <v>18</v>
      </c>
      <c r="C130">
        <v>33</v>
      </c>
      <c r="D130" t="s">
        <v>26</v>
      </c>
      <c r="E130" t="s">
        <v>19</v>
      </c>
      <c r="F130" s="27">
        <v>45842</v>
      </c>
      <c r="G130">
        <v>1</v>
      </c>
      <c r="H130">
        <v>1</v>
      </c>
      <c r="I130" s="31">
        <v>45658</v>
      </c>
      <c r="J130" s="27">
        <v>45842</v>
      </c>
      <c r="L130" s="29">
        <v>893.30334836956524</v>
      </c>
      <c r="M130" s="29">
        <v>893.30334836956524</v>
      </c>
      <c r="N130" s="15">
        <v>45839</v>
      </c>
    </row>
    <row r="131" spans="1:14" x14ac:dyDescent="0.25">
      <c r="A131">
        <v>435974</v>
      </c>
      <c r="B131" t="s">
        <v>18</v>
      </c>
      <c r="C131">
        <v>33</v>
      </c>
      <c r="D131" t="s">
        <v>26</v>
      </c>
      <c r="E131" t="s">
        <v>19</v>
      </c>
      <c r="F131" s="27">
        <v>45842</v>
      </c>
      <c r="G131">
        <v>1</v>
      </c>
      <c r="H131">
        <v>1</v>
      </c>
      <c r="I131" t="s">
        <v>292</v>
      </c>
      <c r="J131" s="27">
        <v>45842</v>
      </c>
      <c r="L131" s="29">
        <v>893.30334836956524</v>
      </c>
      <c r="M131" s="29">
        <v>893.30334836956524</v>
      </c>
      <c r="N131" s="15">
        <v>45839</v>
      </c>
    </row>
    <row r="132" spans="1:14" x14ac:dyDescent="0.25">
      <c r="A132">
        <v>439587</v>
      </c>
      <c r="B132" t="s">
        <v>956</v>
      </c>
      <c r="C132">
        <v>54974</v>
      </c>
      <c r="D132" t="s">
        <v>41</v>
      </c>
      <c r="E132" t="s">
        <v>22</v>
      </c>
      <c r="F132" s="27">
        <v>45842</v>
      </c>
      <c r="G132">
        <v>8</v>
      </c>
      <c r="H132">
        <v>8</v>
      </c>
      <c r="I132" t="s">
        <v>1022</v>
      </c>
      <c r="J132" s="27">
        <v>45854</v>
      </c>
      <c r="L132" s="29">
        <v>1374.3128434782609</v>
      </c>
      <c r="M132" s="29">
        <v>10994.502747826087</v>
      </c>
      <c r="N132" s="15">
        <v>45839</v>
      </c>
    </row>
    <row r="133" spans="1:14" x14ac:dyDescent="0.25">
      <c r="A133">
        <v>442407</v>
      </c>
      <c r="B133" t="s">
        <v>956</v>
      </c>
      <c r="C133">
        <v>55000</v>
      </c>
      <c r="D133" t="s">
        <v>33</v>
      </c>
      <c r="E133" t="s">
        <v>22</v>
      </c>
      <c r="F133" s="27">
        <v>45842</v>
      </c>
      <c r="G133">
        <v>4</v>
      </c>
      <c r="H133">
        <v>4</v>
      </c>
      <c r="I133" t="s">
        <v>1048</v>
      </c>
      <c r="J133" s="27">
        <v>45862</v>
      </c>
      <c r="L133" s="29">
        <v>1717.8910543478262</v>
      </c>
      <c r="M133" s="29">
        <v>6871.5642173913047</v>
      </c>
      <c r="N133" s="15">
        <v>45839</v>
      </c>
    </row>
    <row r="134" spans="1:14" x14ac:dyDescent="0.25">
      <c r="A134">
        <v>442408</v>
      </c>
      <c r="B134" t="s">
        <v>956</v>
      </c>
      <c r="C134">
        <v>55001</v>
      </c>
      <c r="D134" t="s">
        <v>33</v>
      </c>
      <c r="E134" t="s">
        <v>22</v>
      </c>
      <c r="F134" s="27">
        <v>45842</v>
      </c>
      <c r="G134">
        <v>4</v>
      </c>
      <c r="H134">
        <v>4</v>
      </c>
      <c r="I134" t="s">
        <v>1047</v>
      </c>
      <c r="J134" s="27">
        <v>45862</v>
      </c>
      <c r="L134" s="29">
        <v>1717.8910543478262</v>
      </c>
      <c r="M134" s="29">
        <v>6871.5642173913047</v>
      </c>
      <c r="N134" s="15">
        <v>45839</v>
      </c>
    </row>
    <row r="135" spans="1:14" x14ac:dyDescent="0.25">
      <c r="A135">
        <v>437135</v>
      </c>
      <c r="B135" t="s">
        <v>29</v>
      </c>
      <c r="C135">
        <v>55873</v>
      </c>
      <c r="D135" t="s">
        <v>44</v>
      </c>
      <c r="E135" t="s">
        <v>22</v>
      </c>
      <c r="F135" s="27">
        <v>45842</v>
      </c>
      <c r="G135">
        <v>6</v>
      </c>
      <c r="H135">
        <v>6</v>
      </c>
      <c r="I135" t="s">
        <v>1023</v>
      </c>
      <c r="J135" s="27">
        <v>45847</v>
      </c>
      <c r="L135" s="29">
        <v>1924.0379809782607</v>
      </c>
      <c r="M135" s="29">
        <v>11544.227885869564</v>
      </c>
      <c r="N135" s="15">
        <v>45839</v>
      </c>
    </row>
    <row r="136" spans="1:14" x14ac:dyDescent="0.25">
      <c r="A136">
        <v>438971</v>
      </c>
      <c r="B136" t="s">
        <v>29</v>
      </c>
      <c r="C136">
        <v>56013</v>
      </c>
      <c r="D136" t="s">
        <v>44</v>
      </c>
      <c r="E136" t="s">
        <v>22</v>
      </c>
      <c r="F136" s="27">
        <v>45842</v>
      </c>
      <c r="G136">
        <v>0.75</v>
      </c>
      <c r="H136">
        <v>0.75</v>
      </c>
      <c r="I136" t="s">
        <v>1014</v>
      </c>
      <c r="J136" s="27">
        <v>45852</v>
      </c>
      <c r="L136" s="29">
        <v>1924.0379809782607</v>
      </c>
      <c r="M136" s="29">
        <v>1443.0284857336956</v>
      </c>
      <c r="N136" s="15">
        <v>45839</v>
      </c>
    </row>
    <row r="137" spans="1:14" x14ac:dyDescent="0.25">
      <c r="A137">
        <v>439585</v>
      </c>
      <c r="B137" t="s">
        <v>956</v>
      </c>
      <c r="C137">
        <v>54974</v>
      </c>
      <c r="D137" t="s">
        <v>41</v>
      </c>
      <c r="E137" t="s">
        <v>22</v>
      </c>
      <c r="F137" s="27">
        <v>45841</v>
      </c>
      <c r="G137">
        <v>8</v>
      </c>
      <c r="H137">
        <v>8</v>
      </c>
      <c r="I137" t="s">
        <v>1022</v>
      </c>
      <c r="J137" s="27">
        <v>45854</v>
      </c>
      <c r="L137" s="29">
        <v>1374.3128434782609</v>
      </c>
      <c r="M137" s="29">
        <v>10994.502747826087</v>
      </c>
      <c r="N137" s="15">
        <v>45839</v>
      </c>
    </row>
    <row r="138" spans="1:14" x14ac:dyDescent="0.25">
      <c r="A138">
        <v>442409</v>
      </c>
      <c r="B138" t="s">
        <v>23</v>
      </c>
      <c r="C138">
        <v>54460</v>
      </c>
      <c r="D138" t="s">
        <v>33</v>
      </c>
      <c r="E138" t="s">
        <v>22</v>
      </c>
      <c r="F138" s="27">
        <v>45841</v>
      </c>
      <c r="G138">
        <v>1</v>
      </c>
      <c r="H138">
        <v>1</v>
      </c>
      <c r="I138" t="s">
        <v>1051</v>
      </c>
      <c r="J138" s="27">
        <v>45862</v>
      </c>
      <c r="L138" s="29">
        <v>1717.8910543478262</v>
      </c>
      <c r="M138" s="29">
        <v>1717.8910543478262</v>
      </c>
      <c r="N138" s="15">
        <v>45839</v>
      </c>
    </row>
    <row r="139" spans="1:14" x14ac:dyDescent="0.25">
      <c r="A139">
        <v>442410</v>
      </c>
      <c r="B139" t="s">
        <v>23</v>
      </c>
      <c r="C139">
        <v>54721</v>
      </c>
      <c r="D139" t="s">
        <v>33</v>
      </c>
      <c r="E139" t="s">
        <v>22</v>
      </c>
      <c r="F139" s="27">
        <v>45841</v>
      </c>
      <c r="G139">
        <v>3</v>
      </c>
      <c r="H139">
        <v>3</v>
      </c>
      <c r="I139" t="s">
        <v>1050</v>
      </c>
      <c r="J139" s="27">
        <v>45862</v>
      </c>
      <c r="L139" s="29">
        <v>1717.8910543478262</v>
      </c>
      <c r="M139" s="29">
        <v>5153.6731630434788</v>
      </c>
      <c r="N139" s="15">
        <v>45839</v>
      </c>
    </row>
    <row r="140" spans="1:14" x14ac:dyDescent="0.25">
      <c r="A140">
        <v>442411</v>
      </c>
      <c r="B140" t="s">
        <v>31</v>
      </c>
      <c r="C140">
        <v>13970</v>
      </c>
      <c r="D140" t="s">
        <v>33</v>
      </c>
      <c r="E140" t="s">
        <v>19</v>
      </c>
      <c r="F140" s="27">
        <v>45841</v>
      </c>
      <c r="G140">
        <v>4</v>
      </c>
      <c r="H140">
        <v>4</v>
      </c>
      <c r="I140" t="s">
        <v>1049</v>
      </c>
      <c r="J140" s="27">
        <v>45862</v>
      </c>
      <c r="L140" s="29">
        <v>1717.8910543478262</v>
      </c>
      <c r="M140" s="29">
        <v>6871.5642173913047</v>
      </c>
      <c r="N140" s="15">
        <v>45839</v>
      </c>
    </row>
    <row r="141" spans="1:14" x14ac:dyDescent="0.25">
      <c r="A141">
        <v>438970</v>
      </c>
      <c r="B141" t="s">
        <v>29</v>
      </c>
      <c r="C141">
        <v>56013</v>
      </c>
      <c r="D141" t="s">
        <v>44</v>
      </c>
      <c r="E141" t="s">
        <v>22</v>
      </c>
      <c r="F141" s="27">
        <v>45841</v>
      </c>
      <c r="G141">
        <v>0.75</v>
      </c>
      <c r="H141">
        <v>0.75</v>
      </c>
      <c r="I141" t="s">
        <v>1014</v>
      </c>
      <c r="J141" s="27">
        <v>45852</v>
      </c>
      <c r="L141" s="29">
        <v>1924.0379809782607</v>
      </c>
      <c r="M141" s="29">
        <v>1443.0284857336956</v>
      </c>
      <c r="N141" s="15">
        <v>45839</v>
      </c>
    </row>
    <row r="142" spans="1:14" x14ac:dyDescent="0.25">
      <c r="A142">
        <v>435975</v>
      </c>
      <c r="B142" t="s">
        <v>18</v>
      </c>
      <c r="C142">
        <v>33</v>
      </c>
      <c r="D142" t="s">
        <v>26</v>
      </c>
      <c r="E142" t="s">
        <v>19</v>
      </c>
      <c r="F142" s="27">
        <v>45840</v>
      </c>
      <c r="G142">
        <v>1</v>
      </c>
      <c r="H142">
        <v>1</v>
      </c>
      <c r="I142" t="s">
        <v>292</v>
      </c>
      <c r="J142" s="27">
        <v>45842</v>
      </c>
      <c r="L142" s="29">
        <v>893.30334836956524</v>
      </c>
      <c r="M142" s="29">
        <v>893.30334836956524</v>
      </c>
      <c r="N142" s="15">
        <v>45839</v>
      </c>
    </row>
    <row r="143" spans="1:14" x14ac:dyDescent="0.25">
      <c r="A143">
        <v>439582</v>
      </c>
      <c r="B143" t="s">
        <v>956</v>
      </c>
      <c r="C143">
        <v>54987</v>
      </c>
      <c r="D143" t="s">
        <v>41</v>
      </c>
      <c r="E143" t="s">
        <v>22</v>
      </c>
      <c r="F143" s="27">
        <v>45840</v>
      </c>
      <c r="G143">
        <v>8</v>
      </c>
      <c r="H143">
        <v>8</v>
      </c>
      <c r="I143" t="s">
        <v>1012</v>
      </c>
      <c r="J143" s="27">
        <v>45854</v>
      </c>
      <c r="L143" s="29">
        <v>1374.3128434782609</v>
      </c>
      <c r="M143" s="29">
        <v>10994.502747826087</v>
      </c>
      <c r="N143" s="15">
        <v>45839</v>
      </c>
    </row>
    <row r="144" spans="1:14" x14ac:dyDescent="0.25">
      <c r="A144">
        <v>442412</v>
      </c>
      <c r="B144" t="s">
        <v>31</v>
      </c>
      <c r="C144">
        <v>13970</v>
      </c>
      <c r="D144" t="s">
        <v>33</v>
      </c>
      <c r="E144" t="s">
        <v>19</v>
      </c>
      <c r="F144" s="27">
        <v>45840</v>
      </c>
      <c r="G144">
        <v>2</v>
      </c>
      <c r="H144">
        <v>2</v>
      </c>
      <c r="I144" t="s">
        <v>1049</v>
      </c>
      <c r="J144" s="27">
        <v>45862</v>
      </c>
      <c r="L144" s="29">
        <v>1717.8910543478262</v>
      </c>
      <c r="M144" s="29">
        <v>3435.7821086956524</v>
      </c>
      <c r="N144" s="15">
        <v>45839</v>
      </c>
    </row>
    <row r="145" spans="1:14" x14ac:dyDescent="0.25">
      <c r="A145">
        <v>442419</v>
      </c>
      <c r="B145" t="s">
        <v>956</v>
      </c>
      <c r="C145">
        <v>54992</v>
      </c>
      <c r="D145" t="s">
        <v>33</v>
      </c>
      <c r="E145" t="s">
        <v>22</v>
      </c>
      <c r="F145" s="27">
        <v>45840</v>
      </c>
      <c r="G145">
        <v>3</v>
      </c>
      <c r="H145">
        <v>3</v>
      </c>
      <c r="I145" t="s">
        <v>1053</v>
      </c>
      <c r="J145" s="27">
        <v>45862</v>
      </c>
      <c r="L145" s="29">
        <v>1717.8910543478262</v>
      </c>
      <c r="M145" s="29">
        <v>5153.6731630434788</v>
      </c>
      <c r="N145" s="15">
        <v>45839</v>
      </c>
    </row>
    <row r="146" spans="1:14" x14ac:dyDescent="0.25">
      <c r="A146">
        <v>442421</v>
      </c>
      <c r="B146" t="s">
        <v>956</v>
      </c>
      <c r="C146">
        <v>55000</v>
      </c>
      <c r="D146" t="s">
        <v>33</v>
      </c>
      <c r="E146" t="s">
        <v>22</v>
      </c>
      <c r="F146" s="27">
        <v>45840</v>
      </c>
      <c r="G146">
        <v>3</v>
      </c>
      <c r="H146">
        <v>3</v>
      </c>
      <c r="I146" t="s">
        <v>1052</v>
      </c>
      <c r="J146" s="27">
        <v>45862</v>
      </c>
      <c r="L146" s="29">
        <v>1717.8910543478262</v>
      </c>
      <c r="M146" s="29">
        <v>5153.6731630434788</v>
      </c>
      <c r="N146" s="15">
        <v>45839</v>
      </c>
    </row>
    <row r="147" spans="1:14" x14ac:dyDescent="0.25">
      <c r="A147">
        <v>435581</v>
      </c>
      <c r="B147" t="s">
        <v>29</v>
      </c>
      <c r="C147">
        <v>55618</v>
      </c>
      <c r="D147" t="s">
        <v>44</v>
      </c>
      <c r="E147" t="s">
        <v>22</v>
      </c>
      <c r="F147" s="27">
        <v>45840</v>
      </c>
      <c r="G147">
        <v>2</v>
      </c>
      <c r="H147">
        <v>2</v>
      </c>
      <c r="I147" t="s">
        <v>1025</v>
      </c>
      <c r="J147" s="27">
        <v>45842</v>
      </c>
      <c r="L147" s="29">
        <v>1924.0379809782607</v>
      </c>
      <c r="M147" s="29">
        <v>3848.0759619565215</v>
      </c>
      <c r="N147" s="15">
        <v>45839</v>
      </c>
    </row>
    <row r="148" spans="1:14" x14ac:dyDescent="0.25">
      <c r="A148">
        <v>438969</v>
      </c>
      <c r="B148" t="s">
        <v>29</v>
      </c>
      <c r="C148">
        <v>56013</v>
      </c>
      <c r="D148" t="s">
        <v>44</v>
      </c>
      <c r="E148" t="s">
        <v>22</v>
      </c>
      <c r="F148" s="27">
        <v>45840</v>
      </c>
      <c r="G148">
        <v>0.75</v>
      </c>
      <c r="H148">
        <v>0.75</v>
      </c>
      <c r="I148" t="s">
        <v>1014</v>
      </c>
      <c r="J148" s="27">
        <v>45852</v>
      </c>
      <c r="L148" s="29">
        <v>1924.0379809782607</v>
      </c>
      <c r="M148" s="29">
        <v>1443.0284857336956</v>
      </c>
      <c r="N148" s="15">
        <v>45839</v>
      </c>
    </row>
    <row r="149" spans="1:14" x14ac:dyDescent="0.25">
      <c r="A149">
        <v>435993</v>
      </c>
      <c r="B149" t="s">
        <v>956</v>
      </c>
      <c r="C149">
        <v>54975</v>
      </c>
      <c r="D149" t="s">
        <v>26</v>
      </c>
      <c r="E149" t="s">
        <v>22</v>
      </c>
      <c r="F149" s="27">
        <v>45839</v>
      </c>
      <c r="G149">
        <v>8</v>
      </c>
      <c r="H149">
        <v>8</v>
      </c>
      <c r="I149" t="s">
        <v>1024</v>
      </c>
      <c r="J149" s="27">
        <v>45842</v>
      </c>
      <c r="L149" s="29">
        <v>893.30334836956524</v>
      </c>
      <c r="M149" s="29">
        <v>7146.4267869565219</v>
      </c>
      <c r="N149" s="15">
        <v>45839</v>
      </c>
    </row>
    <row r="150" spans="1:14" x14ac:dyDescent="0.25">
      <c r="A150">
        <v>439581</v>
      </c>
      <c r="B150" t="s">
        <v>956</v>
      </c>
      <c r="C150">
        <v>54987</v>
      </c>
      <c r="D150" t="s">
        <v>41</v>
      </c>
      <c r="E150" t="s">
        <v>22</v>
      </c>
      <c r="F150" s="27">
        <v>45839</v>
      </c>
      <c r="G150">
        <v>8</v>
      </c>
      <c r="H150">
        <v>8</v>
      </c>
      <c r="I150" t="s">
        <v>1012</v>
      </c>
      <c r="J150" s="27">
        <v>45854</v>
      </c>
      <c r="L150" s="29">
        <v>1374.3128434782609</v>
      </c>
      <c r="M150" s="29">
        <v>10994.502747826087</v>
      </c>
      <c r="N150" s="15">
        <v>45839</v>
      </c>
    </row>
    <row r="151" spans="1:14" x14ac:dyDescent="0.25">
      <c r="A151">
        <v>442422</v>
      </c>
      <c r="B151" t="s">
        <v>956</v>
      </c>
      <c r="C151">
        <v>54994</v>
      </c>
      <c r="D151" t="s">
        <v>33</v>
      </c>
      <c r="E151" t="s">
        <v>22</v>
      </c>
      <c r="F151" s="27">
        <v>45839</v>
      </c>
      <c r="G151">
        <v>1</v>
      </c>
      <c r="H151">
        <v>1</v>
      </c>
      <c r="I151" t="s">
        <v>1052</v>
      </c>
      <c r="J151" s="27">
        <v>45862</v>
      </c>
      <c r="L151" s="29">
        <v>1717.8910543478262</v>
      </c>
      <c r="M151" s="29">
        <v>1717.8910543478262</v>
      </c>
      <c r="N151" s="15">
        <v>45839</v>
      </c>
    </row>
    <row r="152" spans="1:14" x14ac:dyDescent="0.25">
      <c r="A152">
        <v>442423</v>
      </c>
      <c r="B152" t="s">
        <v>956</v>
      </c>
      <c r="C152">
        <v>55001</v>
      </c>
      <c r="D152" t="s">
        <v>33</v>
      </c>
      <c r="E152" t="s">
        <v>22</v>
      </c>
      <c r="F152" s="27">
        <v>45839</v>
      </c>
      <c r="G152">
        <v>4</v>
      </c>
      <c r="H152">
        <v>4</v>
      </c>
      <c r="I152" t="s">
        <v>1055</v>
      </c>
      <c r="J152" s="27">
        <v>45862</v>
      </c>
      <c r="L152" s="29">
        <v>1717.8910543478262</v>
      </c>
      <c r="M152" s="29">
        <v>6871.5642173913047</v>
      </c>
      <c r="N152" s="15">
        <v>45839</v>
      </c>
    </row>
    <row r="153" spans="1:14" x14ac:dyDescent="0.25">
      <c r="A153">
        <v>442424</v>
      </c>
      <c r="B153" t="s">
        <v>956</v>
      </c>
      <c r="C153">
        <v>54994</v>
      </c>
      <c r="D153" t="s">
        <v>33</v>
      </c>
      <c r="E153" t="s">
        <v>22</v>
      </c>
      <c r="F153" s="27">
        <v>45839</v>
      </c>
      <c r="G153">
        <v>3</v>
      </c>
      <c r="H153">
        <v>3</v>
      </c>
      <c r="I153" t="s">
        <v>1054</v>
      </c>
      <c r="J153" s="27">
        <v>45862</v>
      </c>
      <c r="L153" s="29">
        <v>1717.8910543478262</v>
      </c>
      <c r="M153" s="29">
        <v>5153.6731630434788</v>
      </c>
      <c r="N153" s="15">
        <v>45839</v>
      </c>
    </row>
    <row r="154" spans="1:14" x14ac:dyDescent="0.25">
      <c r="A154">
        <v>435579</v>
      </c>
      <c r="B154" t="s">
        <v>29</v>
      </c>
      <c r="C154">
        <v>55618</v>
      </c>
      <c r="D154" t="s">
        <v>44</v>
      </c>
      <c r="E154" t="s">
        <v>22</v>
      </c>
      <c r="F154" s="27">
        <v>45839</v>
      </c>
      <c r="G154">
        <v>6</v>
      </c>
      <c r="H154">
        <v>6</v>
      </c>
      <c r="I154" t="s">
        <v>1026</v>
      </c>
      <c r="J154" s="27">
        <v>45842</v>
      </c>
      <c r="L154" s="29">
        <v>1924.0379809782607</v>
      </c>
      <c r="M154" s="29">
        <v>11544.227885869564</v>
      </c>
      <c r="N154" s="15">
        <v>45839</v>
      </c>
    </row>
    <row r="155" spans="1:14" x14ac:dyDescent="0.25">
      <c r="A155">
        <v>438967</v>
      </c>
      <c r="B155" t="s">
        <v>29</v>
      </c>
      <c r="C155">
        <v>56013</v>
      </c>
      <c r="D155" t="s">
        <v>44</v>
      </c>
      <c r="E155" t="s">
        <v>22</v>
      </c>
      <c r="F155" s="27">
        <v>45839</v>
      </c>
      <c r="G155">
        <v>0.75</v>
      </c>
      <c r="H155">
        <v>0.75</v>
      </c>
      <c r="I155" t="s">
        <v>1014</v>
      </c>
      <c r="J155" s="27">
        <v>45852</v>
      </c>
      <c r="L155" s="29">
        <v>1924.0379809782607</v>
      </c>
      <c r="M155" s="29">
        <v>1443.0284857336956</v>
      </c>
      <c r="N155" s="15">
        <v>45839</v>
      </c>
    </row>
    <row r="156" spans="1:14" x14ac:dyDescent="0.25">
      <c r="A156">
        <v>435976</v>
      </c>
      <c r="B156" t="s">
        <v>18</v>
      </c>
      <c r="C156">
        <v>33</v>
      </c>
      <c r="D156" t="s">
        <v>26</v>
      </c>
      <c r="E156" t="s">
        <v>19</v>
      </c>
      <c r="F156" s="27">
        <v>45838</v>
      </c>
      <c r="G156">
        <v>1</v>
      </c>
      <c r="H156">
        <v>1</v>
      </c>
      <c r="I156" t="s">
        <v>292</v>
      </c>
      <c r="J156" s="27">
        <v>45842</v>
      </c>
      <c r="L156" s="29">
        <v>1081.3672111842104</v>
      </c>
      <c r="M156" s="29">
        <v>1081.3672111842104</v>
      </c>
      <c r="N156" s="15">
        <v>45809</v>
      </c>
    </row>
    <row r="157" spans="1:14" x14ac:dyDescent="0.25">
      <c r="A157">
        <v>439580</v>
      </c>
      <c r="B157" t="s">
        <v>956</v>
      </c>
      <c r="C157">
        <v>54987</v>
      </c>
      <c r="D157" t="s">
        <v>41</v>
      </c>
      <c r="E157" t="s">
        <v>22</v>
      </c>
      <c r="F157" s="27">
        <v>45838</v>
      </c>
      <c r="G157">
        <v>8</v>
      </c>
      <c r="H157">
        <v>8</v>
      </c>
      <c r="I157" t="s">
        <v>1012</v>
      </c>
      <c r="J157" s="27">
        <v>45854</v>
      </c>
      <c r="L157" s="29">
        <v>1663.6418631578947</v>
      </c>
      <c r="M157" s="29">
        <v>13309.134905263158</v>
      </c>
      <c r="N157" s="15">
        <v>45809</v>
      </c>
    </row>
    <row r="158" spans="1:14" x14ac:dyDescent="0.25">
      <c r="A158">
        <v>442425</v>
      </c>
      <c r="B158" t="s">
        <v>23</v>
      </c>
      <c r="C158">
        <v>54460</v>
      </c>
      <c r="D158" t="s">
        <v>33</v>
      </c>
      <c r="E158" t="s">
        <v>22</v>
      </c>
      <c r="F158" s="27">
        <v>45838</v>
      </c>
      <c r="G158">
        <v>4</v>
      </c>
      <c r="H158">
        <v>4</v>
      </c>
      <c r="I158" t="s">
        <v>1056</v>
      </c>
      <c r="J158" s="27">
        <v>45862</v>
      </c>
      <c r="L158" s="29">
        <v>2079.5523289473686</v>
      </c>
      <c r="M158" s="29">
        <v>8318.2093157894742</v>
      </c>
      <c r="N158" s="15">
        <v>45809</v>
      </c>
    </row>
    <row r="159" spans="1:14" x14ac:dyDescent="0.25">
      <c r="A159">
        <v>433994</v>
      </c>
      <c r="B159" t="s">
        <v>23</v>
      </c>
      <c r="C159">
        <v>54720</v>
      </c>
      <c r="D159" t="s">
        <v>42</v>
      </c>
      <c r="E159" t="s">
        <v>22</v>
      </c>
      <c r="F159" s="27">
        <v>45838</v>
      </c>
      <c r="G159">
        <v>1.5</v>
      </c>
      <c r="H159">
        <v>1.5</v>
      </c>
      <c r="I159" t="s">
        <v>296</v>
      </c>
      <c r="J159" s="27">
        <v>45839</v>
      </c>
      <c r="L159" s="29">
        <v>1418</v>
      </c>
      <c r="M159" s="29">
        <v>2127</v>
      </c>
      <c r="N159" s="15">
        <v>45809</v>
      </c>
    </row>
    <row r="160" spans="1:14" x14ac:dyDescent="0.25">
      <c r="A160">
        <v>433995</v>
      </c>
      <c r="B160" t="s">
        <v>31</v>
      </c>
      <c r="C160">
        <v>13969</v>
      </c>
      <c r="D160" t="s">
        <v>42</v>
      </c>
      <c r="E160" t="s">
        <v>19</v>
      </c>
      <c r="F160" s="27">
        <v>45838</v>
      </c>
      <c r="G160">
        <v>0.5</v>
      </c>
      <c r="H160">
        <v>0.5</v>
      </c>
      <c r="I160" t="s">
        <v>295</v>
      </c>
      <c r="J160" s="27">
        <v>45839</v>
      </c>
      <c r="L160" s="29">
        <v>1418</v>
      </c>
      <c r="M160" s="29">
        <v>709</v>
      </c>
      <c r="N160" s="15">
        <v>45809</v>
      </c>
    </row>
    <row r="161" spans="1:14" x14ac:dyDescent="0.25">
      <c r="A161">
        <v>434517</v>
      </c>
      <c r="B161" t="s">
        <v>24</v>
      </c>
      <c r="C161">
        <v>55472</v>
      </c>
      <c r="D161" t="s">
        <v>49</v>
      </c>
      <c r="E161" t="s">
        <v>22</v>
      </c>
      <c r="F161" s="27">
        <v>45838</v>
      </c>
      <c r="G161">
        <v>136</v>
      </c>
      <c r="H161">
        <v>136</v>
      </c>
      <c r="I161" t="s">
        <v>294</v>
      </c>
      <c r="J161" s="27">
        <v>45840</v>
      </c>
      <c r="L161" s="29">
        <v>1247.7313973684211</v>
      </c>
      <c r="M161" s="29">
        <v>169691.47004210527</v>
      </c>
      <c r="N161" s="15">
        <v>45809</v>
      </c>
    </row>
    <row r="162" spans="1:14" x14ac:dyDescent="0.25">
      <c r="A162">
        <v>434518</v>
      </c>
      <c r="B162" t="s">
        <v>31</v>
      </c>
      <c r="C162">
        <v>13970</v>
      </c>
      <c r="D162" t="s">
        <v>49</v>
      </c>
      <c r="E162" t="s">
        <v>19</v>
      </c>
      <c r="F162" s="27">
        <v>45838</v>
      </c>
      <c r="G162">
        <v>16</v>
      </c>
      <c r="H162">
        <v>16</v>
      </c>
      <c r="I162" t="s">
        <v>255</v>
      </c>
      <c r="J162" s="27">
        <v>45840</v>
      </c>
      <c r="L162" s="29">
        <v>1247.7313973684211</v>
      </c>
      <c r="M162" s="29">
        <v>19963.702357894737</v>
      </c>
      <c r="N162" s="15">
        <v>45809</v>
      </c>
    </row>
    <row r="163" spans="1:14" x14ac:dyDescent="0.25">
      <c r="A163">
        <v>432238</v>
      </c>
      <c r="B163" t="s">
        <v>956</v>
      </c>
      <c r="C163">
        <v>54991</v>
      </c>
      <c r="D163" t="s">
        <v>33</v>
      </c>
      <c r="E163" t="s">
        <v>22</v>
      </c>
      <c r="F163" s="27">
        <v>45838</v>
      </c>
      <c r="G163">
        <v>4</v>
      </c>
      <c r="H163">
        <v>4</v>
      </c>
      <c r="I163" t="s">
        <v>957</v>
      </c>
      <c r="J163" s="27">
        <v>45835</v>
      </c>
      <c r="L163" s="29">
        <v>2079.5523289473686</v>
      </c>
      <c r="M163" s="29">
        <v>8318.2093157894742</v>
      </c>
      <c r="N163" s="15">
        <v>45809</v>
      </c>
    </row>
    <row r="164" spans="1:14" x14ac:dyDescent="0.25">
      <c r="A164">
        <v>435578</v>
      </c>
      <c r="B164" t="s">
        <v>29</v>
      </c>
      <c r="C164">
        <v>55618</v>
      </c>
      <c r="D164" t="s">
        <v>44</v>
      </c>
      <c r="E164" t="s">
        <v>22</v>
      </c>
      <c r="F164" s="27">
        <v>45838</v>
      </c>
      <c r="G164">
        <v>6</v>
      </c>
      <c r="H164">
        <v>6</v>
      </c>
      <c r="I164" t="s">
        <v>293</v>
      </c>
      <c r="J164" s="27">
        <v>45842</v>
      </c>
      <c r="L164" s="29">
        <v>2329.0986085526315</v>
      </c>
      <c r="M164" s="29">
        <v>13974.59165131579</v>
      </c>
      <c r="N164" s="15">
        <v>45809</v>
      </c>
    </row>
    <row r="165" spans="1:14" x14ac:dyDescent="0.25">
      <c r="A165">
        <v>434634</v>
      </c>
      <c r="B165" t="s">
        <v>28</v>
      </c>
      <c r="C165">
        <v>51251</v>
      </c>
      <c r="D165" t="s">
        <v>252</v>
      </c>
      <c r="E165" t="s">
        <v>22</v>
      </c>
      <c r="F165" s="27">
        <v>45838</v>
      </c>
      <c r="G165">
        <v>43</v>
      </c>
      <c r="H165">
        <v>43</v>
      </c>
      <c r="I165" t="s">
        <v>294</v>
      </c>
      <c r="J165" s="27">
        <v>45840</v>
      </c>
      <c r="L165" s="29">
        <v>1380</v>
      </c>
      <c r="M165" s="29">
        <v>59340</v>
      </c>
      <c r="N165" s="15">
        <v>45809</v>
      </c>
    </row>
    <row r="166" spans="1:14" x14ac:dyDescent="0.25">
      <c r="A166">
        <v>434635</v>
      </c>
      <c r="B166" t="s">
        <v>23</v>
      </c>
      <c r="C166">
        <v>54720</v>
      </c>
      <c r="D166" t="s">
        <v>252</v>
      </c>
      <c r="E166" t="s">
        <v>22</v>
      </c>
      <c r="F166" s="27">
        <v>45838</v>
      </c>
      <c r="G166">
        <v>81</v>
      </c>
      <c r="H166">
        <v>81</v>
      </c>
      <c r="I166" t="s">
        <v>294</v>
      </c>
      <c r="J166" s="27">
        <v>45840</v>
      </c>
      <c r="L166" s="29">
        <v>1380</v>
      </c>
      <c r="M166" s="29">
        <v>111780</v>
      </c>
      <c r="N166" s="15">
        <v>45809</v>
      </c>
    </row>
    <row r="167" spans="1:14" x14ac:dyDescent="0.25">
      <c r="A167">
        <v>432883</v>
      </c>
      <c r="B167" t="s">
        <v>24</v>
      </c>
      <c r="C167">
        <v>54433</v>
      </c>
      <c r="D167" t="s">
        <v>25</v>
      </c>
      <c r="E167" t="s">
        <v>22</v>
      </c>
      <c r="F167" s="27">
        <v>45838</v>
      </c>
      <c r="G167">
        <v>8</v>
      </c>
      <c r="H167">
        <v>8</v>
      </c>
      <c r="I167" t="s">
        <v>297</v>
      </c>
      <c r="J167" s="27">
        <v>45838</v>
      </c>
      <c r="L167" s="29">
        <v>1247.7313973684211</v>
      </c>
      <c r="M167" s="29">
        <v>9981.8511789473687</v>
      </c>
      <c r="N167" s="15">
        <v>45809</v>
      </c>
    </row>
    <row r="168" spans="1:14" x14ac:dyDescent="0.25">
      <c r="A168">
        <v>433993</v>
      </c>
      <c r="B168" t="s">
        <v>23</v>
      </c>
      <c r="C168">
        <v>54720</v>
      </c>
      <c r="D168" t="s">
        <v>42</v>
      </c>
      <c r="E168" t="s">
        <v>22</v>
      </c>
      <c r="F168" s="27">
        <v>45837</v>
      </c>
      <c r="G168">
        <v>1.5</v>
      </c>
      <c r="H168">
        <v>1.5</v>
      </c>
      <c r="I168" t="s">
        <v>296</v>
      </c>
      <c r="J168" s="27">
        <v>45839</v>
      </c>
      <c r="L168" s="29">
        <v>1418</v>
      </c>
      <c r="M168" s="29">
        <v>2127</v>
      </c>
      <c r="N168" s="15">
        <v>45809</v>
      </c>
    </row>
    <row r="169" spans="1:14" x14ac:dyDescent="0.25">
      <c r="A169">
        <v>435300</v>
      </c>
      <c r="B169" t="s">
        <v>31</v>
      </c>
      <c r="C169">
        <v>13969</v>
      </c>
      <c r="D169" t="s">
        <v>46</v>
      </c>
      <c r="E169" t="s">
        <v>19</v>
      </c>
      <c r="F169" s="27">
        <v>45837</v>
      </c>
      <c r="G169">
        <v>3</v>
      </c>
      <c r="H169">
        <v>3</v>
      </c>
      <c r="I169" t="s">
        <v>298</v>
      </c>
      <c r="J169" s="27">
        <v>45841</v>
      </c>
      <c r="L169" s="29">
        <v>1247.7313973684211</v>
      </c>
      <c r="M169" s="29">
        <v>3743.194192105263</v>
      </c>
      <c r="N169" s="15">
        <v>45809</v>
      </c>
    </row>
    <row r="170" spans="1:14" x14ac:dyDescent="0.25">
      <c r="A170">
        <v>435299</v>
      </c>
      <c r="B170" t="s">
        <v>31</v>
      </c>
      <c r="C170">
        <v>13969</v>
      </c>
      <c r="D170" t="s">
        <v>46</v>
      </c>
      <c r="E170" t="s">
        <v>19</v>
      </c>
      <c r="F170" s="27">
        <v>45836</v>
      </c>
      <c r="G170">
        <v>5</v>
      </c>
      <c r="H170">
        <v>5</v>
      </c>
      <c r="I170" t="s">
        <v>298</v>
      </c>
      <c r="J170" s="27">
        <v>45841</v>
      </c>
      <c r="L170" s="29">
        <v>1247.7313973684211</v>
      </c>
      <c r="M170" s="29">
        <v>6238.6569868421057</v>
      </c>
      <c r="N170" s="15">
        <v>45809</v>
      </c>
    </row>
    <row r="171" spans="1:14" x14ac:dyDescent="0.25">
      <c r="A171">
        <v>438688</v>
      </c>
      <c r="B171" t="s">
        <v>955</v>
      </c>
      <c r="C171">
        <v>54582</v>
      </c>
      <c r="D171" t="s">
        <v>37</v>
      </c>
      <c r="E171" t="s">
        <v>22</v>
      </c>
      <c r="F171" s="27">
        <v>45836</v>
      </c>
      <c r="G171">
        <v>10</v>
      </c>
      <c r="H171">
        <v>10</v>
      </c>
      <c r="I171" t="s">
        <v>931</v>
      </c>
      <c r="J171" s="27">
        <v>45852</v>
      </c>
      <c r="L171" s="29">
        <v>499.09255921052636</v>
      </c>
      <c r="M171" s="29">
        <v>4990.9255921052636</v>
      </c>
      <c r="N171" s="15">
        <v>45809</v>
      </c>
    </row>
    <row r="172" spans="1:14" x14ac:dyDescent="0.25">
      <c r="A172">
        <v>432440</v>
      </c>
      <c r="B172" t="s">
        <v>31</v>
      </c>
      <c r="C172">
        <v>13969</v>
      </c>
      <c r="D172" t="s">
        <v>42</v>
      </c>
      <c r="E172" t="s">
        <v>19</v>
      </c>
      <c r="F172" s="27">
        <v>45835</v>
      </c>
      <c r="G172">
        <v>0.5</v>
      </c>
      <c r="H172">
        <v>0.5</v>
      </c>
      <c r="I172" t="s">
        <v>295</v>
      </c>
      <c r="J172" s="27">
        <v>45837</v>
      </c>
      <c r="L172" s="29">
        <v>1418</v>
      </c>
      <c r="M172" s="29">
        <v>709</v>
      </c>
      <c r="N172" s="15">
        <v>45809</v>
      </c>
    </row>
    <row r="173" spans="1:14" x14ac:dyDescent="0.25">
      <c r="A173">
        <v>432698</v>
      </c>
      <c r="B173" t="s">
        <v>23</v>
      </c>
      <c r="C173">
        <v>52109</v>
      </c>
      <c r="D173" t="s">
        <v>27</v>
      </c>
      <c r="E173" t="s">
        <v>22</v>
      </c>
      <c r="F173" s="27">
        <v>45835</v>
      </c>
      <c r="G173">
        <v>1</v>
      </c>
      <c r="H173">
        <v>1</v>
      </c>
      <c r="I173" t="s">
        <v>304</v>
      </c>
      <c r="J173" s="27">
        <v>45838</v>
      </c>
      <c r="L173" s="29">
        <v>665.45674539473691</v>
      </c>
      <c r="M173" s="29">
        <v>665.45674539473691</v>
      </c>
      <c r="N173" s="15">
        <v>45809</v>
      </c>
    </row>
    <row r="174" spans="1:14" x14ac:dyDescent="0.25">
      <c r="A174">
        <v>432443</v>
      </c>
      <c r="B174" t="s">
        <v>31</v>
      </c>
      <c r="C174">
        <v>13969</v>
      </c>
      <c r="D174" t="s">
        <v>42</v>
      </c>
      <c r="E174" t="s">
        <v>19</v>
      </c>
      <c r="F174" s="27">
        <v>45835</v>
      </c>
      <c r="G174">
        <v>2</v>
      </c>
      <c r="H174">
        <v>2</v>
      </c>
      <c r="I174" t="s">
        <v>307</v>
      </c>
      <c r="J174" s="27">
        <v>45837</v>
      </c>
      <c r="L174" s="29">
        <v>1418</v>
      </c>
      <c r="M174" s="29">
        <v>2836</v>
      </c>
      <c r="N174" s="15">
        <v>45809</v>
      </c>
    </row>
    <row r="175" spans="1:14" x14ac:dyDescent="0.25">
      <c r="A175">
        <v>432702</v>
      </c>
      <c r="B175" t="s">
        <v>29</v>
      </c>
      <c r="C175">
        <v>55528</v>
      </c>
      <c r="D175" t="s">
        <v>44</v>
      </c>
      <c r="E175" t="s">
        <v>22</v>
      </c>
      <c r="F175" s="27">
        <v>45835</v>
      </c>
      <c r="G175">
        <v>3</v>
      </c>
      <c r="H175">
        <v>3</v>
      </c>
      <c r="I175" t="s">
        <v>303</v>
      </c>
      <c r="J175" s="27">
        <v>45838</v>
      </c>
      <c r="L175" s="29">
        <v>2329.0986085526315</v>
      </c>
      <c r="M175" s="29">
        <v>6987.295825657895</v>
      </c>
      <c r="N175" s="15">
        <v>45809</v>
      </c>
    </row>
    <row r="176" spans="1:14" x14ac:dyDescent="0.25">
      <c r="A176">
        <v>432707</v>
      </c>
      <c r="B176" t="s">
        <v>23</v>
      </c>
      <c r="C176">
        <v>54722</v>
      </c>
      <c r="D176" t="s">
        <v>27</v>
      </c>
      <c r="E176" t="s">
        <v>22</v>
      </c>
      <c r="F176" s="27">
        <v>45835</v>
      </c>
      <c r="G176">
        <v>3</v>
      </c>
      <c r="H176">
        <v>3</v>
      </c>
      <c r="I176" t="s">
        <v>302</v>
      </c>
      <c r="J176" s="27">
        <v>45838</v>
      </c>
      <c r="L176" s="29">
        <v>665.45674539473691</v>
      </c>
      <c r="M176" s="29">
        <v>1996.3702361842106</v>
      </c>
      <c r="N176" s="15">
        <v>45809</v>
      </c>
    </row>
    <row r="177" spans="1:14" x14ac:dyDescent="0.25">
      <c r="A177">
        <v>432709</v>
      </c>
      <c r="B177" t="s">
        <v>28</v>
      </c>
      <c r="C177">
        <v>51263</v>
      </c>
      <c r="D177" t="s">
        <v>27</v>
      </c>
      <c r="E177" t="s">
        <v>22</v>
      </c>
      <c r="F177" s="27">
        <v>45835</v>
      </c>
      <c r="G177">
        <v>1.5</v>
      </c>
      <c r="H177">
        <v>1.5</v>
      </c>
      <c r="I177" t="s">
        <v>301</v>
      </c>
      <c r="J177" s="27">
        <v>45838</v>
      </c>
      <c r="L177" s="29">
        <v>665.45674539473691</v>
      </c>
      <c r="M177" s="29">
        <v>998.18511809210531</v>
      </c>
      <c r="N177" s="15">
        <v>45809</v>
      </c>
    </row>
    <row r="178" spans="1:14" x14ac:dyDescent="0.25">
      <c r="A178">
        <v>431945</v>
      </c>
      <c r="B178" t="s">
        <v>23</v>
      </c>
      <c r="C178">
        <v>54721</v>
      </c>
      <c r="D178" t="s">
        <v>21</v>
      </c>
      <c r="E178" t="s">
        <v>22</v>
      </c>
      <c r="F178" s="27">
        <v>45835</v>
      </c>
      <c r="G178">
        <v>0.5</v>
      </c>
      <c r="H178">
        <v>0.5</v>
      </c>
      <c r="I178" t="s">
        <v>310</v>
      </c>
      <c r="J178" s="27">
        <v>45835</v>
      </c>
      <c r="L178" s="29">
        <v>1871.5970960526315</v>
      </c>
      <c r="M178" s="29">
        <v>935.79854802631576</v>
      </c>
      <c r="N178" s="15">
        <v>45809</v>
      </c>
    </row>
    <row r="179" spans="1:14" x14ac:dyDescent="0.25">
      <c r="A179">
        <v>432201</v>
      </c>
      <c r="B179" t="s">
        <v>31</v>
      </c>
      <c r="C179">
        <v>13970</v>
      </c>
      <c r="D179" t="s">
        <v>36</v>
      </c>
      <c r="E179" t="s">
        <v>19</v>
      </c>
      <c r="F179" s="27">
        <v>45835</v>
      </c>
      <c r="G179">
        <v>8</v>
      </c>
      <c r="H179">
        <v>8</v>
      </c>
      <c r="I179" t="s">
        <v>308</v>
      </c>
      <c r="J179" s="27">
        <v>45835</v>
      </c>
      <c r="L179" s="29">
        <v>1996.3702361842106</v>
      </c>
      <c r="M179" s="29">
        <v>15970.961889473685</v>
      </c>
      <c r="N179" s="15">
        <v>45809</v>
      </c>
    </row>
    <row r="180" spans="1:14" x14ac:dyDescent="0.25">
      <c r="A180">
        <v>435298</v>
      </c>
      <c r="B180" t="s">
        <v>31</v>
      </c>
      <c r="C180">
        <v>13969</v>
      </c>
      <c r="D180" t="s">
        <v>46</v>
      </c>
      <c r="E180" t="s">
        <v>19</v>
      </c>
      <c r="F180" s="27">
        <v>45835</v>
      </c>
      <c r="G180">
        <v>2</v>
      </c>
      <c r="H180">
        <v>2</v>
      </c>
      <c r="I180" t="s">
        <v>298</v>
      </c>
      <c r="J180" s="27">
        <v>45841</v>
      </c>
      <c r="L180" s="29">
        <v>1247.7313973684211</v>
      </c>
      <c r="M180" s="29">
        <v>2495.4627947368422</v>
      </c>
      <c r="N180" s="15">
        <v>45809</v>
      </c>
    </row>
    <row r="181" spans="1:14" x14ac:dyDescent="0.25">
      <c r="A181">
        <v>432237</v>
      </c>
      <c r="B181" t="s">
        <v>956</v>
      </c>
      <c r="C181">
        <v>54991</v>
      </c>
      <c r="D181" t="s">
        <v>33</v>
      </c>
      <c r="E181" t="s">
        <v>22</v>
      </c>
      <c r="F181" s="27">
        <v>45835</v>
      </c>
      <c r="G181">
        <v>4</v>
      </c>
      <c r="H181">
        <v>4</v>
      </c>
      <c r="I181" t="s">
        <v>957</v>
      </c>
      <c r="J181" s="27">
        <v>45835</v>
      </c>
      <c r="L181" s="29">
        <v>2079.5523289473686</v>
      </c>
      <c r="M181" s="29">
        <v>8318.2093157894742</v>
      </c>
      <c r="N181" s="15">
        <v>45809</v>
      </c>
    </row>
    <row r="182" spans="1:14" x14ac:dyDescent="0.25">
      <c r="A182">
        <v>432519</v>
      </c>
      <c r="B182" t="s">
        <v>23</v>
      </c>
      <c r="C182">
        <v>54722</v>
      </c>
      <c r="D182" t="s">
        <v>21</v>
      </c>
      <c r="E182" t="s">
        <v>22</v>
      </c>
      <c r="F182" s="27">
        <v>45835</v>
      </c>
      <c r="G182">
        <v>6</v>
      </c>
      <c r="H182">
        <v>6</v>
      </c>
      <c r="I182" t="s">
        <v>306</v>
      </c>
      <c r="J182" s="27">
        <v>45838</v>
      </c>
      <c r="L182" s="29">
        <v>1871.5970960526315</v>
      </c>
      <c r="M182" s="29">
        <v>11229.582576315788</v>
      </c>
      <c r="N182" s="15">
        <v>45809</v>
      </c>
    </row>
    <row r="183" spans="1:14" x14ac:dyDescent="0.25">
      <c r="A183">
        <v>432554</v>
      </c>
      <c r="B183" t="s">
        <v>28</v>
      </c>
      <c r="C183">
        <v>55516</v>
      </c>
      <c r="D183" t="s">
        <v>44</v>
      </c>
      <c r="E183" t="s">
        <v>22</v>
      </c>
      <c r="F183" s="27">
        <v>45835</v>
      </c>
      <c r="G183">
        <v>8</v>
      </c>
      <c r="H183">
        <v>8</v>
      </c>
      <c r="I183" t="s">
        <v>305</v>
      </c>
      <c r="J183" s="27">
        <v>45838</v>
      </c>
      <c r="L183" s="29">
        <v>2329.0986085526315</v>
      </c>
      <c r="M183" s="29">
        <v>18632.788868421052</v>
      </c>
      <c r="N183" s="15">
        <v>45809</v>
      </c>
    </row>
    <row r="184" spans="1:14" x14ac:dyDescent="0.25">
      <c r="A184">
        <v>432062</v>
      </c>
      <c r="B184" t="s">
        <v>23</v>
      </c>
      <c r="C184">
        <v>52109</v>
      </c>
      <c r="D184" t="s">
        <v>21</v>
      </c>
      <c r="E184" t="s">
        <v>22</v>
      </c>
      <c r="F184" s="27">
        <v>45835</v>
      </c>
      <c r="G184">
        <v>1</v>
      </c>
      <c r="H184">
        <v>1</v>
      </c>
      <c r="I184" t="s">
        <v>309</v>
      </c>
      <c r="J184" s="27">
        <v>45835</v>
      </c>
      <c r="L184" s="29">
        <v>1871.5970960526315</v>
      </c>
      <c r="M184" s="29">
        <v>1871.5970960526315</v>
      </c>
      <c r="N184" s="15">
        <v>45809</v>
      </c>
    </row>
    <row r="185" spans="1:14" x14ac:dyDescent="0.25">
      <c r="A185">
        <v>432831</v>
      </c>
      <c r="B185" t="s">
        <v>956</v>
      </c>
      <c r="C185">
        <v>54992</v>
      </c>
      <c r="D185" t="s">
        <v>26</v>
      </c>
      <c r="E185" t="s">
        <v>22</v>
      </c>
      <c r="F185" s="27">
        <v>45835</v>
      </c>
      <c r="G185">
        <v>7</v>
      </c>
      <c r="H185">
        <v>7</v>
      </c>
      <c r="I185" t="s">
        <v>958</v>
      </c>
      <c r="J185" s="27">
        <v>45838</v>
      </c>
      <c r="L185" s="29">
        <v>1081.3672111842104</v>
      </c>
      <c r="M185" s="29">
        <v>7569.5704782894727</v>
      </c>
      <c r="N185" s="15">
        <v>45809</v>
      </c>
    </row>
    <row r="186" spans="1:14" x14ac:dyDescent="0.25">
      <c r="A186">
        <v>432839</v>
      </c>
      <c r="B186" t="s">
        <v>24</v>
      </c>
      <c r="C186">
        <v>54430</v>
      </c>
      <c r="D186" t="s">
        <v>25</v>
      </c>
      <c r="E186" t="s">
        <v>22</v>
      </c>
      <c r="F186" s="27">
        <v>45835</v>
      </c>
      <c r="G186">
        <v>1</v>
      </c>
      <c r="H186">
        <v>1</v>
      </c>
      <c r="I186" t="s">
        <v>300</v>
      </c>
      <c r="J186" s="27">
        <v>45838</v>
      </c>
      <c r="L186" s="29">
        <v>1247.7313973684211</v>
      </c>
      <c r="M186" s="29">
        <v>1247.7313973684211</v>
      </c>
      <c r="N186" s="15">
        <v>45809</v>
      </c>
    </row>
    <row r="187" spans="1:14" x14ac:dyDescent="0.25">
      <c r="A187">
        <v>432840</v>
      </c>
      <c r="B187" t="s">
        <v>24</v>
      </c>
      <c r="C187">
        <v>54431</v>
      </c>
      <c r="D187" t="s">
        <v>25</v>
      </c>
      <c r="E187" t="s">
        <v>22</v>
      </c>
      <c r="F187" s="27">
        <v>45835</v>
      </c>
      <c r="G187">
        <v>2.5</v>
      </c>
      <c r="H187">
        <v>2.5</v>
      </c>
      <c r="I187" t="s">
        <v>299</v>
      </c>
      <c r="J187" s="27">
        <v>45838</v>
      </c>
      <c r="L187" s="29">
        <v>1247.7313973684211</v>
      </c>
      <c r="M187" s="29">
        <v>3119.3284934210528</v>
      </c>
      <c r="N187" s="15">
        <v>45809</v>
      </c>
    </row>
    <row r="188" spans="1:14" x14ac:dyDescent="0.25">
      <c r="A188">
        <v>432841</v>
      </c>
      <c r="B188" t="s">
        <v>24</v>
      </c>
      <c r="C188">
        <v>54433</v>
      </c>
      <c r="D188" t="s">
        <v>25</v>
      </c>
      <c r="E188" t="s">
        <v>22</v>
      </c>
      <c r="F188" s="27">
        <v>45835</v>
      </c>
      <c r="G188">
        <v>4.5</v>
      </c>
      <c r="H188">
        <v>4.5</v>
      </c>
      <c r="I188" t="s">
        <v>297</v>
      </c>
      <c r="J188" s="27">
        <v>45838</v>
      </c>
      <c r="L188" s="29">
        <v>1247.7313973684211</v>
      </c>
      <c r="M188" s="29">
        <v>5614.791288157895</v>
      </c>
      <c r="N188" s="15">
        <v>45809</v>
      </c>
    </row>
    <row r="189" spans="1:14" x14ac:dyDescent="0.25">
      <c r="A189">
        <v>439046</v>
      </c>
      <c r="B189" t="s">
        <v>18</v>
      </c>
      <c r="C189">
        <v>29</v>
      </c>
      <c r="D189" t="s">
        <v>27</v>
      </c>
      <c r="E189" t="s">
        <v>19</v>
      </c>
      <c r="F189" s="27">
        <v>45834</v>
      </c>
      <c r="G189">
        <v>42</v>
      </c>
      <c r="H189">
        <v>42</v>
      </c>
      <c r="I189" t="s">
        <v>255</v>
      </c>
      <c r="J189" s="27">
        <v>45852</v>
      </c>
      <c r="L189" s="29">
        <v>665.45674539473691</v>
      </c>
      <c r="M189" s="29">
        <v>27949.183306578951</v>
      </c>
      <c r="N189" s="15">
        <v>45809</v>
      </c>
    </row>
    <row r="190" spans="1:14" x14ac:dyDescent="0.25">
      <c r="A190">
        <v>431943</v>
      </c>
      <c r="B190" t="s">
        <v>23</v>
      </c>
      <c r="C190">
        <v>54721</v>
      </c>
      <c r="D190" t="s">
        <v>21</v>
      </c>
      <c r="E190" t="s">
        <v>22</v>
      </c>
      <c r="F190" s="27">
        <v>45834</v>
      </c>
      <c r="G190">
        <v>0.5</v>
      </c>
      <c r="H190">
        <v>0.5</v>
      </c>
      <c r="I190" t="s">
        <v>1057</v>
      </c>
      <c r="J190" s="27">
        <v>45835</v>
      </c>
      <c r="L190" s="29">
        <v>1871.5970960526315</v>
      </c>
      <c r="M190" s="29">
        <v>935.79854802631576</v>
      </c>
      <c r="N190" s="15">
        <v>45809</v>
      </c>
    </row>
    <row r="191" spans="1:14" x14ac:dyDescent="0.25">
      <c r="A191">
        <v>432200</v>
      </c>
      <c r="B191" t="s">
        <v>31</v>
      </c>
      <c r="C191">
        <v>13970</v>
      </c>
      <c r="D191" t="s">
        <v>36</v>
      </c>
      <c r="E191" t="s">
        <v>19</v>
      </c>
      <c r="F191" s="27">
        <v>45834</v>
      </c>
      <c r="G191">
        <v>8</v>
      </c>
      <c r="H191">
        <v>8</v>
      </c>
      <c r="I191" t="s">
        <v>308</v>
      </c>
      <c r="J191" s="27">
        <v>45835</v>
      </c>
      <c r="L191" s="29">
        <v>1996.3702361842106</v>
      </c>
      <c r="M191" s="29">
        <v>15970.961889473685</v>
      </c>
      <c r="N191" s="15">
        <v>45809</v>
      </c>
    </row>
    <row r="192" spans="1:14" x14ac:dyDescent="0.25">
      <c r="A192">
        <v>432716</v>
      </c>
      <c r="B192" t="s">
        <v>23</v>
      </c>
      <c r="C192">
        <v>54722</v>
      </c>
      <c r="D192" t="s">
        <v>27</v>
      </c>
      <c r="E192" t="s">
        <v>22</v>
      </c>
      <c r="F192" s="27">
        <v>45834</v>
      </c>
      <c r="G192">
        <v>8</v>
      </c>
      <c r="H192">
        <v>8</v>
      </c>
      <c r="I192" t="s">
        <v>1058</v>
      </c>
      <c r="J192" s="27">
        <v>45838</v>
      </c>
      <c r="L192" s="29">
        <v>665.45674539473691</v>
      </c>
      <c r="M192" s="29">
        <v>5323.6539631578953</v>
      </c>
      <c r="N192" s="15">
        <v>45809</v>
      </c>
    </row>
    <row r="193" spans="1:14" x14ac:dyDescent="0.25">
      <c r="A193">
        <v>431705</v>
      </c>
      <c r="B193" t="s">
        <v>24</v>
      </c>
      <c r="C193">
        <v>54433</v>
      </c>
      <c r="D193" t="s">
        <v>25</v>
      </c>
      <c r="E193" t="s">
        <v>22</v>
      </c>
      <c r="F193" s="27">
        <v>45834</v>
      </c>
      <c r="G193">
        <v>8</v>
      </c>
      <c r="H193">
        <v>8</v>
      </c>
      <c r="I193" t="s">
        <v>297</v>
      </c>
      <c r="J193" s="27">
        <v>45834</v>
      </c>
      <c r="L193" s="29">
        <v>1247.7313973684211</v>
      </c>
      <c r="M193" s="29">
        <v>9981.8511789473687</v>
      </c>
      <c r="N193" s="15">
        <v>45809</v>
      </c>
    </row>
    <row r="194" spans="1:14" x14ac:dyDescent="0.25">
      <c r="A194">
        <v>435296</v>
      </c>
      <c r="B194" t="s">
        <v>31</v>
      </c>
      <c r="C194">
        <v>13969</v>
      </c>
      <c r="D194" t="s">
        <v>46</v>
      </c>
      <c r="E194" t="s">
        <v>19</v>
      </c>
      <c r="F194" s="27">
        <v>45834</v>
      </c>
      <c r="G194">
        <v>4</v>
      </c>
      <c r="H194">
        <v>4</v>
      </c>
      <c r="I194" t="s">
        <v>312</v>
      </c>
      <c r="J194" s="27">
        <v>45841</v>
      </c>
      <c r="L194" s="29">
        <v>1247.7313973684211</v>
      </c>
      <c r="M194" s="29">
        <v>4990.9255894736843</v>
      </c>
      <c r="N194" s="15">
        <v>45809</v>
      </c>
    </row>
    <row r="195" spans="1:14" x14ac:dyDescent="0.25">
      <c r="A195">
        <v>435297</v>
      </c>
      <c r="B195" t="s">
        <v>31</v>
      </c>
      <c r="C195">
        <v>13969</v>
      </c>
      <c r="D195" t="s">
        <v>46</v>
      </c>
      <c r="E195" t="s">
        <v>19</v>
      </c>
      <c r="F195" s="27">
        <v>45834</v>
      </c>
      <c r="G195">
        <v>1</v>
      </c>
      <c r="H195">
        <v>1</v>
      </c>
      <c r="I195" t="s">
        <v>311</v>
      </c>
      <c r="J195" s="27">
        <v>45841</v>
      </c>
      <c r="L195" s="29">
        <v>1247.7313973684211</v>
      </c>
      <c r="M195" s="29">
        <v>1247.7313973684211</v>
      </c>
      <c r="N195" s="15">
        <v>45809</v>
      </c>
    </row>
    <row r="196" spans="1:14" x14ac:dyDescent="0.25">
      <c r="A196">
        <v>432236</v>
      </c>
      <c r="B196" t="s">
        <v>956</v>
      </c>
      <c r="C196">
        <v>54990</v>
      </c>
      <c r="D196" t="s">
        <v>33</v>
      </c>
      <c r="E196" t="s">
        <v>22</v>
      </c>
      <c r="F196" s="27">
        <v>45834</v>
      </c>
      <c r="G196">
        <v>4</v>
      </c>
      <c r="H196">
        <v>4</v>
      </c>
      <c r="I196" t="s">
        <v>960</v>
      </c>
      <c r="J196" s="27">
        <v>45835</v>
      </c>
      <c r="L196" s="29">
        <v>2079.5523289473686</v>
      </c>
      <c r="M196" s="29">
        <v>8318.2093157894742</v>
      </c>
      <c r="N196" s="15">
        <v>45809</v>
      </c>
    </row>
    <row r="197" spans="1:14" x14ac:dyDescent="0.25">
      <c r="A197">
        <v>432518</v>
      </c>
      <c r="B197" t="s">
        <v>23</v>
      </c>
      <c r="C197">
        <v>54722</v>
      </c>
      <c r="D197" t="s">
        <v>21</v>
      </c>
      <c r="E197" t="s">
        <v>22</v>
      </c>
      <c r="F197" s="27">
        <v>45834</v>
      </c>
      <c r="G197">
        <v>5</v>
      </c>
      <c r="H197">
        <v>5</v>
      </c>
      <c r="I197" t="s">
        <v>314</v>
      </c>
      <c r="J197" s="27">
        <v>45838</v>
      </c>
      <c r="L197" s="29">
        <v>1871.5970960526315</v>
      </c>
      <c r="M197" s="29">
        <v>9357.985480263158</v>
      </c>
      <c r="N197" s="15">
        <v>45809</v>
      </c>
    </row>
    <row r="198" spans="1:14" x14ac:dyDescent="0.25">
      <c r="A198">
        <v>430987</v>
      </c>
      <c r="B198" t="s">
        <v>18</v>
      </c>
      <c r="C198">
        <v>17</v>
      </c>
      <c r="D198" t="s">
        <v>43</v>
      </c>
      <c r="E198" t="s">
        <v>19</v>
      </c>
      <c r="F198" s="27">
        <v>45834</v>
      </c>
      <c r="G198">
        <v>8</v>
      </c>
      <c r="H198">
        <v>8</v>
      </c>
      <c r="I198" t="s">
        <v>315</v>
      </c>
      <c r="J198" s="27">
        <v>45832</v>
      </c>
      <c r="L198" s="29">
        <v>415.91046578947368</v>
      </c>
      <c r="M198" s="29">
        <v>3327.2837263157894</v>
      </c>
      <c r="N198" s="15">
        <v>45809</v>
      </c>
    </row>
    <row r="199" spans="1:14" x14ac:dyDescent="0.25">
      <c r="A199">
        <v>432528</v>
      </c>
      <c r="B199" t="s">
        <v>28</v>
      </c>
      <c r="C199">
        <v>55516</v>
      </c>
      <c r="D199" t="s">
        <v>44</v>
      </c>
      <c r="E199" t="s">
        <v>22</v>
      </c>
      <c r="F199" s="27">
        <v>45834</v>
      </c>
      <c r="G199">
        <v>8</v>
      </c>
      <c r="H199">
        <v>8</v>
      </c>
      <c r="I199" t="s">
        <v>313</v>
      </c>
      <c r="J199" s="27">
        <v>45838</v>
      </c>
      <c r="L199" s="29">
        <v>2329.0986085526315</v>
      </c>
      <c r="M199" s="29">
        <v>18632.788868421052</v>
      </c>
      <c r="N199" s="15">
        <v>45809</v>
      </c>
    </row>
    <row r="200" spans="1:14" x14ac:dyDescent="0.25">
      <c r="A200">
        <v>432832</v>
      </c>
      <c r="B200" t="s">
        <v>956</v>
      </c>
      <c r="C200">
        <v>54992</v>
      </c>
      <c r="D200" t="s">
        <v>26</v>
      </c>
      <c r="E200" t="s">
        <v>22</v>
      </c>
      <c r="F200" s="27">
        <v>45834</v>
      </c>
      <c r="G200">
        <v>8</v>
      </c>
      <c r="H200">
        <v>8</v>
      </c>
      <c r="I200" t="s">
        <v>959</v>
      </c>
      <c r="J200" s="27">
        <v>45838</v>
      </c>
      <c r="L200" s="29">
        <v>1081.3672111842104</v>
      </c>
      <c r="M200" s="29">
        <v>8650.9376894736833</v>
      </c>
      <c r="N200" s="15">
        <v>45809</v>
      </c>
    </row>
    <row r="201" spans="1:14" x14ac:dyDescent="0.25">
      <c r="A201">
        <v>436686</v>
      </c>
      <c r="B201" t="s">
        <v>18</v>
      </c>
      <c r="C201">
        <v>17</v>
      </c>
      <c r="D201" t="s">
        <v>39</v>
      </c>
      <c r="E201" t="s">
        <v>19</v>
      </c>
      <c r="F201" s="27">
        <v>45834</v>
      </c>
      <c r="G201">
        <v>64</v>
      </c>
      <c r="H201">
        <v>64</v>
      </c>
      <c r="I201" t="s">
        <v>255</v>
      </c>
      <c r="J201" s="27">
        <v>45846</v>
      </c>
      <c r="L201" s="29">
        <v>831.82093157894735</v>
      </c>
      <c r="M201" s="29">
        <v>53236.539621052631</v>
      </c>
      <c r="N201" s="15">
        <v>45809</v>
      </c>
    </row>
    <row r="202" spans="1:14" x14ac:dyDescent="0.25">
      <c r="A202">
        <v>439025</v>
      </c>
      <c r="B202" t="s">
        <v>29</v>
      </c>
      <c r="C202">
        <v>53425</v>
      </c>
      <c r="D202" t="s">
        <v>44</v>
      </c>
      <c r="E202" t="s">
        <v>22</v>
      </c>
      <c r="F202" s="27">
        <v>45834</v>
      </c>
      <c r="G202">
        <v>2</v>
      </c>
      <c r="H202">
        <v>2</v>
      </c>
      <c r="I202" t="s">
        <v>255</v>
      </c>
      <c r="J202" s="27">
        <v>45852</v>
      </c>
      <c r="L202" s="29">
        <v>2329.0986085526315</v>
      </c>
      <c r="M202" s="29">
        <v>4658.197217105263</v>
      </c>
      <c r="N202" s="15">
        <v>45809</v>
      </c>
    </row>
    <row r="203" spans="1:14" x14ac:dyDescent="0.25">
      <c r="A203">
        <v>432441</v>
      </c>
      <c r="B203" t="s">
        <v>31</v>
      </c>
      <c r="C203">
        <v>13969</v>
      </c>
      <c r="D203" t="s">
        <v>42</v>
      </c>
      <c r="E203" t="s">
        <v>19</v>
      </c>
      <c r="F203" s="27">
        <v>45833</v>
      </c>
      <c r="G203">
        <v>0.5</v>
      </c>
      <c r="H203">
        <v>0.5</v>
      </c>
      <c r="I203" t="s">
        <v>295</v>
      </c>
      <c r="J203" s="27">
        <v>45837</v>
      </c>
      <c r="L203" s="29">
        <v>1418</v>
      </c>
      <c r="M203" s="29">
        <v>709</v>
      </c>
      <c r="N203" s="15">
        <v>45809</v>
      </c>
    </row>
    <row r="204" spans="1:14" x14ac:dyDescent="0.25">
      <c r="A204">
        <v>432199</v>
      </c>
      <c r="B204" t="s">
        <v>31</v>
      </c>
      <c r="C204">
        <v>13970</v>
      </c>
      <c r="D204" t="s">
        <v>36</v>
      </c>
      <c r="E204" t="s">
        <v>19</v>
      </c>
      <c r="F204" s="27">
        <v>45833</v>
      </c>
      <c r="G204">
        <v>8</v>
      </c>
      <c r="H204">
        <v>8</v>
      </c>
      <c r="I204" t="s">
        <v>308</v>
      </c>
      <c r="J204" s="27">
        <v>45835</v>
      </c>
      <c r="L204" s="29">
        <v>1996.3702361842106</v>
      </c>
      <c r="M204" s="29">
        <v>15970.961889473685</v>
      </c>
      <c r="N204" s="15">
        <v>45809</v>
      </c>
    </row>
    <row r="205" spans="1:14" x14ac:dyDescent="0.25">
      <c r="A205">
        <v>432461</v>
      </c>
      <c r="B205" t="s">
        <v>23</v>
      </c>
      <c r="C205">
        <v>54720</v>
      </c>
      <c r="D205" t="s">
        <v>42</v>
      </c>
      <c r="E205" t="s">
        <v>22</v>
      </c>
      <c r="F205" s="27">
        <v>45833</v>
      </c>
      <c r="G205">
        <v>6</v>
      </c>
      <c r="H205">
        <v>6</v>
      </c>
      <c r="I205">
        <v>2711</v>
      </c>
      <c r="J205" s="27">
        <v>45837</v>
      </c>
      <c r="L205" s="29">
        <v>1418</v>
      </c>
      <c r="M205" s="29">
        <v>8508</v>
      </c>
      <c r="N205" s="15">
        <v>45809</v>
      </c>
    </row>
    <row r="206" spans="1:14" x14ac:dyDescent="0.25">
      <c r="A206">
        <v>432726</v>
      </c>
      <c r="B206" t="s">
        <v>23</v>
      </c>
      <c r="C206">
        <v>54722</v>
      </c>
      <c r="D206" t="s">
        <v>27</v>
      </c>
      <c r="E206" t="s">
        <v>22</v>
      </c>
      <c r="F206" s="27">
        <v>45833</v>
      </c>
      <c r="G206">
        <v>5</v>
      </c>
      <c r="H206">
        <v>5</v>
      </c>
      <c r="I206" t="s">
        <v>1034</v>
      </c>
      <c r="J206" s="27">
        <v>45838</v>
      </c>
      <c r="L206" s="29">
        <v>665.45674539473691</v>
      </c>
      <c r="M206" s="29">
        <v>3327.2837269736847</v>
      </c>
      <c r="N206" s="15">
        <v>45809</v>
      </c>
    </row>
    <row r="207" spans="1:14" x14ac:dyDescent="0.25">
      <c r="A207">
        <v>431706</v>
      </c>
      <c r="B207" t="s">
        <v>24</v>
      </c>
      <c r="C207">
        <v>54433</v>
      </c>
      <c r="D207" t="s">
        <v>25</v>
      </c>
      <c r="E207" t="s">
        <v>22</v>
      </c>
      <c r="F207" s="27">
        <v>45833</v>
      </c>
      <c r="G207">
        <v>2</v>
      </c>
      <c r="H207">
        <v>2</v>
      </c>
      <c r="I207" t="s">
        <v>1035</v>
      </c>
      <c r="J207" s="27">
        <v>45834</v>
      </c>
      <c r="L207" s="29">
        <v>1247.7313973684211</v>
      </c>
      <c r="M207" s="29">
        <v>2495.4627947368422</v>
      </c>
      <c r="N207" s="15">
        <v>45809</v>
      </c>
    </row>
    <row r="208" spans="1:14" x14ac:dyDescent="0.25">
      <c r="A208">
        <v>435290</v>
      </c>
      <c r="B208" t="s">
        <v>31</v>
      </c>
      <c r="C208">
        <v>13969</v>
      </c>
      <c r="D208" t="s">
        <v>46</v>
      </c>
      <c r="E208" t="s">
        <v>19</v>
      </c>
      <c r="F208" s="27">
        <v>45833</v>
      </c>
      <c r="G208">
        <v>2</v>
      </c>
      <c r="H208">
        <v>2</v>
      </c>
      <c r="I208" t="s">
        <v>317</v>
      </c>
      <c r="J208" s="27">
        <v>45841</v>
      </c>
      <c r="L208" s="29">
        <v>1247.7313973684211</v>
      </c>
      <c r="M208" s="29">
        <v>2495.4627947368422</v>
      </c>
      <c r="N208" s="15">
        <v>45809</v>
      </c>
    </row>
    <row r="209" spans="1:14" x14ac:dyDescent="0.25">
      <c r="A209">
        <v>431707</v>
      </c>
      <c r="B209" t="s">
        <v>24</v>
      </c>
      <c r="C209">
        <v>54431</v>
      </c>
      <c r="D209" t="s">
        <v>25</v>
      </c>
      <c r="E209" t="s">
        <v>22</v>
      </c>
      <c r="F209" s="27">
        <v>45833</v>
      </c>
      <c r="G209">
        <v>3.5</v>
      </c>
      <c r="H209">
        <v>3.5</v>
      </c>
      <c r="I209" t="s">
        <v>320</v>
      </c>
      <c r="J209" s="27">
        <v>45834</v>
      </c>
      <c r="L209" s="29">
        <v>1247.7313973684211</v>
      </c>
      <c r="M209" s="29">
        <v>4367.0598907894737</v>
      </c>
      <c r="N209" s="15">
        <v>45809</v>
      </c>
    </row>
    <row r="210" spans="1:14" x14ac:dyDescent="0.25">
      <c r="A210">
        <v>435291</v>
      </c>
      <c r="B210" t="s">
        <v>31</v>
      </c>
      <c r="C210">
        <v>13969</v>
      </c>
      <c r="D210" t="s">
        <v>46</v>
      </c>
      <c r="E210" t="s">
        <v>19</v>
      </c>
      <c r="F210" s="27">
        <v>45833</v>
      </c>
      <c r="G210">
        <v>7</v>
      </c>
      <c r="H210">
        <v>7</v>
      </c>
      <c r="I210" t="s">
        <v>316</v>
      </c>
      <c r="J210" s="27">
        <v>45841</v>
      </c>
      <c r="L210" s="29">
        <v>1247.7313973684211</v>
      </c>
      <c r="M210" s="29">
        <v>8734.1197815789474</v>
      </c>
      <c r="N210" s="15">
        <v>45809</v>
      </c>
    </row>
    <row r="211" spans="1:14" x14ac:dyDescent="0.25">
      <c r="A211">
        <v>432735</v>
      </c>
      <c r="B211" t="s">
        <v>23</v>
      </c>
      <c r="C211">
        <v>52109</v>
      </c>
      <c r="D211" t="s">
        <v>27</v>
      </c>
      <c r="E211" t="s">
        <v>22</v>
      </c>
      <c r="F211" s="27">
        <v>45833</v>
      </c>
      <c r="G211">
        <v>1</v>
      </c>
      <c r="H211">
        <v>1</v>
      </c>
      <c r="I211" t="s">
        <v>319</v>
      </c>
      <c r="J211" s="27">
        <v>45838</v>
      </c>
      <c r="L211" s="29">
        <v>665.45674539473691</v>
      </c>
      <c r="M211" s="29">
        <v>665.45674539473691</v>
      </c>
      <c r="N211" s="15">
        <v>45809</v>
      </c>
    </row>
    <row r="212" spans="1:14" x14ac:dyDescent="0.25">
      <c r="A212">
        <v>432232</v>
      </c>
      <c r="B212" t="s">
        <v>956</v>
      </c>
      <c r="C212">
        <v>54990</v>
      </c>
      <c r="D212" t="s">
        <v>33</v>
      </c>
      <c r="E212" t="s">
        <v>22</v>
      </c>
      <c r="F212" s="27">
        <v>45833</v>
      </c>
      <c r="G212">
        <v>4</v>
      </c>
      <c r="H212">
        <v>4</v>
      </c>
      <c r="I212" t="s">
        <v>961</v>
      </c>
      <c r="J212" s="27">
        <v>45835</v>
      </c>
      <c r="L212" s="29">
        <v>2079.5523289473686</v>
      </c>
      <c r="M212" s="29">
        <v>8318.2093157894742</v>
      </c>
      <c r="N212" s="15">
        <v>45809</v>
      </c>
    </row>
    <row r="213" spans="1:14" x14ac:dyDescent="0.25">
      <c r="A213">
        <v>430986</v>
      </c>
      <c r="B213" t="s">
        <v>18</v>
      </c>
      <c r="C213">
        <v>17</v>
      </c>
      <c r="D213" t="s">
        <v>43</v>
      </c>
      <c r="E213" t="s">
        <v>19</v>
      </c>
      <c r="F213" s="27">
        <v>45833</v>
      </c>
      <c r="G213">
        <v>8</v>
      </c>
      <c r="H213">
        <v>8</v>
      </c>
      <c r="I213" t="s">
        <v>315</v>
      </c>
      <c r="J213" s="27">
        <v>45832</v>
      </c>
      <c r="L213" s="29">
        <v>415.91046578947368</v>
      </c>
      <c r="M213" s="29">
        <v>3327.2837263157894</v>
      </c>
      <c r="N213" s="15">
        <v>45809</v>
      </c>
    </row>
    <row r="214" spans="1:14" x14ac:dyDescent="0.25">
      <c r="A214">
        <v>431269</v>
      </c>
      <c r="B214" t="s">
        <v>23</v>
      </c>
      <c r="C214">
        <v>52109</v>
      </c>
      <c r="D214" t="s">
        <v>21</v>
      </c>
      <c r="E214" t="s">
        <v>22</v>
      </c>
      <c r="F214" s="27">
        <v>45833</v>
      </c>
      <c r="G214">
        <v>6</v>
      </c>
      <c r="H214">
        <v>6</v>
      </c>
      <c r="I214" t="s">
        <v>321</v>
      </c>
      <c r="J214" s="27">
        <v>45833</v>
      </c>
      <c r="L214" s="29">
        <v>1871.5970960526315</v>
      </c>
      <c r="M214" s="29">
        <v>11229.582576315788</v>
      </c>
      <c r="N214" s="15">
        <v>45809</v>
      </c>
    </row>
    <row r="215" spans="1:14" x14ac:dyDescent="0.25">
      <c r="A215">
        <v>432833</v>
      </c>
      <c r="B215" t="s">
        <v>956</v>
      </c>
      <c r="C215">
        <v>54992</v>
      </c>
      <c r="D215" t="s">
        <v>26</v>
      </c>
      <c r="E215" t="s">
        <v>22</v>
      </c>
      <c r="F215" s="27">
        <v>45833</v>
      </c>
      <c r="G215">
        <v>7</v>
      </c>
      <c r="H215">
        <v>7</v>
      </c>
      <c r="I215" t="s">
        <v>959</v>
      </c>
      <c r="J215" s="27">
        <v>45838</v>
      </c>
      <c r="L215" s="29">
        <v>1081.3672111842104</v>
      </c>
      <c r="M215" s="29">
        <v>7569.5704782894727</v>
      </c>
      <c r="N215" s="15">
        <v>45809</v>
      </c>
    </row>
    <row r="216" spans="1:14" x14ac:dyDescent="0.25">
      <c r="A216">
        <v>434625</v>
      </c>
      <c r="B216" t="s">
        <v>18</v>
      </c>
      <c r="C216">
        <v>29</v>
      </c>
      <c r="D216" t="s">
        <v>37</v>
      </c>
      <c r="E216" t="s">
        <v>19</v>
      </c>
      <c r="F216" s="27">
        <v>45833</v>
      </c>
      <c r="G216">
        <v>142</v>
      </c>
      <c r="H216">
        <v>142</v>
      </c>
      <c r="I216" t="s">
        <v>255</v>
      </c>
      <c r="J216" s="27">
        <v>45840</v>
      </c>
      <c r="L216" s="29">
        <v>499.09255921052636</v>
      </c>
      <c r="M216" s="29">
        <v>70871.14340789475</v>
      </c>
      <c r="N216" s="15">
        <v>45809</v>
      </c>
    </row>
    <row r="217" spans="1:14" x14ac:dyDescent="0.25">
      <c r="A217">
        <v>432853</v>
      </c>
      <c r="B217" t="s">
        <v>24</v>
      </c>
      <c r="C217">
        <v>54433</v>
      </c>
      <c r="D217" t="s">
        <v>25</v>
      </c>
      <c r="E217" t="s">
        <v>22</v>
      </c>
      <c r="F217" s="27">
        <v>45833</v>
      </c>
      <c r="G217">
        <v>2</v>
      </c>
      <c r="H217">
        <v>2</v>
      </c>
      <c r="I217" t="s">
        <v>318</v>
      </c>
      <c r="J217" s="27">
        <v>45838</v>
      </c>
      <c r="L217" s="29">
        <v>1247.7313973684211</v>
      </c>
      <c r="M217" s="29">
        <v>2495.4627947368422</v>
      </c>
      <c r="N217" s="15">
        <v>45809</v>
      </c>
    </row>
    <row r="218" spans="1:14" x14ac:dyDescent="0.25">
      <c r="A218">
        <v>430915</v>
      </c>
      <c r="B218" t="s">
        <v>31</v>
      </c>
      <c r="C218">
        <v>13969</v>
      </c>
      <c r="D218" t="s">
        <v>46</v>
      </c>
      <c r="E218" t="s">
        <v>19</v>
      </c>
      <c r="F218" s="27">
        <v>45832</v>
      </c>
      <c r="G218">
        <v>8</v>
      </c>
      <c r="H218">
        <v>8</v>
      </c>
      <c r="I218" t="s">
        <v>312</v>
      </c>
      <c r="J218" s="27">
        <v>45832</v>
      </c>
      <c r="L218" s="29">
        <v>1247.7313973684211</v>
      </c>
      <c r="M218" s="29">
        <v>9981.8511789473687</v>
      </c>
      <c r="N218" s="15">
        <v>45809</v>
      </c>
    </row>
    <row r="219" spans="1:14" x14ac:dyDescent="0.25">
      <c r="A219">
        <v>432198</v>
      </c>
      <c r="B219" t="s">
        <v>31</v>
      </c>
      <c r="C219">
        <v>13970</v>
      </c>
      <c r="D219" t="s">
        <v>36</v>
      </c>
      <c r="E219" t="s">
        <v>19</v>
      </c>
      <c r="F219" s="27">
        <v>45832</v>
      </c>
      <c r="G219">
        <v>8</v>
      </c>
      <c r="H219">
        <v>8</v>
      </c>
      <c r="I219" t="s">
        <v>308</v>
      </c>
      <c r="J219" s="27">
        <v>45835</v>
      </c>
      <c r="L219" s="29">
        <v>1996.3702361842106</v>
      </c>
      <c r="M219" s="29">
        <v>15970.961889473685</v>
      </c>
      <c r="N219" s="15">
        <v>45809</v>
      </c>
    </row>
    <row r="220" spans="1:14" x14ac:dyDescent="0.25">
      <c r="A220">
        <v>432460</v>
      </c>
      <c r="B220" t="s">
        <v>23</v>
      </c>
      <c r="C220">
        <v>54720</v>
      </c>
      <c r="D220" t="s">
        <v>42</v>
      </c>
      <c r="E220" t="s">
        <v>22</v>
      </c>
      <c r="F220" s="27">
        <v>45832</v>
      </c>
      <c r="G220">
        <v>6</v>
      </c>
      <c r="H220">
        <v>6</v>
      </c>
      <c r="I220">
        <v>2711</v>
      </c>
      <c r="J220" s="27">
        <v>45837</v>
      </c>
      <c r="L220" s="29">
        <v>1418</v>
      </c>
      <c r="M220" s="29">
        <v>8508</v>
      </c>
      <c r="N220" s="15">
        <v>45809</v>
      </c>
    </row>
    <row r="221" spans="1:14" x14ac:dyDescent="0.25">
      <c r="A221">
        <v>432230</v>
      </c>
      <c r="B221" t="s">
        <v>956</v>
      </c>
      <c r="C221">
        <v>54988</v>
      </c>
      <c r="D221" t="s">
        <v>33</v>
      </c>
      <c r="E221" t="s">
        <v>22</v>
      </c>
      <c r="F221" s="27">
        <v>45832</v>
      </c>
      <c r="G221">
        <v>2</v>
      </c>
      <c r="H221">
        <v>2</v>
      </c>
      <c r="I221" t="s">
        <v>964</v>
      </c>
      <c r="J221" s="27">
        <v>45835</v>
      </c>
      <c r="L221" s="29">
        <v>2079.5523289473686</v>
      </c>
      <c r="M221" s="29">
        <v>4159.1046578947371</v>
      </c>
      <c r="N221" s="15">
        <v>45809</v>
      </c>
    </row>
    <row r="222" spans="1:14" x14ac:dyDescent="0.25">
      <c r="A222">
        <v>432231</v>
      </c>
      <c r="B222" t="s">
        <v>956</v>
      </c>
      <c r="C222">
        <v>54989</v>
      </c>
      <c r="D222" t="s">
        <v>33</v>
      </c>
      <c r="E222" t="s">
        <v>22</v>
      </c>
      <c r="F222" s="27">
        <v>45832</v>
      </c>
      <c r="G222">
        <v>6</v>
      </c>
      <c r="H222">
        <v>6</v>
      </c>
      <c r="I222" t="s">
        <v>963</v>
      </c>
      <c r="J222" s="27">
        <v>45835</v>
      </c>
      <c r="L222" s="29">
        <v>2079.5523289473686</v>
      </c>
      <c r="M222" s="29">
        <v>12477.313973684211</v>
      </c>
      <c r="N222" s="15">
        <v>45809</v>
      </c>
    </row>
    <row r="223" spans="1:14" x14ac:dyDescent="0.25">
      <c r="A223">
        <v>432755</v>
      </c>
      <c r="B223" t="s">
        <v>23</v>
      </c>
      <c r="C223">
        <v>54460</v>
      </c>
      <c r="D223" t="s">
        <v>27</v>
      </c>
      <c r="E223" t="s">
        <v>22</v>
      </c>
      <c r="F223" s="27">
        <v>45832</v>
      </c>
      <c r="G223">
        <v>7</v>
      </c>
      <c r="H223">
        <v>7</v>
      </c>
      <c r="I223" t="s">
        <v>322</v>
      </c>
      <c r="J223" s="27">
        <v>45838</v>
      </c>
      <c r="L223" s="29">
        <v>665.45674539473691</v>
      </c>
      <c r="M223" s="29">
        <v>4658.1972177631587</v>
      </c>
      <c r="N223" s="15">
        <v>45809</v>
      </c>
    </row>
    <row r="224" spans="1:14" x14ac:dyDescent="0.25">
      <c r="A224">
        <v>432516</v>
      </c>
      <c r="B224" t="s">
        <v>23</v>
      </c>
      <c r="C224">
        <v>54460</v>
      </c>
      <c r="D224" t="s">
        <v>21</v>
      </c>
      <c r="E224" t="s">
        <v>22</v>
      </c>
      <c r="F224" s="27">
        <v>45832</v>
      </c>
      <c r="G224">
        <v>5</v>
      </c>
      <c r="H224">
        <v>5</v>
      </c>
      <c r="I224" t="s">
        <v>323</v>
      </c>
      <c r="J224" s="27">
        <v>45838</v>
      </c>
      <c r="L224" s="29">
        <v>1871.5970960526315</v>
      </c>
      <c r="M224" s="29">
        <v>9357.985480263158</v>
      </c>
      <c r="N224" s="15">
        <v>45809</v>
      </c>
    </row>
    <row r="225" spans="1:14" x14ac:dyDescent="0.25">
      <c r="A225">
        <v>430985</v>
      </c>
      <c r="B225" t="s">
        <v>18</v>
      </c>
      <c r="C225">
        <v>17</v>
      </c>
      <c r="D225" t="s">
        <v>43</v>
      </c>
      <c r="E225" t="s">
        <v>19</v>
      </c>
      <c r="F225" s="27">
        <v>45832</v>
      </c>
      <c r="G225">
        <v>8</v>
      </c>
      <c r="H225">
        <v>8</v>
      </c>
      <c r="I225" t="s">
        <v>315</v>
      </c>
      <c r="J225" s="27">
        <v>45832</v>
      </c>
      <c r="L225" s="29">
        <v>415.91046578947368</v>
      </c>
      <c r="M225" s="29">
        <v>3327.2837263157894</v>
      </c>
      <c r="N225" s="15">
        <v>45809</v>
      </c>
    </row>
    <row r="226" spans="1:14" x14ac:dyDescent="0.25">
      <c r="A226">
        <v>431003</v>
      </c>
      <c r="B226" t="s">
        <v>24</v>
      </c>
      <c r="C226">
        <v>54431</v>
      </c>
      <c r="D226" t="s">
        <v>25</v>
      </c>
      <c r="E226" t="s">
        <v>22</v>
      </c>
      <c r="F226" s="27">
        <v>45832</v>
      </c>
      <c r="G226">
        <v>1.5</v>
      </c>
      <c r="H226">
        <v>1.5</v>
      </c>
      <c r="I226" t="s">
        <v>327</v>
      </c>
      <c r="J226" s="27">
        <v>45832</v>
      </c>
      <c r="L226" s="29">
        <v>1247.7313973684211</v>
      </c>
      <c r="M226" s="29">
        <v>1871.5970960526315</v>
      </c>
      <c r="N226" s="15">
        <v>45809</v>
      </c>
    </row>
    <row r="227" spans="1:14" x14ac:dyDescent="0.25">
      <c r="A227">
        <v>431004</v>
      </c>
      <c r="B227" t="s">
        <v>24</v>
      </c>
      <c r="C227">
        <v>54433</v>
      </c>
      <c r="D227" t="s">
        <v>25</v>
      </c>
      <c r="E227" t="s">
        <v>22</v>
      </c>
      <c r="F227" s="27">
        <v>45832</v>
      </c>
      <c r="G227">
        <v>14</v>
      </c>
      <c r="H227">
        <v>14</v>
      </c>
      <c r="I227" t="s">
        <v>326</v>
      </c>
      <c r="J227" s="27">
        <v>45832</v>
      </c>
      <c r="L227" s="29">
        <v>1247.7313973684211</v>
      </c>
      <c r="M227" s="29">
        <v>17468.239563157895</v>
      </c>
      <c r="N227" s="15">
        <v>45809</v>
      </c>
    </row>
    <row r="228" spans="1:14" x14ac:dyDescent="0.25">
      <c r="A228">
        <v>431005</v>
      </c>
      <c r="B228" t="s">
        <v>24</v>
      </c>
      <c r="C228">
        <v>54430</v>
      </c>
      <c r="D228" t="s">
        <v>25</v>
      </c>
      <c r="E228" t="s">
        <v>22</v>
      </c>
      <c r="F228" s="27">
        <v>45832</v>
      </c>
      <c r="G228">
        <v>0.5</v>
      </c>
      <c r="H228">
        <v>0.5</v>
      </c>
      <c r="I228" t="s">
        <v>325</v>
      </c>
      <c r="J228" s="27">
        <v>45832</v>
      </c>
      <c r="L228" s="29">
        <v>1247.7313973684211</v>
      </c>
      <c r="M228" s="29">
        <v>623.86569868421054</v>
      </c>
      <c r="N228" s="15">
        <v>45809</v>
      </c>
    </row>
    <row r="229" spans="1:14" x14ac:dyDescent="0.25">
      <c r="A229">
        <v>432834</v>
      </c>
      <c r="B229" t="s">
        <v>956</v>
      </c>
      <c r="C229">
        <v>54978</v>
      </c>
      <c r="D229" t="s">
        <v>26</v>
      </c>
      <c r="E229" t="s">
        <v>22</v>
      </c>
      <c r="F229" s="27">
        <v>45832</v>
      </c>
      <c r="G229">
        <v>6</v>
      </c>
      <c r="H229">
        <v>6</v>
      </c>
      <c r="I229" t="s">
        <v>962</v>
      </c>
      <c r="J229" s="27">
        <v>45838</v>
      </c>
      <c r="L229" s="29">
        <v>1081.3672111842104</v>
      </c>
      <c r="M229" s="29">
        <v>6488.2032671052621</v>
      </c>
      <c r="N229" s="15">
        <v>45809</v>
      </c>
    </row>
    <row r="230" spans="1:14" x14ac:dyDescent="0.25">
      <c r="A230">
        <v>431056</v>
      </c>
      <c r="B230" t="s">
        <v>20</v>
      </c>
      <c r="C230">
        <v>45135</v>
      </c>
      <c r="D230" t="s">
        <v>21</v>
      </c>
      <c r="E230" t="s">
        <v>22</v>
      </c>
      <c r="F230" s="27">
        <v>45832</v>
      </c>
      <c r="G230">
        <v>62</v>
      </c>
      <c r="H230">
        <v>62</v>
      </c>
      <c r="I230" t="s">
        <v>324</v>
      </c>
      <c r="J230" s="27">
        <v>45833</v>
      </c>
      <c r="L230" s="29">
        <v>1871.5970960526315</v>
      </c>
      <c r="M230" s="29">
        <v>116039.01995526315</v>
      </c>
      <c r="N230" s="15">
        <v>45809</v>
      </c>
    </row>
    <row r="231" spans="1:14" x14ac:dyDescent="0.25">
      <c r="A231">
        <v>430592</v>
      </c>
      <c r="B231" t="s">
        <v>23</v>
      </c>
      <c r="C231">
        <v>52109</v>
      </c>
      <c r="D231" t="s">
        <v>25</v>
      </c>
      <c r="E231" t="s">
        <v>22</v>
      </c>
      <c r="F231" s="27">
        <v>45831</v>
      </c>
      <c r="G231">
        <v>1</v>
      </c>
      <c r="H231">
        <v>1</v>
      </c>
      <c r="I231" t="s">
        <v>332</v>
      </c>
      <c r="J231" s="27">
        <v>45832</v>
      </c>
      <c r="L231" s="29">
        <v>1247.7313973684211</v>
      </c>
      <c r="M231" s="29">
        <v>1247.7313973684211</v>
      </c>
      <c r="N231" s="15">
        <v>45809</v>
      </c>
    </row>
    <row r="232" spans="1:14" x14ac:dyDescent="0.25">
      <c r="A232">
        <v>432663</v>
      </c>
      <c r="B232" t="s">
        <v>28</v>
      </c>
      <c r="C232">
        <v>55525</v>
      </c>
      <c r="D232" t="s">
        <v>44</v>
      </c>
      <c r="E232" t="s">
        <v>22</v>
      </c>
      <c r="F232" s="27">
        <v>45831</v>
      </c>
      <c r="G232">
        <v>2</v>
      </c>
      <c r="H232">
        <v>2</v>
      </c>
      <c r="I232" t="s">
        <v>329</v>
      </c>
      <c r="J232" s="27">
        <v>45838</v>
      </c>
      <c r="L232" s="29">
        <v>2329.0986085526315</v>
      </c>
      <c r="M232" s="29">
        <v>4658.197217105263</v>
      </c>
      <c r="N232" s="15">
        <v>45809</v>
      </c>
    </row>
    <row r="233" spans="1:14" x14ac:dyDescent="0.25">
      <c r="A233">
        <v>430648</v>
      </c>
      <c r="B233" t="s">
        <v>31</v>
      </c>
      <c r="C233">
        <v>13969</v>
      </c>
      <c r="D233" t="s">
        <v>46</v>
      </c>
      <c r="E233" t="s">
        <v>19</v>
      </c>
      <c r="F233" s="27">
        <v>45831</v>
      </c>
      <c r="G233">
        <v>0.5</v>
      </c>
      <c r="H233">
        <v>0.5</v>
      </c>
      <c r="I233" t="s">
        <v>331</v>
      </c>
      <c r="J233" s="27">
        <v>45832</v>
      </c>
      <c r="L233" s="29">
        <v>1247.7313973684211</v>
      </c>
      <c r="M233" s="29">
        <v>623.86569868421054</v>
      </c>
      <c r="N233" s="15">
        <v>45809</v>
      </c>
    </row>
    <row r="234" spans="1:14" x14ac:dyDescent="0.25">
      <c r="A234">
        <v>430649</v>
      </c>
      <c r="B234" t="s">
        <v>31</v>
      </c>
      <c r="C234">
        <v>13969</v>
      </c>
      <c r="D234" t="s">
        <v>46</v>
      </c>
      <c r="E234" t="s">
        <v>19</v>
      </c>
      <c r="F234" s="27">
        <v>45831</v>
      </c>
      <c r="G234">
        <v>9</v>
      </c>
      <c r="H234">
        <v>9</v>
      </c>
      <c r="I234" t="s">
        <v>312</v>
      </c>
      <c r="J234" s="27">
        <v>45832</v>
      </c>
      <c r="L234" s="29">
        <v>1247.7313973684211</v>
      </c>
      <c r="M234" s="29">
        <v>11229.58257631579</v>
      </c>
      <c r="N234" s="15">
        <v>45809</v>
      </c>
    </row>
    <row r="235" spans="1:14" x14ac:dyDescent="0.25">
      <c r="A235">
        <v>430405</v>
      </c>
      <c r="B235" t="s">
        <v>28</v>
      </c>
      <c r="C235">
        <v>52506</v>
      </c>
      <c r="D235" t="s">
        <v>27</v>
      </c>
      <c r="E235" t="s">
        <v>22</v>
      </c>
      <c r="F235" s="27">
        <v>45831</v>
      </c>
      <c r="G235">
        <v>1.5</v>
      </c>
      <c r="H235">
        <v>1.5</v>
      </c>
      <c r="I235" t="s">
        <v>1007</v>
      </c>
      <c r="J235" s="27">
        <v>45831</v>
      </c>
      <c r="L235" s="29">
        <v>665.45674539473691</v>
      </c>
      <c r="M235" s="29">
        <v>998.18511809210531</v>
      </c>
      <c r="N235" s="15">
        <v>45809</v>
      </c>
    </row>
    <row r="236" spans="1:14" x14ac:dyDescent="0.25">
      <c r="A236">
        <v>432197</v>
      </c>
      <c r="B236" t="s">
        <v>31</v>
      </c>
      <c r="C236">
        <v>13970</v>
      </c>
      <c r="D236" t="s">
        <v>36</v>
      </c>
      <c r="E236" t="s">
        <v>19</v>
      </c>
      <c r="F236" s="27">
        <v>45831</v>
      </c>
      <c r="G236">
        <v>8</v>
      </c>
      <c r="H236">
        <v>8</v>
      </c>
      <c r="I236" t="s">
        <v>308</v>
      </c>
      <c r="J236" s="27">
        <v>45835</v>
      </c>
      <c r="L236" s="29">
        <v>1996.3702361842106</v>
      </c>
      <c r="M236" s="29">
        <v>15970.961889473685</v>
      </c>
      <c r="N236" s="15">
        <v>45809</v>
      </c>
    </row>
    <row r="237" spans="1:14" x14ac:dyDescent="0.25">
      <c r="A237">
        <v>430406</v>
      </c>
      <c r="B237" t="s">
        <v>28</v>
      </c>
      <c r="C237">
        <v>51263</v>
      </c>
      <c r="D237" t="s">
        <v>27</v>
      </c>
      <c r="E237" t="s">
        <v>22</v>
      </c>
      <c r="F237" s="27">
        <v>45831</v>
      </c>
      <c r="G237">
        <v>1</v>
      </c>
      <c r="H237">
        <v>1</v>
      </c>
      <c r="I237" t="s">
        <v>1008</v>
      </c>
      <c r="J237" s="27">
        <v>45831</v>
      </c>
      <c r="L237" s="29">
        <v>665.45674539473691</v>
      </c>
      <c r="M237" s="29">
        <v>665.45674539473691</v>
      </c>
      <c r="N237" s="15">
        <v>45809</v>
      </c>
    </row>
    <row r="238" spans="1:14" x14ac:dyDescent="0.25">
      <c r="A238">
        <v>430408</v>
      </c>
      <c r="B238" t="s">
        <v>23</v>
      </c>
      <c r="C238">
        <v>54460</v>
      </c>
      <c r="D238" t="s">
        <v>27</v>
      </c>
      <c r="E238" t="s">
        <v>22</v>
      </c>
      <c r="F238" s="27">
        <v>45831</v>
      </c>
      <c r="G238">
        <v>5</v>
      </c>
      <c r="H238">
        <v>5</v>
      </c>
      <c r="I238" t="s">
        <v>335</v>
      </c>
      <c r="J238" s="27">
        <v>45831</v>
      </c>
      <c r="L238" s="29">
        <v>665.45674539473691</v>
      </c>
      <c r="M238" s="29">
        <v>3327.2837269736847</v>
      </c>
      <c r="N238" s="15">
        <v>45809</v>
      </c>
    </row>
    <row r="239" spans="1:14" x14ac:dyDescent="0.25">
      <c r="A239">
        <v>434514</v>
      </c>
      <c r="B239" t="s">
        <v>23</v>
      </c>
      <c r="C239">
        <v>54720</v>
      </c>
      <c r="D239" t="s">
        <v>43</v>
      </c>
      <c r="E239" t="s">
        <v>22</v>
      </c>
      <c r="F239" s="27">
        <v>45831</v>
      </c>
      <c r="G239">
        <v>40</v>
      </c>
      <c r="H239">
        <v>40</v>
      </c>
      <c r="I239" t="s">
        <v>328</v>
      </c>
      <c r="J239" s="27">
        <v>45840</v>
      </c>
      <c r="L239" s="29">
        <v>415.91046578947368</v>
      </c>
      <c r="M239" s="29">
        <v>16636.418631578948</v>
      </c>
      <c r="N239" s="15">
        <v>45809</v>
      </c>
    </row>
    <row r="240" spans="1:14" x14ac:dyDescent="0.25">
      <c r="A240">
        <v>432515</v>
      </c>
      <c r="B240" t="s">
        <v>23</v>
      </c>
      <c r="C240">
        <v>54460</v>
      </c>
      <c r="D240" t="s">
        <v>21</v>
      </c>
      <c r="E240" t="s">
        <v>22</v>
      </c>
      <c r="F240" s="27">
        <v>45831</v>
      </c>
      <c r="G240">
        <v>7.5</v>
      </c>
      <c r="H240">
        <v>7.5</v>
      </c>
      <c r="I240" t="s">
        <v>330</v>
      </c>
      <c r="J240" s="27">
        <v>45838</v>
      </c>
      <c r="L240" s="29">
        <v>1871.5970960526315</v>
      </c>
      <c r="M240" s="29">
        <v>14036.978220394736</v>
      </c>
      <c r="N240" s="15">
        <v>45809</v>
      </c>
    </row>
    <row r="241" spans="1:14" x14ac:dyDescent="0.25">
      <c r="A241">
        <v>430984</v>
      </c>
      <c r="B241" t="s">
        <v>18</v>
      </c>
      <c r="C241">
        <v>17</v>
      </c>
      <c r="D241" t="s">
        <v>43</v>
      </c>
      <c r="E241" t="s">
        <v>19</v>
      </c>
      <c r="F241" s="27">
        <v>45831</v>
      </c>
      <c r="G241">
        <v>8</v>
      </c>
      <c r="H241">
        <v>8</v>
      </c>
      <c r="I241" t="s">
        <v>315</v>
      </c>
      <c r="J241" s="27">
        <v>45832</v>
      </c>
      <c r="L241" s="29">
        <v>415.91046578947368</v>
      </c>
      <c r="M241" s="29">
        <v>3327.2837263157894</v>
      </c>
      <c r="N241" s="15">
        <v>45809</v>
      </c>
    </row>
    <row r="242" spans="1:14" x14ac:dyDescent="0.25">
      <c r="A242">
        <v>430488</v>
      </c>
      <c r="B242" t="s">
        <v>956</v>
      </c>
      <c r="C242">
        <v>54978</v>
      </c>
      <c r="D242" t="s">
        <v>26</v>
      </c>
      <c r="E242" t="s">
        <v>22</v>
      </c>
      <c r="F242" s="27">
        <v>45831</v>
      </c>
      <c r="G242">
        <v>3</v>
      </c>
      <c r="H242">
        <v>3</v>
      </c>
      <c r="I242" t="s">
        <v>962</v>
      </c>
      <c r="J242" s="27">
        <v>45832</v>
      </c>
      <c r="L242" s="29">
        <v>1081.3672111842104</v>
      </c>
      <c r="M242" s="29">
        <v>3244.101633552631</v>
      </c>
      <c r="N242" s="15">
        <v>45809</v>
      </c>
    </row>
    <row r="243" spans="1:14" x14ac:dyDescent="0.25">
      <c r="A243">
        <v>430491</v>
      </c>
      <c r="B243" t="s">
        <v>956</v>
      </c>
      <c r="C243">
        <v>54978</v>
      </c>
      <c r="D243" t="s">
        <v>26</v>
      </c>
      <c r="E243" t="s">
        <v>22</v>
      </c>
      <c r="F243" s="27">
        <v>45831</v>
      </c>
      <c r="G243">
        <v>54</v>
      </c>
      <c r="H243">
        <v>54</v>
      </c>
      <c r="I243" t="s">
        <v>965</v>
      </c>
      <c r="J243" s="27">
        <v>45832</v>
      </c>
      <c r="L243" s="29">
        <v>1081.3672111842104</v>
      </c>
      <c r="M243" s="29">
        <v>58393.829403947362</v>
      </c>
      <c r="N243" s="15">
        <v>45809</v>
      </c>
    </row>
    <row r="244" spans="1:14" x14ac:dyDescent="0.25">
      <c r="A244">
        <v>432843</v>
      </c>
      <c r="B244" t="s">
        <v>24</v>
      </c>
      <c r="C244">
        <v>54433</v>
      </c>
      <c r="D244" t="s">
        <v>25</v>
      </c>
      <c r="E244" t="s">
        <v>22</v>
      </c>
      <c r="F244" s="27">
        <v>45831</v>
      </c>
      <c r="G244">
        <v>3</v>
      </c>
      <c r="H244">
        <v>3</v>
      </c>
      <c r="I244" t="s">
        <v>297</v>
      </c>
      <c r="J244" s="27">
        <v>45838</v>
      </c>
      <c r="L244" s="29">
        <v>1247.7313973684211</v>
      </c>
      <c r="M244" s="29">
        <v>3743.194192105263</v>
      </c>
      <c r="N244" s="15">
        <v>45809</v>
      </c>
    </row>
    <row r="245" spans="1:14" x14ac:dyDescent="0.25">
      <c r="A245">
        <v>430572</v>
      </c>
      <c r="B245" t="s">
        <v>956</v>
      </c>
      <c r="C245">
        <v>54987</v>
      </c>
      <c r="D245" t="s">
        <v>33</v>
      </c>
      <c r="E245" t="s">
        <v>22</v>
      </c>
      <c r="F245" s="27">
        <v>45831</v>
      </c>
      <c r="G245">
        <v>2</v>
      </c>
      <c r="H245">
        <v>2</v>
      </c>
      <c r="I245" t="s">
        <v>966</v>
      </c>
      <c r="J245" s="27">
        <v>45832</v>
      </c>
      <c r="L245" s="29">
        <v>2079.5523289473686</v>
      </c>
      <c r="M245" s="29">
        <v>4159.1046578947371</v>
      </c>
      <c r="N245" s="15">
        <v>45809</v>
      </c>
    </row>
    <row r="246" spans="1:14" x14ac:dyDescent="0.25">
      <c r="A246">
        <v>430573</v>
      </c>
      <c r="B246" t="s">
        <v>956</v>
      </c>
      <c r="C246">
        <v>54988</v>
      </c>
      <c r="D246" t="s">
        <v>33</v>
      </c>
      <c r="E246" t="s">
        <v>22</v>
      </c>
      <c r="F246" s="27">
        <v>45831</v>
      </c>
      <c r="G246">
        <v>6</v>
      </c>
      <c r="H246">
        <v>6</v>
      </c>
      <c r="I246" t="s">
        <v>967</v>
      </c>
      <c r="J246" s="27">
        <v>45832</v>
      </c>
      <c r="L246" s="29">
        <v>2079.5523289473686</v>
      </c>
      <c r="M246" s="29">
        <v>12477.313973684211</v>
      </c>
      <c r="N246" s="15">
        <v>45809</v>
      </c>
    </row>
    <row r="247" spans="1:14" x14ac:dyDescent="0.25">
      <c r="A247">
        <v>430590</v>
      </c>
      <c r="B247" t="s">
        <v>24</v>
      </c>
      <c r="C247">
        <v>54431</v>
      </c>
      <c r="D247" t="s">
        <v>25</v>
      </c>
      <c r="E247" t="s">
        <v>22</v>
      </c>
      <c r="F247" s="27">
        <v>45831</v>
      </c>
      <c r="G247">
        <v>1.5</v>
      </c>
      <c r="H247">
        <v>1.5</v>
      </c>
      <c r="I247" t="s">
        <v>334</v>
      </c>
      <c r="J247" s="27">
        <v>45832</v>
      </c>
      <c r="L247" s="29">
        <v>1247.7313973684211</v>
      </c>
      <c r="M247" s="29">
        <v>1871.5970960526315</v>
      </c>
      <c r="N247" s="15">
        <v>45809</v>
      </c>
    </row>
    <row r="248" spans="1:14" x14ac:dyDescent="0.25">
      <c r="A248">
        <v>430591</v>
      </c>
      <c r="B248" t="s">
        <v>24</v>
      </c>
      <c r="C248">
        <v>54435</v>
      </c>
      <c r="D248" t="s">
        <v>25</v>
      </c>
      <c r="E248" t="s">
        <v>22</v>
      </c>
      <c r="F248" s="27">
        <v>45831</v>
      </c>
      <c r="G248">
        <v>2</v>
      </c>
      <c r="H248">
        <v>2</v>
      </c>
      <c r="I248" t="s">
        <v>333</v>
      </c>
      <c r="J248" s="27">
        <v>45832</v>
      </c>
      <c r="L248" s="29">
        <v>1247.7313973684211</v>
      </c>
      <c r="M248" s="29">
        <v>2495.4627947368422</v>
      </c>
      <c r="N248" s="15">
        <v>45809</v>
      </c>
    </row>
    <row r="249" spans="1:14" x14ac:dyDescent="0.25">
      <c r="A249">
        <v>430647</v>
      </c>
      <c r="B249" t="s">
        <v>31</v>
      </c>
      <c r="C249">
        <v>13969</v>
      </c>
      <c r="D249" t="s">
        <v>46</v>
      </c>
      <c r="E249" t="s">
        <v>19</v>
      </c>
      <c r="F249" s="27">
        <v>45830</v>
      </c>
      <c r="G249">
        <v>3</v>
      </c>
      <c r="H249">
        <v>3</v>
      </c>
      <c r="I249" t="s">
        <v>312</v>
      </c>
      <c r="J249" s="27">
        <v>45832</v>
      </c>
      <c r="L249" s="29">
        <v>1247.7313973684211</v>
      </c>
      <c r="M249" s="29">
        <v>3743.194192105263</v>
      </c>
      <c r="N249" s="15">
        <v>45809</v>
      </c>
    </row>
    <row r="250" spans="1:14" x14ac:dyDescent="0.25">
      <c r="A250">
        <v>432459</v>
      </c>
      <c r="B250" t="s">
        <v>23</v>
      </c>
      <c r="C250">
        <v>54720</v>
      </c>
      <c r="D250" t="s">
        <v>42</v>
      </c>
      <c r="E250" t="s">
        <v>22</v>
      </c>
      <c r="F250" s="27">
        <v>45830</v>
      </c>
      <c r="G250">
        <v>5</v>
      </c>
      <c r="H250">
        <v>5</v>
      </c>
      <c r="I250">
        <v>2711</v>
      </c>
      <c r="J250" s="27">
        <v>45837</v>
      </c>
      <c r="L250" s="29">
        <v>1418</v>
      </c>
      <c r="M250" s="29">
        <v>7090</v>
      </c>
      <c r="N250" s="15">
        <v>45809</v>
      </c>
    </row>
    <row r="251" spans="1:14" x14ac:dyDescent="0.25">
      <c r="A251">
        <v>434610</v>
      </c>
      <c r="B251" t="s">
        <v>18</v>
      </c>
      <c r="C251">
        <v>29</v>
      </c>
      <c r="D251" t="s">
        <v>41</v>
      </c>
      <c r="E251" t="s">
        <v>19</v>
      </c>
      <c r="F251" s="27">
        <v>45830</v>
      </c>
      <c r="G251">
        <v>6</v>
      </c>
      <c r="H251">
        <v>6</v>
      </c>
      <c r="I251" t="s">
        <v>255</v>
      </c>
      <c r="J251" s="27">
        <v>45840</v>
      </c>
      <c r="L251" s="29">
        <v>1663.6418631578947</v>
      </c>
      <c r="M251" s="29">
        <v>9981.8511789473687</v>
      </c>
      <c r="N251" s="15">
        <v>45809</v>
      </c>
    </row>
    <row r="252" spans="1:14" x14ac:dyDescent="0.25">
      <c r="A252">
        <v>430644</v>
      </c>
      <c r="B252" t="s">
        <v>31</v>
      </c>
      <c r="C252">
        <v>13969</v>
      </c>
      <c r="D252" t="s">
        <v>46</v>
      </c>
      <c r="E252" t="s">
        <v>19</v>
      </c>
      <c r="F252" s="27">
        <v>45829</v>
      </c>
      <c r="G252">
        <v>10</v>
      </c>
      <c r="H252">
        <v>10</v>
      </c>
      <c r="I252" t="s">
        <v>312</v>
      </c>
      <c r="J252" s="27">
        <v>45832</v>
      </c>
      <c r="L252" s="29">
        <v>1247.7313973684211</v>
      </c>
      <c r="M252" s="29">
        <v>12477.313973684211</v>
      </c>
      <c r="N252" s="15">
        <v>45809</v>
      </c>
    </row>
    <row r="253" spans="1:14" x14ac:dyDescent="0.25">
      <c r="A253">
        <v>434524</v>
      </c>
      <c r="B253" t="s">
        <v>28</v>
      </c>
      <c r="C253">
        <v>52108</v>
      </c>
      <c r="D253" t="s">
        <v>32</v>
      </c>
      <c r="E253" t="s">
        <v>22</v>
      </c>
      <c r="F253" s="27">
        <v>45829</v>
      </c>
      <c r="G253">
        <v>8</v>
      </c>
      <c r="H253">
        <v>8</v>
      </c>
      <c r="I253" t="s">
        <v>336</v>
      </c>
      <c r="J253" s="27">
        <v>45840</v>
      </c>
      <c r="L253" s="29">
        <v>2495.4627947368422</v>
      </c>
      <c r="M253" s="29">
        <v>19963.702357894737</v>
      </c>
      <c r="N253" s="15">
        <v>45809</v>
      </c>
    </row>
    <row r="254" spans="1:14" x14ac:dyDescent="0.25">
      <c r="A254">
        <v>432673</v>
      </c>
      <c r="B254" t="s">
        <v>23</v>
      </c>
      <c r="C254">
        <v>54460</v>
      </c>
      <c r="D254" t="s">
        <v>27</v>
      </c>
      <c r="E254" t="s">
        <v>22</v>
      </c>
      <c r="F254" s="27">
        <v>45828</v>
      </c>
      <c r="G254">
        <v>2</v>
      </c>
      <c r="H254">
        <v>2</v>
      </c>
      <c r="I254" t="s">
        <v>1027</v>
      </c>
      <c r="J254" s="27">
        <v>45838</v>
      </c>
      <c r="L254" s="29">
        <v>665.45674539473691</v>
      </c>
      <c r="M254" s="29">
        <v>1330.9134907894738</v>
      </c>
      <c r="N254" s="15">
        <v>45809</v>
      </c>
    </row>
    <row r="255" spans="1:14" x14ac:dyDescent="0.25">
      <c r="A255">
        <v>432683</v>
      </c>
      <c r="B255" t="s">
        <v>28</v>
      </c>
      <c r="C255">
        <v>51263</v>
      </c>
      <c r="D255" t="s">
        <v>27</v>
      </c>
      <c r="E255" t="s">
        <v>22</v>
      </c>
      <c r="F255" s="27">
        <v>45828</v>
      </c>
      <c r="G255">
        <v>3</v>
      </c>
      <c r="H255">
        <v>3</v>
      </c>
      <c r="I255" t="s">
        <v>339</v>
      </c>
      <c r="J255" s="27">
        <v>45838</v>
      </c>
      <c r="L255" s="29">
        <v>665.45674539473691</v>
      </c>
      <c r="M255" s="29">
        <v>1996.3702361842106</v>
      </c>
      <c r="N255" s="15">
        <v>45809</v>
      </c>
    </row>
    <row r="256" spans="1:14" x14ac:dyDescent="0.25">
      <c r="A256">
        <v>430642</v>
      </c>
      <c r="B256" t="s">
        <v>31</v>
      </c>
      <c r="C256">
        <v>13969</v>
      </c>
      <c r="D256" t="s">
        <v>46</v>
      </c>
      <c r="E256" t="s">
        <v>19</v>
      </c>
      <c r="F256" s="27">
        <v>45828</v>
      </c>
      <c r="G256">
        <v>1.5</v>
      </c>
      <c r="H256">
        <v>1.5</v>
      </c>
      <c r="I256" t="s">
        <v>1028</v>
      </c>
      <c r="J256" s="27">
        <v>45832</v>
      </c>
      <c r="L256" s="29">
        <v>1247.7313973684211</v>
      </c>
      <c r="M256" s="29">
        <v>1871.5970960526315</v>
      </c>
      <c r="N256" s="15">
        <v>45809</v>
      </c>
    </row>
    <row r="257" spans="1:14" x14ac:dyDescent="0.25">
      <c r="A257">
        <v>430645</v>
      </c>
      <c r="B257" t="s">
        <v>31</v>
      </c>
      <c r="C257">
        <v>13969</v>
      </c>
      <c r="D257" t="s">
        <v>46</v>
      </c>
      <c r="E257" t="s">
        <v>19</v>
      </c>
      <c r="F257" s="27">
        <v>45828</v>
      </c>
      <c r="G257">
        <v>6.5</v>
      </c>
      <c r="H257">
        <v>6.5</v>
      </c>
      <c r="I257" t="s">
        <v>312</v>
      </c>
      <c r="J257" s="27">
        <v>45832</v>
      </c>
      <c r="L257" s="29">
        <v>1247.7313973684211</v>
      </c>
      <c r="M257" s="29">
        <v>8110.2540828947367</v>
      </c>
      <c r="N257" s="15">
        <v>45809</v>
      </c>
    </row>
    <row r="258" spans="1:14" x14ac:dyDescent="0.25">
      <c r="A258">
        <v>432439</v>
      </c>
      <c r="B258" t="s">
        <v>31</v>
      </c>
      <c r="C258">
        <v>13969</v>
      </c>
      <c r="D258" t="s">
        <v>42</v>
      </c>
      <c r="E258" t="s">
        <v>19</v>
      </c>
      <c r="F258" s="27">
        <v>45828</v>
      </c>
      <c r="G258">
        <v>0.5</v>
      </c>
      <c r="H258">
        <v>0.5</v>
      </c>
      <c r="I258" t="s">
        <v>295</v>
      </c>
      <c r="J258" s="27">
        <v>45837</v>
      </c>
      <c r="L258" s="29">
        <v>1418</v>
      </c>
      <c r="M258" s="29">
        <v>709</v>
      </c>
      <c r="N258" s="15">
        <v>45809</v>
      </c>
    </row>
    <row r="259" spans="1:14" x14ac:dyDescent="0.25">
      <c r="A259">
        <v>432442</v>
      </c>
      <c r="B259" t="s">
        <v>31</v>
      </c>
      <c r="C259">
        <v>13969</v>
      </c>
      <c r="D259" t="s">
        <v>42</v>
      </c>
      <c r="E259" t="s">
        <v>19</v>
      </c>
      <c r="F259" s="27">
        <v>45828</v>
      </c>
      <c r="G259">
        <v>0.5</v>
      </c>
      <c r="H259">
        <v>0.5</v>
      </c>
      <c r="I259" t="s">
        <v>341</v>
      </c>
      <c r="J259" s="27">
        <v>45837</v>
      </c>
      <c r="L259" s="29">
        <v>1418</v>
      </c>
      <c r="M259" s="29">
        <v>709</v>
      </c>
      <c r="N259" s="15">
        <v>45809</v>
      </c>
    </row>
    <row r="260" spans="1:14" x14ac:dyDescent="0.25">
      <c r="A260">
        <v>434523</v>
      </c>
      <c r="B260" t="s">
        <v>18</v>
      </c>
      <c r="C260">
        <v>29</v>
      </c>
      <c r="D260" t="s">
        <v>32</v>
      </c>
      <c r="E260" t="s">
        <v>19</v>
      </c>
      <c r="F260" s="27">
        <v>45828</v>
      </c>
      <c r="G260">
        <v>8.5</v>
      </c>
      <c r="H260">
        <v>8.5</v>
      </c>
      <c r="I260" t="s">
        <v>255</v>
      </c>
      <c r="J260" s="27">
        <v>45840</v>
      </c>
      <c r="L260" s="29">
        <v>2495.4627947368422</v>
      </c>
      <c r="M260" s="29">
        <v>21211.433755263159</v>
      </c>
      <c r="N260" s="15">
        <v>45809</v>
      </c>
    </row>
    <row r="261" spans="1:14" x14ac:dyDescent="0.25">
      <c r="A261">
        <v>432514</v>
      </c>
      <c r="B261" t="s">
        <v>23</v>
      </c>
      <c r="C261">
        <v>54722</v>
      </c>
      <c r="D261" t="s">
        <v>21</v>
      </c>
      <c r="E261" t="s">
        <v>22</v>
      </c>
      <c r="F261" s="27">
        <v>45828</v>
      </c>
      <c r="G261">
        <v>7</v>
      </c>
      <c r="H261">
        <v>7</v>
      </c>
      <c r="I261" t="s">
        <v>340</v>
      </c>
      <c r="J261" s="27">
        <v>45838</v>
      </c>
      <c r="L261" s="29">
        <v>1871.5970960526315</v>
      </c>
      <c r="M261" s="29">
        <v>13101.17967236842</v>
      </c>
      <c r="N261" s="15">
        <v>45809</v>
      </c>
    </row>
    <row r="262" spans="1:14" x14ac:dyDescent="0.25">
      <c r="A262">
        <v>430483</v>
      </c>
      <c r="B262" t="s">
        <v>956</v>
      </c>
      <c r="C262">
        <v>54975</v>
      </c>
      <c r="D262" t="s">
        <v>26</v>
      </c>
      <c r="E262" t="s">
        <v>22</v>
      </c>
      <c r="F262" s="27">
        <v>45828</v>
      </c>
      <c r="G262">
        <v>7</v>
      </c>
      <c r="H262">
        <v>7</v>
      </c>
      <c r="I262" t="s">
        <v>968</v>
      </c>
      <c r="J262" s="27">
        <v>45832</v>
      </c>
      <c r="L262" s="29">
        <v>1081.3672111842104</v>
      </c>
      <c r="M262" s="29">
        <v>7569.5704782894727</v>
      </c>
      <c r="N262" s="15">
        <v>45809</v>
      </c>
    </row>
    <row r="263" spans="1:14" x14ac:dyDescent="0.25">
      <c r="A263">
        <v>438676</v>
      </c>
      <c r="B263" t="s">
        <v>954</v>
      </c>
      <c r="C263">
        <v>54423</v>
      </c>
      <c r="D263" t="s">
        <v>41</v>
      </c>
      <c r="E263" t="s">
        <v>22</v>
      </c>
      <c r="F263" s="27">
        <v>45828</v>
      </c>
      <c r="G263">
        <v>8</v>
      </c>
      <c r="H263">
        <v>8</v>
      </c>
      <c r="I263" t="s">
        <v>255</v>
      </c>
      <c r="J263" s="27">
        <v>45852</v>
      </c>
      <c r="L263" s="29">
        <v>1663.6418631578947</v>
      </c>
      <c r="M263" s="29">
        <v>13309.134905263158</v>
      </c>
      <c r="N263" s="15">
        <v>45809</v>
      </c>
    </row>
    <row r="264" spans="1:14" x14ac:dyDescent="0.25">
      <c r="A264">
        <v>429741</v>
      </c>
      <c r="B264" t="s">
        <v>31</v>
      </c>
      <c r="C264">
        <v>13970</v>
      </c>
      <c r="D264" t="s">
        <v>36</v>
      </c>
      <c r="E264" t="s">
        <v>19</v>
      </c>
      <c r="F264" s="27">
        <v>45828</v>
      </c>
      <c r="G264">
        <v>8</v>
      </c>
      <c r="H264">
        <v>8</v>
      </c>
      <c r="I264" t="s">
        <v>308</v>
      </c>
      <c r="J264" s="27">
        <v>45828</v>
      </c>
      <c r="L264" s="29">
        <v>1996.3702361842106</v>
      </c>
      <c r="M264" s="29">
        <v>15970.961889473685</v>
      </c>
      <c r="N264" s="15">
        <v>45809</v>
      </c>
    </row>
    <row r="265" spans="1:14" x14ac:dyDescent="0.25">
      <c r="A265">
        <v>432864</v>
      </c>
      <c r="B265" t="s">
        <v>24</v>
      </c>
      <c r="C265">
        <v>54433</v>
      </c>
      <c r="D265" t="s">
        <v>25</v>
      </c>
      <c r="E265" t="s">
        <v>22</v>
      </c>
      <c r="F265" s="27">
        <v>45828</v>
      </c>
      <c r="G265">
        <v>4</v>
      </c>
      <c r="H265">
        <v>4</v>
      </c>
      <c r="I265" t="s">
        <v>338</v>
      </c>
      <c r="J265" s="27">
        <v>45838</v>
      </c>
      <c r="L265" s="29">
        <v>1247.7313973684211</v>
      </c>
      <c r="M265" s="29">
        <v>4990.9255894736843</v>
      </c>
      <c r="N265" s="15">
        <v>45809</v>
      </c>
    </row>
    <row r="266" spans="1:14" x14ac:dyDescent="0.25">
      <c r="A266">
        <v>430564</v>
      </c>
      <c r="B266" t="s">
        <v>956</v>
      </c>
      <c r="C266">
        <v>54987</v>
      </c>
      <c r="D266" t="s">
        <v>33</v>
      </c>
      <c r="E266" t="s">
        <v>22</v>
      </c>
      <c r="F266" s="27">
        <v>45828</v>
      </c>
      <c r="G266">
        <v>8</v>
      </c>
      <c r="H266">
        <v>8</v>
      </c>
      <c r="I266" t="s">
        <v>966</v>
      </c>
      <c r="J266" s="27">
        <v>45832</v>
      </c>
      <c r="L266" s="29">
        <v>2079.5523289473686</v>
      </c>
      <c r="M266" s="29">
        <v>16636.418631578948</v>
      </c>
      <c r="N266" s="15">
        <v>45809</v>
      </c>
    </row>
    <row r="267" spans="1:14" x14ac:dyDescent="0.25">
      <c r="A267">
        <v>430588</v>
      </c>
      <c r="B267" t="s">
        <v>24</v>
      </c>
      <c r="C267">
        <v>54431</v>
      </c>
      <c r="D267" t="s">
        <v>25</v>
      </c>
      <c r="E267" t="s">
        <v>22</v>
      </c>
      <c r="F267" s="27">
        <v>45828</v>
      </c>
      <c r="G267">
        <v>2.5</v>
      </c>
      <c r="H267">
        <v>2.5</v>
      </c>
      <c r="I267" t="s">
        <v>297</v>
      </c>
      <c r="J267" s="27">
        <v>45832</v>
      </c>
      <c r="L267" s="29">
        <v>1247.7313973684211</v>
      </c>
      <c r="M267" s="29">
        <v>3119.3284934210528</v>
      </c>
      <c r="N267" s="15">
        <v>45809</v>
      </c>
    </row>
    <row r="268" spans="1:14" x14ac:dyDescent="0.25">
      <c r="A268">
        <v>430589</v>
      </c>
      <c r="B268" t="s">
        <v>24</v>
      </c>
      <c r="C268">
        <v>54433</v>
      </c>
      <c r="D268" t="s">
        <v>25</v>
      </c>
      <c r="E268" t="s">
        <v>22</v>
      </c>
      <c r="F268" s="27">
        <v>45828</v>
      </c>
      <c r="G268">
        <v>1</v>
      </c>
      <c r="H268">
        <v>1</v>
      </c>
      <c r="I268" t="s">
        <v>342</v>
      </c>
      <c r="J268" s="27">
        <v>45832</v>
      </c>
      <c r="L268" s="29">
        <v>1247.7313973684211</v>
      </c>
      <c r="M268" s="29">
        <v>1247.7313973684211</v>
      </c>
      <c r="N268" s="15">
        <v>45809</v>
      </c>
    </row>
    <row r="269" spans="1:14" x14ac:dyDescent="0.25">
      <c r="A269">
        <v>429321</v>
      </c>
      <c r="B269" t="s">
        <v>23</v>
      </c>
      <c r="C269">
        <v>52109</v>
      </c>
      <c r="D269" t="s">
        <v>21</v>
      </c>
      <c r="E269" t="s">
        <v>22</v>
      </c>
      <c r="F269" s="27">
        <v>45827</v>
      </c>
      <c r="G269">
        <v>1</v>
      </c>
      <c r="H269">
        <v>1</v>
      </c>
      <c r="I269" t="s">
        <v>343</v>
      </c>
      <c r="J269" s="27">
        <v>45828</v>
      </c>
      <c r="L269" s="29">
        <v>1871.5970960526315</v>
      </c>
      <c r="M269" s="29">
        <v>1871.5970960526315</v>
      </c>
      <c r="N269" s="15">
        <v>45809</v>
      </c>
    </row>
    <row r="270" spans="1:14" x14ac:dyDescent="0.25">
      <c r="A270">
        <v>432672</v>
      </c>
      <c r="B270" t="s">
        <v>23</v>
      </c>
      <c r="C270">
        <v>54460</v>
      </c>
      <c r="D270" t="s">
        <v>27</v>
      </c>
      <c r="E270" t="s">
        <v>22</v>
      </c>
      <c r="F270" s="27">
        <v>45827</v>
      </c>
      <c r="G270">
        <v>8</v>
      </c>
      <c r="H270">
        <v>8</v>
      </c>
      <c r="I270" t="s">
        <v>344</v>
      </c>
      <c r="J270" s="27">
        <v>45838</v>
      </c>
      <c r="L270" s="29">
        <v>665.45674539473691</v>
      </c>
      <c r="M270" s="29">
        <v>5323.6539631578953</v>
      </c>
      <c r="N270" s="15">
        <v>45809</v>
      </c>
    </row>
    <row r="271" spans="1:14" x14ac:dyDescent="0.25">
      <c r="A271">
        <v>432458</v>
      </c>
      <c r="B271" t="s">
        <v>23</v>
      </c>
      <c r="C271">
        <v>54720</v>
      </c>
      <c r="D271" t="s">
        <v>42</v>
      </c>
      <c r="E271" t="s">
        <v>22</v>
      </c>
      <c r="F271" s="27">
        <v>45827</v>
      </c>
      <c r="G271">
        <v>4</v>
      </c>
      <c r="H271">
        <v>4</v>
      </c>
      <c r="I271">
        <v>2718</v>
      </c>
      <c r="J271" s="27">
        <v>45837</v>
      </c>
      <c r="L271" s="29">
        <v>1418</v>
      </c>
      <c r="M271" s="29">
        <v>5672</v>
      </c>
      <c r="N271" s="15">
        <v>45809</v>
      </c>
    </row>
    <row r="272" spans="1:14" x14ac:dyDescent="0.25">
      <c r="A272">
        <v>432513</v>
      </c>
      <c r="B272" t="s">
        <v>23</v>
      </c>
      <c r="C272">
        <v>54722</v>
      </c>
      <c r="D272" t="s">
        <v>21</v>
      </c>
      <c r="E272" t="s">
        <v>22</v>
      </c>
      <c r="F272" s="27">
        <v>45827</v>
      </c>
      <c r="G272">
        <v>4</v>
      </c>
      <c r="H272">
        <v>4</v>
      </c>
      <c r="I272" t="s">
        <v>340</v>
      </c>
      <c r="J272" s="27">
        <v>45838</v>
      </c>
      <c r="L272" s="29">
        <v>1871.5970960526315</v>
      </c>
      <c r="M272" s="29">
        <v>7486.3883842105261</v>
      </c>
      <c r="N272" s="15">
        <v>45809</v>
      </c>
    </row>
    <row r="273" spans="1:14" x14ac:dyDescent="0.25">
      <c r="A273">
        <v>430485</v>
      </c>
      <c r="B273" t="s">
        <v>956</v>
      </c>
      <c r="C273">
        <v>54975</v>
      </c>
      <c r="D273" t="s">
        <v>26</v>
      </c>
      <c r="E273" t="s">
        <v>22</v>
      </c>
      <c r="F273" s="27">
        <v>45827</v>
      </c>
      <c r="G273">
        <v>7</v>
      </c>
      <c r="H273">
        <v>7</v>
      </c>
      <c r="I273" t="s">
        <v>968</v>
      </c>
      <c r="J273" s="27">
        <v>45832</v>
      </c>
      <c r="L273" s="29">
        <v>1081.3672111842104</v>
      </c>
      <c r="M273" s="29">
        <v>7569.5704782894727</v>
      </c>
      <c r="N273" s="15">
        <v>45809</v>
      </c>
    </row>
    <row r="274" spans="1:14" x14ac:dyDescent="0.25">
      <c r="A274">
        <v>429740</v>
      </c>
      <c r="B274" t="s">
        <v>31</v>
      </c>
      <c r="C274">
        <v>13970</v>
      </c>
      <c r="D274" t="s">
        <v>36</v>
      </c>
      <c r="E274" t="s">
        <v>19</v>
      </c>
      <c r="F274" s="27">
        <v>45827</v>
      </c>
      <c r="G274">
        <v>8</v>
      </c>
      <c r="H274">
        <v>8</v>
      </c>
      <c r="I274" t="s">
        <v>308</v>
      </c>
      <c r="J274" s="27">
        <v>45828</v>
      </c>
      <c r="L274" s="29">
        <v>1996.3702361842106</v>
      </c>
      <c r="M274" s="29">
        <v>15970.961889473685</v>
      </c>
      <c r="N274" s="15">
        <v>45809</v>
      </c>
    </row>
    <row r="275" spans="1:14" x14ac:dyDescent="0.25">
      <c r="A275">
        <v>429245</v>
      </c>
      <c r="B275" t="s">
        <v>24</v>
      </c>
      <c r="C275">
        <v>54430</v>
      </c>
      <c r="D275" t="s">
        <v>25</v>
      </c>
      <c r="E275" t="s">
        <v>22</v>
      </c>
      <c r="F275" s="27">
        <v>45827</v>
      </c>
      <c r="G275">
        <v>2.5</v>
      </c>
      <c r="H275">
        <v>2.5</v>
      </c>
      <c r="I275" t="s">
        <v>345</v>
      </c>
      <c r="J275" s="27">
        <v>45827</v>
      </c>
      <c r="L275" s="29">
        <v>1247.7313973684211</v>
      </c>
      <c r="M275" s="29">
        <v>3119.3284934210528</v>
      </c>
      <c r="N275" s="15">
        <v>45809</v>
      </c>
    </row>
    <row r="276" spans="1:14" x14ac:dyDescent="0.25">
      <c r="A276">
        <v>429247</v>
      </c>
      <c r="B276" t="s">
        <v>24</v>
      </c>
      <c r="C276">
        <v>54431</v>
      </c>
      <c r="D276" t="s">
        <v>25</v>
      </c>
      <c r="E276" t="s">
        <v>22</v>
      </c>
      <c r="F276" s="27">
        <v>45827</v>
      </c>
      <c r="G276">
        <v>1.5</v>
      </c>
      <c r="H276">
        <v>1.5</v>
      </c>
      <c r="I276" t="s">
        <v>346</v>
      </c>
      <c r="J276" s="27">
        <v>45827</v>
      </c>
      <c r="L276" s="29">
        <v>1247.7313973684211</v>
      </c>
      <c r="M276" s="29">
        <v>1871.5970960526315</v>
      </c>
      <c r="N276" s="15">
        <v>45809</v>
      </c>
    </row>
    <row r="277" spans="1:14" x14ac:dyDescent="0.25">
      <c r="A277">
        <v>429251</v>
      </c>
      <c r="B277" t="s">
        <v>24</v>
      </c>
      <c r="C277">
        <v>54433</v>
      </c>
      <c r="D277" t="s">
        <v>25</v>
      </c>
      <c r="E277" t="s">
        <v>22</v>
      </c>
      <c r="F277" s="27">
        <v>45827</v>
      </c>
      <c r="G277">
        <v>4</v>
      </c>
      <c r="H277">
        <v>4</v>
      </c>
      <c r="I277" t="s">
        <v>347</v>
      </c>
      <c r="J277" s="27">
        <v>45827</v>
      </c>
      <c r="L277" s="29">
        <v>1247.7313973684211</v>
      </c>
      <c r="M277" s="29">
        <v>4990.9255894736843</v>
      </c>
      <c r="N277" s="15">
        <v>45809</v>
      </c>
    </row>
    <row r="278" spans="1:14" x14ac:dyDescent="0.25">
      <c r="A278">
        <v>430561</v>
      </c>
      <c r="B278" t="s">
        <v>956</v>
      </c>
      <c r="C278">
        <v>54986</v>
      </c>
      <c r="D278" t="s">
        <v>33</v>
      </c>
      <c r="E278" t="s">
        <v>22</v>
      </c>
      <c r="F278" s="27">
        <v>45827</v>
      </c>
      <c r="G278">
        <v>6</v>
      </c>
      <c r="H278">
        <v>6</v>
      </c>
      <c r="I278" t="s">
        <v>969</v>
      </c>
      <c r="J278" s="27">
        <v>45832</v>
      </c>
      <c r="L278" s="29">
        <v>2079.5523289473686</v>
      </c>
      <c r="M278" s="29">
        <v>12477.313973684211</v>
      </c>
      <c r="N278" s="15">
        <v>45809</v>
      </c>
    </row>
    <row r="279" spans="1:14" x14ac:dyDescent="0.25">
      <c r="A279">
        <v>430563</v>
      </c>
      <c r="B279" t="s">
        <v>956</v>
      </c>
      <c r="C279">
        <v>54987</v>
      </c>
      <c r="D279" t="s">
        <v>33</v>
      </c>
      <c r="E279" t="s">
        <v>22</v>
      </c>
      <c r="F279" s="27">
        <v>45827</v>
      </c>
      <c r="G279">
        <v>2</v>
      </c>
      <c r="H279">
        <v>2</v>
      </c>
      <c r="I279" t="s">
        <v>966</v>
      </c>
      <c r="J279" s="27">
        <v>45832</v>
      </c>
      <c r="L279" s="29">
        <v>2079.5523289473686</v>
      </c>
      <c r="M279" s="29">
        <v>4159.1046578947371</v>
      </c>
      <c r="N279" s="15">
        <v>45809</v>
      </c>
    </row>
    <row r="280" spans="1:14" x14ac:dyDescent="0.25">
      <c r="A280">
        <v>429810</v>
      </c>
      <c r="B280" t="s">
        <v>23</v>
      </c>
      <c r="C280">
        <v>52109</v>
      </c>
      <c r="D280" t="s">
        <v>21</v>
      </c>
      <c r="E280" t="s">
        <v>22</v>
      </c>
      <c r="F280" s="27">
        <v>45827</v>
      </c>
      <c r="G280">
        <v>2</v>
      </c>
      <c r="H280">
        <v>2</v>
      </c>
      <c r="I280" t="s">
        <v>343</v>
      </c>
      <c r="J280" s="27">
        <v>45829</v>
      </c>
      <c r="L280" s="29">
        <v>1871.5970960526315</v>
      </c>
      <c r="M280" s="29">
        <v>3743.194192105263</v>
      </c>
      <c r="N280" s="15">
        <v>45809</v>
      </c>
    </row>
    <row r="281" spans="1:14" x14ac:dyDescent="0.25">
      <c r="A281">
        <v>432666</v>
      </c>
      <c r="B281" t="s">
        <v>18</v>
      </c>
      <c r="C281">
        <v>32</v>
      </c>
      <c r="D281" t="s">
        <v>27</v>
      </c>
      <c r="E281" t="s">
        <v>19</v>
      </c>
      <c r="F281" s="27">
        <v>45826</v>
      </c>
      <c r="G281">
        <v>2</v>
      </c>
      <c r="H281">
        <v>2</v>
      </c>
      <c r="I281" t="s">
        <v>348</v>
      </c>
      <c r="J281" s="27">
        <v>45838</v>
      </c>
      <c r="L281" s="29">
        <v>665.45674539473691</v>
      </c>
      <c r="M281" s="29">
        <v>1330.9134907894738</v>
      </c>
      <c r="N281" s="15">
        <v>45809</v>
      </c>
    </row>
    <row r="282" spans="1:14" x14ac:dyDescent="0.25">
      <c r="A282">
        <v>432680</v>
      </c>
      <c r="B282" t="s">
        <v>28</v>
      </c>
      <c r="C282">
        <v>51263</v>
      </c>
      <c r="D282" t="s">
        <v>27</v>
      </c>
      <c r="E282" t="s">
        <v>22</v>
      </c>
      <c r="F282" s="27">
        <v>45826</v>
      </c>
      <c r="G282">
        <v>1</v>
      </c>
      <c r="H282">
        <v>1</v>
      </c>
      <c r="I282" t="s">
        <v>339</v>
      </c>
      <c r="J282" s="27">
        <v>45838</v>
      </c>
      <c r="L282" s="29">
        <v>665.45674539473691</v>
      </c>
      <c r="M282" s="29">
        <v>665.45674539473691</v>
      </c>
      <c r="N282" s="15">
        <v>45809</v>
      </c>
    </row>
    <row r="283" spans="1:14" x14ac:dyDescent="0.25">
      <c r="A283">
        <v>432682</v>
      </c>
      <c r="B283" t="s">
        <v>18</v>
      </c>
      <c r="C283">
        <v>34</v>
      </c>
      <c r="D283" t="s">
        <v>27</v>
      </c>
      <c r="E283" t="s">
        <v>19</v>
      </c>
      <c r="F283" s="27">
        <v>45826</v>
      </c>
      <c r="G283">
        <v>4</v>
      </c>
      <c r="H283">
        <v>4</v>
      </c>
      <c r="I283" t="s">
        <v>349</v>
      </c>
      <c r="J283" s="27">
        <v>45838</v>
      </c>
      <c r="L283" s="29">
        <v>665.45674539473691</v>
      </c>
      <c r="M283" s="29">
        <v>2661.8269815789477</v>
      </c>
      <c r="N283" s="15">
        <v>45809</v>
      </c>
    </row>
    <row r="284" spans="1:14" x14ac:dyDescent="0.25">
      <c r="A284">
        <v>430646</v>
      </c>
      <c r="B284" t="s">
        <v>31</v>
      </c>
      <c r="C284">
        <v>13969</v>
      </c>
      <c r="D284" t="s">
        <v>46</v>
      </c>
      <c r="E284" t="s">
        <v>19</v>
      </c>
      <c r="F284" s="27">
        <v>45826</v>
      </c>
      <c r="G284">
        <v>6</v>
      </c>
      <c r="H284">
        <v>6</v>
      </c>
      <c r="I284" t="s">
        <v>312</v>
      </c>
      <c r="J284" s="27">
        <v>45832</v>
      </c>
      <c r="L284" s="29">
        <v>1247.7313973684211</v>
      </c>
      <c r="M284" s="29">
        <v>7486.3883842105261</v>
      </c>
      <c r="N284" s="15">
        <v>45809</v>
      </c>
    </row>
    <row r="285" spans="1:14" x14ac:dyDescent="0.25">
      <c r="A285">
        <v>432438</v>
      </c>
      <c r="B285" t="s">
        <v>31</v>
      </c>
      <c r="C285">
        <v>13969</v>
      </c>
      <c r="D285" t="s">
        <v>42</v>
      </c>
      <c r="E285" t="s">
        <v>19</v>
      </c>
      <c r="F285" s="27">
        <v>45826</v>
      </c>
      <c r="G285">
        <v>0.5</v>
      </c>
      <c r="H285">
        <v>0.5</v>
      </c>
      <c r="I285" t="s">
        <v>295</v>
      </c>
      <c r="J285" s="27">
        <v>45837</v>
      </c>
      <c r="L285" s="29">
        <v>1418</v>
      </c>
      <c r="M285" s="29">
        <v>709</v>
      </c>
      <c r="N285" s="15">
        <v>45809</v>
      </c>
    </row>
    <row r="286" spans="1:14" x14ac:dyDescent="0.25">
      <c r="A286">
        <v>432512</v>
      </c>
      <c r="B286" t="s">
        <v>23</v>
      </c>
      <c r="C286">
        <v>54722</v>
      </c>
      <c r="D286" t="s">
        <v>21</v>
      </c>
      <c r="E286" t="s">
        <v>22</v>
      </c>
      <c r="F286" s="27">
        <v>45826</v>
      </c>
      <c r="G286">
        <v>8</v>
      </c>
      <c r="H286">
        <v>8</v>
      </c>
      <c r="I286" t="s">
        <v>340</v>
      </c>
      <c r="J286" s="27">
        <v>45838</v>
      </c>
      <c r="L286" s="29">
        <v>1871.5970960526315</v>
      </c>
      <c r="M286" s="29">
        <v>14972.776768421052</v>
      </c>
      <c r="N286" s="15">
        <v>45809</v>
      </c>
    </row>
    <row r="287" spans="1:14" x14ac:dyDescent="0.25">
      <c r="A287">
        <v>430486</v>
      </c>
      <c r="B287" t="s">
        <v>956</v>
      </c>
      <c r="C287">
        <v>54975</v>
      </c>
      <c r="D287" t="s">
        <v>26</v>
      </c>
      <c r="E287" t="s">
        <v>22</v>
      </c>
      <c r="F287" s="27">
        <v>45826</v>
      </c>
      <c r="G287">
        <v>7</v>
      </c>
      <c r="H287">
        <v>7</v>
      </c>
      <c r="I287" t="s">
        <v>970</v>
      </c>
      <c r="J287" s="27">
        <v>45832</v>
      </c>
      <c r="L287" s="29">
        <v>1081.3672111842104</v>
      </c>
      <c r="M287" s="29">
        <v>7569.5704782894727</v>
      </c>
      <c r="N287" s="15">
        <v>45809</v>
      </c>
    </row>
    <row r="288" spans="1:14" x14ac:dyDescent="0.25">
      <c r="A288">
        <v>429739</v>
      </c>
      <c r="B288" t="s">
        <v>31</v>
      </c>
      <c r="C288">
        <v>13970</v>
      </c>
      <c r="D288" t="s">
        <v>36</v>
      </c>
      <c r="E288" t="s">
        <v>19</v>
      </c>
      <c r="F288" s="27">
        <v>45826</v>
      </c>
      <c r="G288">
        <v>8</v>
      </c>
      <c r="H288">
        <v>8</v>
      </c>
      <c r="I288" t="s">
        <v>308</v>
      </c>
      <c r="J288" s="27">
        <v>45828</v>
      </c>
      <c r="L288" s="29">
        <v>1996.3702361842106</v>
      </c>
      <c r="M288" s="29">
        <v>15970.961889473685</v>
      </c>
      <c r="N288" s="15">
        <v>45809</v>
      </c>
    </row>
    <row r="289" spans="1:14" x14ac:dyDescent="0.25">
      <c r="A289">
        <v>428732</v>
      </c>
      <c r="B289" t="s">
        <v>23</v>
      </c>
      <c r="C289">
        <v>52109</v>
      </c>
      <c r="D289" t="s">
        <v>25</v>
      </c>
      <c r="E289" t="s">
        <v>22</v>
      </c>
      <c r="F289" s="27">
        <v>45826</v>
      </c>
      <c r="G289">
        <v>6.5</v>
      </c>
      <c r="H289">
        <v>6.5</v>
      </c>
      <c r="I289" t="s">
        <v>350</v>
      </c>
      <c r="J289" s="27">
        <v>45826</v>
      </c>
      <c r="L289" s="29">
        <v>1247.7313973684211</v>
      </c>
      <c r="M289" s="29">
        <v>8110.2540828947367</v>
      </c>
      <c r="N289" s="15">
        <v>45809</v>
      </c>
    </row>
    <row r="290" spans="1:14" x14ac:dyDescent="0.25">
      <c r="A290">
        <v>430559</v>
      </c>
      <c r="B290" t="s">
        <v>956</v>
      </c>
      <c r="C290">
        <v>54985</v>
      </c>
      <c r="D290" t="s">
        <v>33</v>
      </c>
      <c r="E290" t="s">
        <v>22</v>
      </c>
      <c r="F290" s="27">
        <v>45826</v>
      </c>
      <c r="G290">
        <v>6</v>
      </c>
      <c r="H290">
        <v>6</v>
      </c>
      <c r="I290" t="s">
        <v>971</v>
      </c>
      <c r="J290" s="27">
        <v>45832</v>
      </c>
      <c r="L290" s="29">
        <v>2079.5523289473686</v>
      </c>
      <c r="M290" s="29">
        <v>12477.313973684211</v>
      </c>
      <c r="N290" s="15">
        <v>45809</v>
      </c>
    </row>
    <row r="291" spans="1:14" x14ac:dyDescent="0.25">
      <c r="A291">
        <v>430560</v>
      </c>
      <c r="B291" t="s">
        <v>956</v>
      </c>
      <c r="C291">
        <v>54986</v>
      </c>
      <c r="D291" t="s">
        <v>33</v>
      </c>
      <c r="E291" t="s">
        <v>22</v>
      </c>
      <c r="F291" s="27">
        <v>45826</v>
      </c>
      <c r="G291">
        <v>2</v>
      </c>
      <c r="H291">
        <v>2</v>
      </c>
      <c r="I291" t="s">
        <v>972</v>
      </c>
      <c r="J291" s="27">
        <v>45832</v>
      </c>
      <c r="L291" s="29">
        <v>2079.5523289473686</v>
      </c>
      <c r="M291" s="29">
        <v>4159.1046578947371</v>
      </c>
      <c r="N291" s="15">
        <v>45809</v>
      </c>
    </row>
    <row r="292" spans="1:14" x14ac:dyDescent="0.25">
      <c r="A292">
        <v>428324</v>
      </c>
      <c r="B292" t="s">
        <v>28</v>
      </c>
      <c r="C292">
        <v>51263</v>
      </c>
      <c r="D292" t="s">
        <v>27</v>
      </c>
      <c r="E292" t="s">
        <v>22</v>
      </c>
      <c r="F292" s="27">
        <v>45825</v>
      </c>
      <c r="G292">
        <v>2</v>
      </c>
      <c r="H292">
        <v>2</v>
      </c>
      <c r="I292" t="s">
        <v>339</v>
      </c>
      <c r="J292" s="27">
        <v>45825</v>
      </c>
      <c r="L292" s="29">
        <v>665.45674539473691</v>
      </c>
      <c r="M292" s="29">
        <v>1330.9134907894738</v>
      </c>
      <c r="N292" s="15">
        <v>45809</v>
      </c>
    </row>
    <row r="293" spans="1:14" x14ac:dyDescent="0.25">
      <c r="A293">
        <v>428332</v>
      </c>
      <c r="B293" t="s">
        <v>18</v>
      </c>
      <c r="C293">
        <v>34</v>
      </c>
      <c r="D293" t="s">
        <v>27</v>
      </c>
      <c r="E293" t="s">
        <v>19</v>
      </c>
      <c r="F293" s="27">
        <v>45825</v>
      </c>
      <c r="G293">
        <v>2</v>
      </c>
      <c r="H293">
        <v>2</v>
      </c>
      <c r="I293" t="s">
        <v>351</v>
      </c>
      <c r="J293" s="27">
        <v>45825</v>
      </c>
      <c r="L293" s="29">
        <v>665.45674539473691</v>
      </c>
      <c r="M293" s="29">
        <v>1330.9134907894738</v>
      </c>
      <c r="N293" s="15">
        <v>45809</v>
      </c>
    </row>
    <row r="294" spans="1:14" x14ac:dyDescent="0.25">
      <c r="A294">
        <v>430638</v>
      </c>
      <c r="B294" t="s">
        <v>31</v>
      </c>
      <c r="C294">
        <v>13969</v>
      </c>
      <c r="D294" t="s">
        <v>46</v>
      </c>
      <c r="E294" t="s">
        <v>19</v>
      </c>
      <c r="F294" s="27">
        <v>45825</v>
      </c>
      <c r="G294">
        <v>2</v>
      </c>
      <c r="H294">
        <v>2</v>
      </c>
      <c r="I294" t="s">
        <v>352</v>
      </c>
      <c r="J294" s="27">
        <v>45832</v>
      </c>
      <c r="L294" s="29">
        <v>1247.7313973684211</v>
      </c>
      <c r="M294" s="29">
        <v>2495.4627947368422</v>
      </c>
      <c r="N294" s="15">
        <v>45809</v>
      </c>
    </row>
    <row r="295" spans="1:14" x14ac:dyDescent="0.25">
      <c r="A295">
        <v>430640</v>
      </c>
      <c r="B295" t="s">
        <v>31</v>
      </c>
      <c r="C295">
        <v>13969</v>
      </c>
      <c r="D295" t="s">
        <v>46</v>
      </c>
      <c r="E295" t="s">
        <v>19</v>
      </c>
      <c r="F295" s="27">
        <v>45825</v>
      </c>
      <c r="G295">
        <v>0.5</v>
      </c>
      <c r="H295">
        <v>0.5</v>
      </c>
      <c r="I295" t="s">
        <v>331</v>
      </c>
      <c r="J295" s="27">
        <v>45832</v>
      </c>
      <c r="L295" s="29">
        <v>1247.7313973684211</v>
      </c>
      <c r="M295" s="29">
        <v>623.86569868421054</v>
      </c>
      <c r="N295" s="15">
        <v>45809</v>
      </c>
    </row>
    <row r="296" spans="1:14" x14ac:dyDescent="0.25">
      <c r="A296">
        <v>430643</v>
      </c>
      <c r="B296" t="s">
        <v>31</v>
      </c>
      <c r="C296">
        <v>13969</v>
      </c>
      <c r="D296" t="s">
        <v>46</v>
      </c>
      <c r="E296" t="s">
        <v>19</v>
      </c>
      <c r="F296" s="27">
        <v>45825</v>
      </c>
      <c r="G296">
        <v>5.5</v>
      </c>
      <c r="H296">
        <v>5.5</v>
      </c>
      <c r="I296" t="s">
        <v>312</v>
      </c>
      <c r="J296" s="27">
        <v>45832</v>
      </c>
      <c r="L296" s="29">
        <v>1247.7313973684211</v>
      </c>
      <c r="M296" s="29">
        <v>6862.5226855263163</v>
      </c>
      <c r="N296" s="15">
        <v>45809</v>
      </c>
    </row>
    <row r="297" spans="1:14" x14ac:dyDescent="0.25">
      <c r="A297">
        <v>432437</v>
      </c>
      <c r="B297" t="s">
        <v>31</v>
      </c>
      <c r="C297">
        <v>13969</v>
      </c>
      <c r="D297" t="s">
        <v>42</v>
      </c>
      <c r="E297" t="s">
        <v>19</v>
      </c>
      <c r="F297" s="27">
        <v>45825</v>
      </c>
      <c r="G297">
        <v>0.5</v>
      </c>
      <c r="H297">
        <v>0.5</v>
      </c>
      <c r="I297" t="s">
        <v>295</v>
      </c>
      <c r="J297" s="27">
        <v>45837</v>
      </c>
      <c r="L297" s="29">
        <v>1418</v>
      </c>
      <c r="M297" s="29">
        <v>709</v>
      </c>
      <c r="N297" s="15">
        <v>45809</v>
      </c>
    </row>
    <row r="298" spans="1:14" x14ac:dyDescent="0.25">
      <c r="A298">
        <v>432457</v>
      </c>
      <c r="B298" t="s">
        <v>23</v>
      </c>
      <c r="C298">
        <v>54720</v>
      </c>
      <c r="D298" t="s">
        <v>42</v>
      </c>
      <c r="E298" t="s">
        <v>22</v>
      </c>
      <c r="F298" s="27">
        <v>45825</v>
      </c>
      <c r="G298">
        <v>3</v>
      </c>
      <c r="H298">
        <v>3</v>
      </c>
      <c r="I298">
        <v>2718</v>
      </c>
      <c r="J298" s="27">
        <v>45837</v>
      </c>
      <c r="L298" s="29">
        <v>1418</v>
      </c>
      <c r="M298" s="29">
        <v>4254</v>
      </c>
      <c r="N298" s="15">
        <v>45809</v>
      </c>
    </row>
    <row r="299" spans="1:14" x14ac:dyDescent="0.25">
      <c r="A299">
        <v>432462</v>
      </c>
      <c r="B299" t="s">
        <v>31</v>
      </c>
      <c r="C299">
        <v>13969</v>
      </c>
      <c r="D299" t="s">
        <v>42</v>
      </c>
      <c r="E299" t="s">
        <v>19</v>
      </c>
      <c r="F299" s="27">
        <v>45825</v>
      </c>
      <c r="G299">
        <v>0.5</v>
      </c>
      <c r="H299">
        <v>0.5</v>
      </c>
      <c r="I299" t="s">
        <v>353</v>
      </c>
      <c r="J299" s="27">
        <v>45837</v>
      </c>
      <c r="L299" s="29">
        <v>1418</v>
      </c>
      <c r="M299" s="29">
        <v>709</v>
      </c>
      <c r="N299" s="15">
        <v>45809</v>
      </c>
    </row>
    <row r="300" spans="1:14" x14ac:dyDescent="0.25">
      <c r="A300">
        <v>428389</v>
      </c>
      <c r="B300" t="s">
        <v>31</v>
      </c>
      <c r="C300">
        <v>13970</v>
      </c>
      <c r="D300" t="s">
        <v>36</v>
      </c>
      <c r="E300" t="s">
        <v>19</v>
      </c>
      <c r="F300" s="27">
        <v>45825</v>
      </c>
      <c r="G300">
        <v>8</v>
      </c>
      <c r="H300">
        <v>8</v>
      </c>
      <c r="I300" t="s">
        <v>308</v>
      </c>
      <c r="J300" s="27">
        <v>45825</v>
      </c>
      <c r="L300" s="29">
        <v>1996.3702361842106</v>
      </c>
      <c r="M300" s="29">
        <v>15970.961889473685</v>
      </c>
      <c r="N300" s="15">
        <v>45809</v>
      </c>
    </row>
    <row r="301" spans="1:14" x14ac:dyDescent="0.25">
      <c r="A301">
        <v>428407</v>
      </c>
      <c r="B301" t="s">
        <v>956</v>
      </c>
      <c r="C301">
        <v>54975</v>
      </c>
      <c r="D301" t="s">
        <v>26</v>
      </c>
      <c r="E301" t="s">
        <v>22</v>
      </c>
      <c r="F301" s="27">
        <v>45825</v>
      </c>
      <c r="G301">
        <v>7</v>
      </c>
      <c r="H301">
        <v>7</v>
      </c>
      <c r="I301" t="s">
        <v>973</v>
      </c>
      <c r="J301" s="27">
        <v>45826</v>
      </c>
      <c r="L301" s="29">
        <v>1081.3672111842104</v>
      </c>
      <c r="M301" s="29">
        <v>7569.5704782894727</v>
      </c>
      <c r="N301" s="15">
        <v>45809</v>
      </c>
    </row>
    <row r="302" spans="1:14" x14ac:dyDescent="0.25">
      <c r="A302">
        <v>428446</v>
      </c>
      <c r="B302" t="s">
        <v>23</v>
      </c>
      <c r="C302">
        <v>52109</v>
      </c>
      <c r="D302" t="s">
        <v>21</v>
      </c>
      <c r="E302" t="s">
        <v>22</v>
      </c>
      <c r="F302" s="27">
        <v>45825</v>
      </c>
      <c r="G302">
        <v>0.5</v>
      </c>
      <c r="H302">
        <v>0.5</v>
      </c>
      <c r="I302" t="s">
        <v>354</v>
      </c>
      <c r="J302" s="27">
        <v>45826</v>
      </c>
      <c r="L302" s="29">
        <v>1871.5970960526315</v>
      </c>
      <c r="M302" s="29">
        <v>935.79854802631576</v>
      </c>
      <c r="N302" s="15">
        <v>45809</v>
      </c>
    </row>
    <row r="303" spans="1:14" x14ac:dyDescent="0.25">
      <c r="A303">
        <v>428447</v>
      </c>
      <c r="B303" t="s">
        <v>23</v>
      </c>
      <c r="C303">
        <v>54722</v>
      </c>
      <c r="D303" t="s">
        <v>21</v>
      </c>
      <c r="E303" t="s">
        <v>22</v>
      </c>
      <c r="F303" s="27">
        <v>45825</v>
      </c>
      <c r="G303">
        <v>7</v>
      </c>
      <c r="H303">
        <v>7</v>
      </c>
      <c r="I303" t="s">
        <v>355</v>
      </c>
      <c r="J303" s="27">
        <v>45826</v>
      </c>
      <c r="L303" s="29">
        <v>1871.5970960526315</v>
      </c>
      <c r="M303" s="29">
        <v>13101.17967236842</v>
      </c>
      <c r="N303" s="15">
        <v>45809</v>
      </c>
    </row>
    <row r="304" spans="1:14" x14ac:dyDescent="0.25">
      <c r="A304">
        <v>428720</v>
      </c>
      <c r="B304" t="s">
        <v>23</v>
      </c>
      <c r="C304">
        <v>52109</v>
      </c>
      <c r="D304" t="s">
        <v>25</v>
      </c>
      <c r="E304" t="s">
        <v>22</v>
      </c>
      <c r="F304" s="27">
        <v>45825</v>
      </c>
      <c r="G304">
        <v>8</v>
      </c>
      <c r="H304">
        <v>8</v>
      </c>
      <c r="I304" t="s">
        <v>356</v>
      </c>
      <c r="J304" s="27">
        <v>45826</v>
      </c>
      <c r="L304" s="29">
        <v>1247.7313973684211</v>
      </c>
      <c r="M304" s="29">
        <v>9981.8511789473687</v>
      </c>
      <c r="N304" s="15">
        <v>45809</v>
      </c>
    </row>
    <row r="305" spans="1:14" x14ac:dyDescent="0.25">
      <c r="A305">
        <v>430558</v>
      </c>
      <c r="B305" t="s">
        <v>956</v>
      </c>
      <c r="C305">
        <v>54984</v>
      </c>
      <c r="D305" t="s">
        <v>33</v>
      </c>
      <c r="E305" t="s">
        <v>22</v>
      </c>
      <c r="F305" s="27">
        <v>45825</v>
      </c>
      <c r="G305">
        <v>20</v>
      </c>
      <c r="H305">
        <v>20</v>
      </c>
      <c r="I305" t="s">
        <v>974</v>
      </c>
      <c r="J305" s="27">
        <v>45832</v>
      </c>
      <c r="L305" s="29">
        <v>2079.5523289473686</v>
      </c>
      <c r="M305" s="29">
        <v>41591.046578947367</v>
      </c>
      <c r="N305" s="15">
        <v>45809</v>
      </c>
    </row>
    <row r="306" spans="1:14" x14ac:dyDescent="0.25">
      <c r="A306">
        <v>428321</v>
      </c>
      <c r="B306" t="s">
        <v>28</v>
      </c>
      <c r="C306">
        <v>51263</v>
      </c>
      <c r="D306" t="s">
        <v>27</v>
      </c>
      <c r="E306" t="s">
        <v>22</v>
      </c>
      <c r="F306" s="27">
        <v>45824</v>
      </c>
      <c r="G306">
        <v>7</v>
      </c>
      <c r="H306">
        <v>7</v>
      </c>
      <c r="I306" t="s">
        <v>357</v>
      </c>
      <c r="J306" s="27">
        <v>45825</v>
      </c>
      <c r="L306" s="29">
        <v>665.45674539473691</v>
      </c>
      <c r="M306" s="29">
        <v>4658.1972177631587</v>
      </c>
      <c r="N306" s="15">
        <v>45809</v>
      </c>
    </row>
    <row r="307" spans="1:14" x14ac:dyDescent="0.25">
      <c r="A307">
        <v>430635</v>
      </c>
      <c r="B307" t="s">
        <v>31</v>
      </c>
      <c r="C307">
        <v>13969</v>
      </c>
      <c r="D307" t="s">
        <v>46</v>
      </c>
      <c r="E307" t="s">
        <v>19</v>
      </c>
      <c r="F307" s="27">
        <v>45824</v>
      </c>
      <c r="G307">
        <v>4</v>
      </c>
      <c r="H307">
        <v>4</v>
      </c>
      <c r="I307" t="s">
        <v>352</v>
      </c>
      <c r="J307" s="27">
        <v>45832</v>
      </c>
      <c r="L307" s="29">
        <v>1247.7313973684211</v>
      </c>
      <c r="M307" s="29">
        <v>4990.9255894736843</v>
      </c>
      <c r="N307" s="15">
        <v>45809</v>
      </c>
    </row>
    <row r="308" spans="1:14" x14ac:dyDescent="0.25">
      <c r="A308">
        <v>430636</v>
      </c>
      <c r="B308" t="s">
        <v>31</v>
      </c>
      <c r="C308">
        <v>13969</v>
      </c>
      <c r="D308" t="s">
        <v>46</v>
      </c>
      <c r="E308" t="s">
        <v>19</v>
      </c>
      <c r="F308" s="27">
        <v>45824</v>
      </c>
      <c r="G308">
        <v>4</v>
      </c>
      <c r="H308">
        <v>4</v>
      </c>
      <c r="I308" t="s">
        <v>312</v>
      </c>
      <c r="J308" s="27">
        <v>45832</v>
      </c>
      <c r="L308" s="29">
        <v>1247.7313973684211</v>
      </c>
      <c r="M308" s="29">
        <v>4990.9255894736843</v>
      </c>
      <c r="N308" s="15">
        <v>45809</v>
      </c>
    </row>
    <row r="309" spans="1:14" x14ac:dyDescent="0.25">
      <c r="A309">
        <v>432455</v>
      </c>
      <c r="B309" t="s">
        <v>23</v>
      </c>
      <c r="C309">
        <v>54720</v>
      </c>
      <c r="D309" t="s">
        <v>42</v>
      </c>
      <c r="E309" t="s">
        <v>22</v>
      </c>
      <c r="F309" s="27">
        <v>45824</v>
      </c>
      <c r="G309">
        <v>2</v>
      </c>
      <c r="H309">
        <v>2</v>
      </c>
      <c r="I309">
        <v>2711</v>
      </c>
      <c r="J309" s="27">
        <v>45837</v>
      </c>
      <c r="L309" s="29">
        <v>1418</v>
      </c>
      <c r="M309" s="29">
        <v>2836</v>
      </c>
      <c r="N309" s="15">
        <v>45809</v>
      </c>
    </row>
    <row r="310" spans="1:14" x14ac:dyDescent="0.25">
      <c r="A310">
        <v>432456</v>
      </c>
      <c r="B310" t="s">
        <v>23</v>
      </c>
      <c r="C310">
        <v>54720</v>
      </c>
      <c r="D310" t="s">
        <v>42</v>
      </c>
      <c r="E310" t="s">
        <v>22</v>
      </c>
      <c r="F310" s="27">
        <v>45824</v>
      </c>
      <c r="G310">
        <v>5</v>
      </c>
      <c r="H310">
        <v>5</v>
      </c>
      <c r="I310">
        <v>2711</v>
      </c>
      <c r="J310" s="27">
        <v>45837</v>
      </c>
      <c r="L310" s="29">
        <v>1418</v>
      </c>
      <c r="M310" s="29">
        <v>7090</v>
      </c>
      <c r="N310" s="15">
        <v>45809</v>
      </c>
    </row>
    <row r="311" spans="1:14" x14ac:dyDescent="0.25">
      <c r="A311">
        <v>428388</v>
      </c>
      <c r="B311" t="s">
        <v>31</v>
      </c>
      <c r="C311">
        <v>13970</v>
      </c>
      <c r="D311" t="s">
        <v>36</v>
      </c>
      <c r="E311" t="s">
        <v>19</v>
      </c>
      <c r="F311" s="27">
        <v>45824</v>
      </c>
      <c r="G311">
        <v>8</v>
      </c>
      <c r="H311">
        <v>8</v>
      </c>
      <c r="I311" t="s">
        <v>308</v>
      </c>
      <c r="J311" s="27">
        <v>45825</v>
      </c>
      <c r="L311" s="29">
        <v>1996.3702361842106</v>
      </c>
      <c r="M311" s="29">
        <v>15970.961889473685</v>
      </c>
      <c r="N311" s="15">
        <v>45809</v>
      </c>
    </row>
    <row r="312" spans="1:14" x14ac:dyDescent="0.25">
      <c r="A312">
        <v>428406</v>
      </c>
      <c r="B312" t="s">
        <v>956</v>
      </c>
      <c r="C312">
        <v>54975</v>
      </c>
      <c r="D312" t="s">
        <v>26</v>
      </c>
      <c r="E312" t="s">
        <v>22</v>
      </c>
      <c r="F312" s="27">
        <v>45824</v>
      </c>
      <c r="G312">
        <v>7</v>
      </c>
      <c r="H312">
        <v>7</v>
      </c>
      <c r="I312" t="s">
        <v>973</v>
      </c>
      <c r="J312" s="27">
        <v>45826</v>
      </c>
      <c r="L312" s="29">
        <v>1081.3672111842104</v>
      </c>
      <c r="M312" s="29">
        <v>7569.5704782894727</v>
      </c>
      <c r="N312" s="15">
        <v>45809</v>
      </c>
    </row>
    <row r="313" spans="1:14" x14ac:dyDescent="0.25">
      <c r="A313">
        <v>428440</v>
      </c>
      <c r="B313" t="s">
        <v>23</v>
      </c>
      <c r="C313">
        <v>52109</v>
      </c>
      <c r="D313" t="s">
        <v>21</v>
      </c>
      <c r="E313" t="s">
        <v>22</v>
      </c>
      <c r="F313" s="27">
        <v>45824</v>
      </c>
      <c r="G313">
        <v>1</v>
      </c>
      <c r="H313">
        <v>1</v>
      </c>
      <c r="I313" t="s">
        <v>358</v>
      </c>
      <c r="J313" s="27">
        <v>45826</v>
      </c>
      <c r="L313" s="29">
        <v>1871.5970960526315</v>
      </c>
      <c r="M313" s="29">
        <v>1871.5970960526315</v>
      </c>
      <c r="N313" s="15">
        <v>45809</v>
      </c>
    </row>
    <row r="314" spans="1:14" x14ac:dyDescent="0.25">
      <c r="A314">
        <v>428444</v>
      </c>
      <c r="B314" t="s">
        <v>23</v>
      </c>
      <c r="C314">
        <v>54722</v>
      </c>
      <c r="D314" t="s">
        <v>21</v>
      </c>
      <c r="E314" t="s">
        <v>22</v>
      </c>
      <c r="F314" s="27">
        <v>45824</v>
      </c>
      <c r="G314">
        <v>7</v>
      </c>
      <c r="H314">
        <v>7</v>
      </c>
      <c r="I314" t="s">
        <v>359</v>
      </c>
      <c r="J314" s="27">
        <v>45826</v>
      </c>
      <c r="L314" s="29">
        <v>1871.5970960526315</v>
      </c>
      <c r="M314" s="29">
        <v>13101.17967236842</v>
      </c>
      <c r="N314" s="15">
        <v>45809</v>
      </c>
    </row>
    <row r="315" spans="1:14" x14ac:dyDescent="0.25">
      <c r="A315">
        <v>428719</v>
      </c>
      <c r="B315" t="s">
        <v>23</v>
      </c>
      <c r="C315">
        <v>52109</v>
      </c>
      <c r="D315" t="s">
        <v>25</v>
      </c>
      <c r="E315" t="s">
        <v>22</v>
      </c>
      <c r="F315" s="27">
        <v>45824</v>
      </c>
      <c r="G315">
        <v>8</v>
      </c>
      <c r="H315">
        <v>8</v>
      </c>
      <c r="I315" t="s">
        <v>360</v>
      </c>
      <c r="J315" s="27">
        <v>45826</v>
      </c>
      <c r="L315" s="29">
        <v>1247.7313973684211</v>
      </c>
      <c r="M315" s="29">
        <v>9981.8511789473687</v>
      </c>
      <c r="N315" s="15">
        <v>45809</v>
      </c>
    </row>
    <row r="316" spans="1:14" x14ac:dyDescent="0.25">
      <c r="A316">
        <v>430548</v>
      </c>
      <c r="B316" t="s">
        <v>955</v>
      </c>
      <c r="C316">
        <v>54660</v>
      </c>
      <c r="D316" t="s">
        <v>33</v>
      </c>
      <c r="E316" t="s">
        <v>22</v>
      </c>
      <c r="F316" s="27">
        <v>45824</v>
      </c>
      <c r="G316">
        <v>1</v>
      </c>
      <c r="H316">
        <v>1</v>
      </c>
      <c r="I316" t="s">
        <v>975</v>
      </c>
      <c r="J316" s="27">
        <v>45832</v>
      </c>
      <c r="L316" s="29">
        <v>2079.5523289473686</v>
      </c>
      <c r="M316" s="29">
        <v>2079.5523289473686</v>
      </c>
      <c r="N316" s="15">
        <v>45809</v>
      </c>
    </row>
    <row r="317" spans="1:14" x14ac:dyDescent="0.25">
      <c r="A317">
        <v>430550</v>
      </c>
      <c r="B317" t="s">
        <v>955</v>
      </c>
      <c r="C317">
        <v>54659</v>
      </c>
      <c r="D317" t="s">
        <v>33</v>
      </c>
      <c r="E317" t="s">
        <v>22</v>
      </c>
      <c r="F317" s="27">
        <v>45824</v>
      </c>
      <c r="G317">
        <v>1</v>
      </c>
      <c r="H317">
        <v>1</v>
      </c>
      <c r="I317" t="s">
        <v>976</v>
      </c>
      <c r="J317" s="27">
        <v>45832</v>
      </c>
      <c r="L317" s="29">
        <v>2079.5523289473686</v>
      </c>
      <c r="M317" s="29">
        <v>2079.5523289473686</v>
      </c>
      <c r="N317" s="15">
        <v>45809</v>
      </c>
    </row>
    <row r="318" spans="1:14" x14ac:dyDescent="0.25">
      <c r="A318">
        <v>430552</v>
      </c>
      <c r="B318" t="s">
        <v>955</v>
      </c>
      <c r="C318">
        <v>54581</v>
      </c>
      <c r="D318" t="s">
        <v>33</v>
      </c>
      <c r="E318" t="s">
        <v>22</v>
      </c>
      <c r="F318" s="27">
        <v>45824</v>
      </c>
      <c r="G318">
        <v>2</v>
      </c>
      <c r="H318">
        <v>2</v>
      </c>
      <c r="I318" t="s">
        <v>977</v>
      </c>
      <c r="J318" s="27">
        <v>45832</v>
      </c>
      <c r="L318" s="29">
        <v>2079.5523289473686</v>
      </c>
      <c r="M318" s="29">
        <v>4159.1046578947371</v>
      </c>
      <c r="N318" s="15">
        <v>45809</v>
      </c>
    </row>
    <row r="319" spans="1:14" x14ac:dyDescent="0.25">
      <c r="A319">
        <v>430554</v>
      </c>
      <c r="B319" t="s">
        <v>955</v>
      </c>
      <c r="C319">
        <v>54665</v>
      </c>
      <c r="D319" t="s">
        <v>33</v>
      </c>
      <c r="E319" t="s">
        <v>22</v>
      </c>
      <c r="F319" s="27">
        <v>45824</v>
      </c>
      <c r="G319">
        <v>4</v>
      </c>
      <c r="H319">
        <v>4</v>
      </c>
      <c r="I319" t="s">
        <v>978</v>
      </c>
      <c r="J319" s="27">
        <v>45832</v>
      </c>
      <c r="L319" s="29">
        <v>2079.5523289473686</v>
      </c>
      <c r="M319" s="29">
        <v>8318.2093157894742</v>
      </c>
      <c r="N319" s="15">
        <v>45809</v>
      </c>
    </row>
    <row r="320" spans="1:14" x14ac:dyDescent="0.25">
      <c r="A320">
        <v>432454</v>
      </c>
      <c r="B320" t="s">
        <v>23</v>
      </c>
      <c r="C320">
        <v>54720</v>
      </c>
      <c r="D320" t="s">
        <v>42</v>
      </c>
      <c r="E320" t="s">
        <v>22</v>
      </c>
      <c r="F320" s="27">
        <v>45823</v>
      </c>
      <c r="G320">
        <v>4</v>
      </c>
      <c r="H320">
        <v>4</v>
      </c>
      <c r="I320">
        <v>2711</v>
      </c>
      <c r="J320" s="27">
        <v>45837</v>
      </c>
      <c r="L320" s="29">
        <v>1418</v>
      </c>
      <c r="M320" s="29">
        <v>5672</v>
      </c>
      <c r="N320" s="15">
        <v>45809</v>
      </c>
    </row>
    <row r="321" spans="1:14" x14ac:dyDescent="0.25">
      <c r="A321">
        <v>432453</v>
      </c>
      <c r="B321" t="s">
        <v>23</v>
      </c>
      <c r="C321">
        <v>54720</v>
      </c>
      <c r="D321" t="s">
        <v>42</v>
      </c>
      <c r="E321" t="s">
        <v>22</v>
      </c>
      <c r="F321" s="27">
        <v>45822</v>
      </c>
      <c r="G321">
        <v>3</v>
      </c>
      <c r="H321">
        <v>3</v>
      </c>
      <c r="I321">
        <v>2711</v>
      </c>
      <c r="J321" s="27">
        <v>45837</v>
      </c>
      <c r="L321" s="29">
        <v>1418</v>
      </c>
      <c r="M321" s="29">
        <v>4254</v>
      </c>
      <c r="N321" s="15">
        <v>45809</v>
      </c>
    </row>
    <row r="322" spans="1:14" x14ac:dyDescent="0.25">
      <c r="A322">
        <v>434525</v>
      </c>
      <c r="B322" t="s">
        <v>24</v>
      </c>
      <c r="C322">
        <v>54163</v>
      </c>
      <c r="D322" t="s">
        <v>39</v>
      </c>
      <c r="E322" t="s">
        <v>22</v>
      </c>
      <c r="F322" s="27">
        <v>45822</v>
      </c>
      <c r="G322">
        <v>88</v>
      </c>
      <c r="H322">
        <v>88</v>
      </c>
      <c r="I322" t="s">
        <v>361</v>
      </c>
      <c r="J322" s="27">
        <v>45840</v>
      </c>
      <c r="L322" s="29">
        <v>831.82093157894735</v>
      </c>
      <c r="M322" s="29">
        <v>73200.241978947364</v>
      </c>
      <c r="N322" s="15">
        <v>45809</v>
      </c>
    </row>
    <row r="323" spans="1:14" x14ac:dyDescent="0.25">
      <c r="A323">
        <v>432452</v>
      </c>
      <c r="B323" t="s">
        <v>23</v>
      </c>
      <c r="C323">
        <v>54720</v>
      </c>
      <c r="D323" t="s">
        <v>42</v>
      </c>
      <c r="E323" t="s">
        <v>22</v>
      </c>
      <c r="F323" s="27">
        <v>45821</v>
      </c>
      <c r="G323">
        <v>3</v>
      </c>
      <c r="H323">
        <v>3</v>
      </c>
      <c r="I323">
        <v>2711</v>
      </c>
      <c r="J323" s="27">
        <v>45837</v>
      </c>
      <c r="L323" s="29">
        <v>1418</v>
      </c>
      <c r="M323" s="29">
        <v>4254</v>
      </c>
      <c r="N323" s="15">
        <v>45809</v>
      </c>
    </row>
    <row r="324" spans="1:14" x14ac:dyDescent="0.25">
      <c r="A324">
        <v>434666</v>
      </c>
      <c r="B324" t="s">
        <v>31</v>
      </c>
      <c r="C324">
        <v>13969</v>
      </c>
      <c r="D324" t="s">
        <v>46</v>
      </c>
      <c r="E324" t="s">
        <v>19</v>
      </c>
      <c r="F324" s="27">
        <v>45821</v>
      </c>
      <c r="G324">
        <v>12.5</v>
      </c>
      <c r="H324">
        <v>12.5</v>
      </c>
      <c r="I324" t="s">
        <v>362</v>
      </c>
      <c r="J324" s="27">
        <v>45840</v>
      </c>
      <c r="L324" s="29">
        <v>1247.7313973684211</v>
      </c>
      <c r="M324" s="29">
        <v>15596.642467105263</v>
      </c>
      <c r="N324" s="15">
        <v>45809</v>
      </c>
    </row>
    <row r="325" spans="1:14" x14ac:dyDescent="0.25">
      <c r="A325">
        <v>430394</v>
      </c>
      <c r="B325" t="s">
        <v>955</v>
      </c>
      <c r="C325">
        <v>54665</v>
      </c>
      <c r="D325" t="s">
        <v>41</v>
      </c>
      <c r="E325" t="s">
        <v>22</v>
      </c>
      <c r="F325" s="27">
        <v>45820</v>
      </c>
      <c r="G325">
        <v>8</v>
      </c>
      <c r="H325">
        <v>8</v>
      </c>
      <c r="I325" t="s">
        <v>979</v>
      </c>
      <c r="J325" s="27">
        <v>45831</v>
      </c>
      <c r="L325" s="29">
        <v>1663.6418631578947</v>
      </c>
      <c r="M325" s="29">
        <v>13309.134905263158</v>
      </c>
      <c r="N325" s="15">
        <v>45809</v>
      </c>
    </row>
    <row r="326" spans="1:14" x14ac:dyDescent="0.25">
      <c r="A326">
        <v>432436</v>
      </c>
      <c r="B326" t="s">
        <v>31</v>
      </c>
      <c r="C326">
        <v>13969</v>
      </c>
      <c r="D326" t="s">
        <v>42</v>
      </c>
      <c r="E326" t="s">
        <v>19</v>
      </c>
      <c r="F326" s="27">
        <v>45819</v>
      </c>
      <c r="G326">
        <v>0.5</v>
      </c>
      <c r="H326">
        <v>0.5</v>
      </c>
      <c r="I326" t="s">
        <v>295</v>
      </c>
      <c r="J326" s="27">
        <v>45837</v>
      </c>
      <c r="L326" s="29">
        <v>1418</v>
      </c>
      <c r="M326" s="29">
        <v>709</v>
      </c>
      <c r="N326" s="15">
        <v>45809</v>
      </c>
    </row>
    <row r="327" spans="1:14" x14ac:dyDescent="0.25">
      <c r="A327">
        <v>430393</v>
      </c>
      <c r="B327" t="s">
        <v>955</v>
      </c>
      <c r="C327">
        <v>54654</v>
      </c>
      <c r="D327" t="s">
        <v>41</v>
      </c>
      <c r="E327" t="s">
        <v>22</v>
      </c>
      <c r="F327" s="27">
        <v>45819</v>
      </c>
      <c r="G327">
        <v>8</v>
      </c>
      <c r="H327">
        <v>8</v>
      </c>
      <c r="I327" t="s">
        <v>980</v>
      </c>
      <c r="J327" s="27">
        <v>45831</v>
      </c>
      <c r="L327" s="29">
        <v>1663.6418631578947</v>
      </c>
      <c r="M327" s="29">
        <v>13309.134905263158</v>
      </c>
      <c r="N327" s="15">
        <v>45809</v>
      </c>
    </row>
    <row r="328" spans="1:14" x14ac:dyDescent="0.25">
      <c r="A328">
        <v>432451</v>
      </c>
      <c r="B328" t="s">
        <v>23</v>
      </c>
      <c r="C328">
        <v>54720</v>
      </c>
      <c r="D328" t="s">
        <v>42</v>
      </c>
      <c r="E328" t="s">
        <v>22</v>
      </c>
      <c r="F328" s="27">
        <v>45819</v>
      </c>
      <c r="G328">
        <v>2.5</v>
      </c>
      <c r="H328">
        <v>2.5</v>
      </c>
      <c r="I328">
        <v>2711</v>
      </c>
      <c r="J328" s="27">
        <v>45837</v>
      </c>
      <c r="L328" s="29">
        <v>1418</v>
      </c>
      <c r="M328" s="29">
        <v>3545</v>
      </c>
      <c r="N328" s="15">
        <v>45809</v>
      </c>
    </row>
    <row r="329" spans="1:14" x14ac:dyDescent="0.25">
      <c r="A329">
        <v>427371</v>
      </c>
      <c r="B329" t="s">
        <v>31</v>
      </c>
      <c r="C329">
        <v>13970</v>
      </c>
      <c r="D329" t="s">
        <v>36</v>
      </c>
      <c r="E329" t="s">
        <v>19</v>
      </c>
      <c r="F329" s="27">
        <v>45819</v>
      </c>
      <c r="G329">
        <v>8</v>
      </c>
      <c r="H329">
        <v>8</v>
      </c>
      <c r="I329" t="s">
        <v>308</v>
      </c>
      <c r="J329" s="27">
        <v>45819</v>
      </c>
      <c r="L329" s="29">
        <v>1996.3702361842106</v>
      </c>
      <c r="M329" s="29">
        <v>15970.961889473685</v>
      </c>
      <c r="N329" s="15">
        <v>45809</v>
      </c>
    </row>
    <row r="330" spans="1:14" x14ac:dyDescent="0.25">
      <c r="A330">
        <v>427375</v>
      </c>
      <c r="B330" t="s">
        <v>28</v>
      </c>
      <c r="C330">
        <v>51263</v>
      </c>
      <c r="D330" t="s">
        <v>27</v>
      </c>
      <c r="E330" t="s">
        <v>22</v>
      </c>
      <c r="F330" s="27">
        <v>45819</v>
      </c>
      <c r="G330">
        <v>8</v>
      </c>
      <c r="H330">
        <v>8</v>
      </c>
      <c r="I330" t="s">
        <v>363</v>
      </c>
      <c r="J330" s="27">
        <v>45819</v>
      </c>
      <c r="L330" s="29">
        <v>665.45674539473691</v>
      </c>
      <c r="M330" s="29">
        <v>5323.6539631578953</v>
      </c>
      <c r="N330" s="15">
        <v>45809</v>
      </c>
    </row>
    <row r="331" spans="1:14" x14ac:dyDescent="0.25">
      <c r="A331">
        <v>428438</v>
      </c>
      <c r="B331" t="s">
        <v>23</v>
      </c>
      <c r="C331">
        <v>52109</v>
      </c>
      <c r="D331" t="s">
        <v>21</v>
      </c>
      <c r="E331" t="s">
        <v>22</v>
      </c>
      <c r="F331" s="27">
        <v>45819</v>
      </c>
      <c r="G331">
        <v>1</v>
      </c>
      <c r="H331">
        <v>1</v>
      </c>
      <c r="I331" t="s">
        <v>364</v>
      </c>
      <c r="J331" s="27">
        <v>45826</v>
      </c>
      <c r="L331" s="29">
        <v>1871.5970960526315</v>
      </c>
      <c r="M331" s="29">
        <v>1871.5970960526315</v>
      </c>
      <c r="N331" s="15">
        <v>45809</v>
      </c>
    </row>
    <row r="332" spans="1:14" x14ac:dyDescent="0.25">
      <c r="A332">
        <v>428443</v>
      </c>
      <c r="B332" t="s">
        <v>23</v>
      </c>
      <c r="C332">
        <v>54722</v>
      </c>
      <c r="D332" t="s">
        <v>21</v>
      </c>
      <c r="E332" t="s">
        <v>22</v>
      </c>
      <c r="F332" s="27">
        <v>45819</v>
      </c>
      <c r="G332">
        <v>6.5</v>
      </c>
      <c r="H332">
        <v>6.5</v>
      </c>
      <c r="I332" t="s">
        <v>359</v>
      </c>
      <c r="J332" s="27">
        <v>45826</v>
      </c>
      <c r="L332" s="29">
        <v>1871.5970960526315</v>
      </c>
      <c r="M332" s="29">
        <v>12165.381124342104</v>
      </c>
      <c r="N332" s="15">
        <v>45809</v>
      </c>
    </row>
    <row r="333" spans="1:14" x14ac:dyDescent="0.25">
      <c r="A333">
        <v>427189</v>
      </c>
      <c r="B333" t="s">
        <v>250</v>
      </c>
      <c r="C333">
        <v>7176</v>
      </c>
      <c r="D333" t="s">
        <v>26</v>
      </c>
      <c r="E333" t="s">
        <v>22</v>
      </c>
      <c r="F333" s="27">
        <v>45819</v>
      </c>
      <c r="G333">
        <v>0.5</v>
      </c>
      <c r="H333">
        <v>0.5</v>
      </c>
      <c r="I333" t="s">
        <v>365</v>
      </c>
      <c r="J333" s="27">
        <v>45819</v>
      </c>
      <c r="L333" s="29">
        <v>1081.3672111842104</v>
      </c>
      <c r="M333" s="29">
        <v>540.68360559210521</v>
      </c>
      <c r="N333" s="15">
        <v>45809</v>
      </c>
    </row>
    <row r="334" spans="1:14" x14ac:dyDescent="0.25">
      <c r="A334">
        <v>430540</v>
      </c>
      <c r="B334" t="s">
        <v>955</v>
      </c>
      <c r="C334">
        <v>54659</v>
      </c>
      <c r="D334" t="s">
        <v>33</v>
      </c>
      <c r="E334" t="s">
        <v>22</v>
      </c>
      <c r="F334" s="27">
        <v>45819</v>
      </c>
      <c r="G334">
        <v>2</v>
      </c>
      <c r="H334">
        <v>2</v>
      </c>
      <c r="I334" t="s">
        <v>981</v>
      </c>
      <c r="J334" s="27">
        <v>45832</v>
      </c>
      <c r="L334" s="29">
        <v>2079.5523289473686</v>
      </c>
      <c r="M334" s="29">
        <v>4159.1046578947371</v>
      </c>
      <c r="N334" s="15">
        <v>45809</v>
      </c>
    </row>
    <row r="335" spans="1:14" x14ac:dyDescent="0.25">
      <c r="A335">
        <v>430541</v>
      </c>
      <c r="B335" t="s">
        <v>955</v>
      </c>
      <c r="C335">
        <v>54656</v>
      </c>
      <c r="D335" t="s">
        <v>33</v>
      </c>
      <c r="E335" t="s">
        <v>22</v>
      </c>
      <c r="F335" s="27">
        <v>45819</v>
      </c>
      <c r="G335">
        <v>2</v>
      </c>
      <c r="H335">
        <v>2</v>
      </c>
      <c r="I335" t="s">
        <v>981</v>
      </c>
      <c r="J335" s="27">
        <v>45832</v>
      </c>
      <c r="L335" s="29">
        <v>2079.5523289473686</v>
      </c>
      <c r="M335" s="29">
        <v>4159.1046578947371</v>
      </c>
      <c r="N335" s="15">
        <v>45809</v>
      </c>
    </row>
    <row r="336" spans="1:14" x14ac:dyDescent="0.25">
      <c r="A336">
        <v>427982</v>
      </c>
      <c r="B336" t="s">
        <v>31</v>
      </c>
      <c r="C336">
        <v>13969</v>
      </c>
      <c r="D336" t="s">
        <v>46</v>
      </c>
      <c r="E336" t="s">
        <v>19</v>
      </c>
      <c r="F336" s="27">
        <v>45819</v>
      </c>
      <c r="G336">
        <v>3</v>
      </c>
      <c r="H336">
        <v>3</v>
      </c>
      <c r="I336" t="s">
        <v>352</v>
      </c>
      <c r="J336" s="27">
        <v>45824</v>
      </c>
      <c r="L336" s="29">
        <v>1247.7313973684211</v>
      </c>
      <c r="M336" s="29">
        <v>3743.194192105263</v>
      </c>
      <c r="N336" s="15">
        <v>45809</v>
      </c>
    </row>
    <row r="337" spans="1:14" x14ac:dyDescent="0.25">
      <c r="A337">
        <v>430542</v>
      </c>
      <c r="B337" t="s">
        <v>955</v>
      </c>
      <c r="C337">
        <v>54657</v>
      </c>
      <c r="D337" t="s">
        <v>33</v>
      </c>
      <c r="E337" t="s">
        <v>22</v>
      </c>
      <c r="F337" s="27">
        <v>45819</v>
      </c>
      <c r="G337">
        <v>2</v>
      </c>
      <c r="H337">
        <v>2</v>
      </c>
      <c r="I337" t="s">
        <v>982</v>
      </c>
      <c r="J337" s="27">
        <v>45832</v>
      </c>
      <c r="L337" s="29">
        <v>2079.5523289473686</v>
      </c>
      <c r="M337" s="29">
        <v>4159.1046578947371</v>
      </c>
      <c r="N337" s="15">
        <v>45809</v>
      </c>
    </row>
    <row r="338" spans="1:14" x14ac:dyDescent="0.25">
      <c r="A338">
        <v>430543</v>
      </c>
      <c r="B338" t="s">
        <v>28</v>
      </c>
      <c r="C338">
        <v>51251</v>
      </c>
      <c r="D338" t="s">
        <v>33</v>
      </c>
      <c r="E338" t="s">
        <v>22</v>
      </c>
      <c r="F338" s="27">
        <v>45819</v>
      </c>
      <c r="G338">
        <v>1</v>
      </c>
      <c r="H338">
        <v>1</v>
      </c>
      <c r="I338" t="s">
        <v>366</v>
      </c>
      <c r="J338" s="27">
        <v>45832</v>
      </c>
      <c r="L338" s="29">
        <v>2079.5523289473686</v>
      </c>
      <c r="M338" s="29">
        <v>2079.5523289473686</v>
      </c>
      <c r="N338" s="15">
        <v>45809</v>
      </c>
    </row>
    <row r="339" spans="1:14" x14ac:dyDescent="0.25">
      <c r="A339">
        <v>427984</v>
      </c>
      <c r="B339" t="s">
        <v>31</v>
      </c>
      <c r="C339">
        <v>13969</v>
      </c>
      <c r="D339" t="s">
        <v>46</v>
      </c>
      <c r="E339" t="s">
        <v>19</v>
      </c>
      <c r="F339" s="27">
        <v>45819</v>
      </c>
      <c r="G339">
        <v>0.5</v>
      </c>
      <c r="H339">
        <v>0.5</v>
      </c>
      <c r="I339" t="s">
        <v>331</v>
      </c>
      <c r="J339" s="27">
        <v>45824</v>
      </c>
      <c r="L339" s="29">
        <v>1247.7313973684211</v>
      </c>
      <c r="M339" s="29">
        <v>623.86569868421054</v>
      </c>
      <c r="N339" s="15">
        <v>45809</v>
      </c>
    </row>
    <row r="340" spans="1:14" x14ac:dyDescent="0.25">
      <c r="A340">
        <v>430544</v>
      </c>
      <c r="B340" t="s">
        <v>28</v>
      </c>
      <c r="C340">
        <v>51251</v>
      </c>
      <c r="D340" t="s">
        <v>33</v>
      </c>
      <c r="E340" t="s">
        <v>22</v>
      </c>
      <c r="F340" s="27">
        <v>45819</v>
      </c>
      <c r="G340">
        <v>1</v>
      </c>
      <c r="H340">
        <v>1</v>
      </c>
      <c r="I340" t="s">
        <v>367</v>
      </c>
      <c r="J340" s="27">
        <v>45832</v>
      </c>
      <c r="L340" s="29">
        <v>2079.5523289473686</v>
      </c>
      <c r="M340" s="29">
        <v>2079.5523289473686</v>
      </c>
      <c r="N340" s="15">
        <v>45809</v>
      </c>
    </row>
    <row r="341" spans="1:14" x14ac:dyDescent="0.25">
      <c r="A341">
        <v>427985</v>
      </c>
      <c r="B341" t="s">
        <v>31</v>
      </c>
      <c r="C341">
        <v>13969</v>
      </c>
      <c r="D341" t="s">
        <v>46</v>
      </c>
      <c r="E341" t="s">
        <v>19</v>
      </c>
      <c r="F341" s="27">
        <v>45819</v>
      </c>
      <c r="G341">
        <v>3.5</v>
      </c>
      <c r="H341">
        <v>3.5</v>
      </c>
      <c r="I341" t="s">
        <v>312</v>
      </c>
      <c r="J341" s="27">
        <v>45824</v>
      </c>
      <c r="L341" s="29">
        <v>1247.7313973684211</v>
      </c>
      <c r="M341" s="29">
        <v>4367.0598907894737</v>
      </c>
      <c r="N341" s="15">
        <v>45809</v>
      </c>
    </row>
    <row r="342" spans="1:14" x14ac:dyDescent="0.25">
      <c r="A342">
        <v>432868</v>
      </c>
      <c r="B342" t="s">
        <v>24</v>
      </c>
      <c r="C342">
        <v>54433</v>
      </c>
      <c r="D342" t="s">
        <v>25</v>
      </c>
      <c r="E342" t="s">
        <v>22</v>
      </c>
      <c r="F342" s="27">
        <v>45819</v>
      </c>
      <c r="G342">
        <v>1.5</v>
      </c>
      <c r="H342">
        <v>1.5</v>
      </c>
      <c r="I342" t="s">
        <v>297</v>
      </c>
      <c r="J342" s="27">
        <v>45838</v>
      </c>
      <c r="L342" s="29">
        <v>1247.7313973684211</v>
      </c>
      <c r="M342" s="29">
        <v>1871.5970960526315</v>
      </c>
      <c r="N342" s="15">
        <v>45809</v>
      </c>
    </row>
    <row r="343" spans="1:14" x14ac:dyDescent="0.25">
      <c r="A343">
        <v>432870</v>
      </c>
      <c r="B343" t="s">
        <v>23</v>
      </c>
      <c r="C343">
        <v>52109</v>
      </c>
      <c r="D343" t="s">
        <v>25</v>
      </c>
      <c r="E343" t="s">
        <v>22</v>
      </c>
      <c r="F343" s="27">
        <v>45819</v>
      </c>
      <c r="G343">
        <v>6.5</v>
      </c>
      <c r="H343">
        <v>6.5</v>
      </c>
      <c r="I343" t="s">
        <v>297</v>
      </c>
      <c r="J343" s="27">
        <v>45838</v>
      </c>
      <c r="L343" s="29">
        <v>1247.7313973684211</v>
      </c>
      <c r="M343" s="29">
        <v>8110.2540828947367</v>
      </c>
      <c r="N343" s="15">
        <v>45809</v>
      </c>
    </row>
    <row r="344" spans="1:14" x14ac:dyDescent="0.25">
      <c r="A344">
        <v>426773</v>
      </c>
      <c r="B344" t="s">
        <v>23</v>
      </c>
      <c r="C344">
        <v>52109</v>
      </c>
      <c r="D344" t="s">
        <v>21</v>
      </c>
      <c r="E344" t="s">
        <v>22</v>
      </c>
      <c r="F344" s="27">
        <v>45818</v>
      </c>
      <c r="G344">
        <v>1</v>
      </c>
      <c r="H344">
        <v>1</v>
      </c>
      <c r="I344" t="s">
        <v>368</v>
      </c>
      <c r="J344" s="27">
        <v>45818</v>
      </c>
      <c r="L344" s="29">
        <v>1871.5970960526315</v>
      </c>
      <c r="M344" s="29">
        <v>1871.5970960526315</v>
      </c>
      <c r="N344" s="15">
        <v>45809</v>
      </c>
    </row>
    <row r="345" spans="1:14" x14ac:dyDescent="0.25">
      <c r="A345">
        <v>432435</v>
      </c>
      <c r="B345" t="s">
        <v>31</v>
      </c>
      <c r="C345">
        <v>13969</v>
      </c>
      <c r="D345" t="s">
        <v>42</v>
      </c>
      <c r="E345" t="s">
        <v>19</v>
      </c>
      <c r="F345" s="27">
        <v>45818</v>
      </c>
      <c r="G345">
        <v>0.5</v>
      </c>
      <c r="H345">
        <v>0.5</v>
      </c>
      <c r="I345" t="s">
        <v>295</v>
      </c>
      <c r="J345" s="27">
        <v>45837</v>
      </c>
      <c r="L345" s="29">
        <v>1418</v>
      </c>
      <c r="M345" s="29">
        <v>709</v>
      </c>
      <c r="N345" s="15">
        <v>45809</v>
      </c>
    </row>
    <row r="346" spans="1:14" x14ac:dyDescent="0.25">
      <c r="A346">
        <v>430392</v>
      </c>
      <c r="B346" t="s">
        <v>955</v>
      </c>
      <c r="C346">
        <v>54654</v>
      </c>
      <c r="D346" t="s">
        <v>41</v>
      </c>
      <c r="E346" t="s">
        <v>22</v>
      </c>
      <c r="F346" s="27">
        <v>45818</v>
      </c>
      <c r="G346">
        <v>8</v>
      </c>
      <c r="H346">
        <v>8</v>
      </c>
      <c r="I346" t="s">
        <v>980</v>
      </c>
      <c r="J346" s="27">
        <v>45831</v>
      </c>
      <c r="L346" s="29">
        <v>1663.6418631578947</v>
      </c>
      <c r="M346" s="29">
        <v>13309.134905263158</v>
      </c>
      <c r="N346" s="15">
        <v>45809</v>
      </c>
    </row>
    <row r="347" spans="1:14" x14ac:dyDescent="0.25">
      <c r="A347">
        <v>427370</v>
      </c>
      <c r="B347" t="s">
        <v>31</v>
      </c>
      <c r="C347">
        <v>13970</v>
      </c>
      <c r="D347" t="s">
        <v>36</v>
      </c>
      <c r="E347" t="s">
        <v>19</v>
      </c>
      <c r="F347" s="27">
        <v>45818</v>
      </c>
      <c r="G347">
        <v>8</v>
      </c>
      <c r="H347">
        <v>8</v>
      </c>
      <c r="I347" t="s">
        <v>308</v>
      </c>
      <c r="J347" s="27">
        <v>45819</v>
      </c>
      <c r="L347" s="29">
        <v>1996.3702361842106</v>
      </c>
      <c r="M347" s="29">
        <v>15970.961889473685</v>
      </c>
      <c r="N347" s="15">
        <v>45809</v>
      </c>
    </row>
    <row r="348" spans="1:14" x14ac:dyDescent="0.25">
      <c r="A348">
        <v>428401</v>
      </c>
      <c r="B348" t="s">
        <v>23</v>
      </c>
      <c r="C348">
        <v>54460</v>
      </c>
      <c r="D348" t="s">
        <v>26</v>
      </c>
      <c r="E348" t="s">
        <v>22</v>
      </c>
      <c r="F348" s="27">
        <v>45818</v>
      </c>
      <c r="G348">
        <v>7</v>
      </c>
      <c r="H348">
        <v>7</v>
      </c>
      <c r="I348" t="s">
        <v>369</v>
      </c>
      <c r="J348" s="27">
        <v>45826</v>
      </c>
      <c r="L348" s="29">
        <v>1081.3672111842104</v>
      </c>
      <c r="M348" s="29">
        <v>7569.5704782894727</v>
      </c>
      <c r="N348" s="15">
        <v>45809</v>
      </c>
    </row>
    <row r="349" spans="1:14" x14ac:dyDescent="0.25">
      <c r="A349">
        <v>428441</v>
      </c>
      <c r="B349" t="s">
        <v>23</v>
      </c>
      <c r="C349">
        <v>54722</v>
      </c>
      <c r="D349" t="s">
        <v>21</v>
      </c>
      <c r="E349" t="s">
        <v>22</v>
      </c>
      <c r="F349" s="27">
        <v>45818</v>
      </c>
      <c r="G349">
        <v>6.5</v>
      </c>
      <c r="H349">
        <v>6.5</v>
      </c>
      <c r="I349" t="s">
        <v>370</v>
      </c>
      <c r="J349" s="27">
        <v>45826</v>
      </c>
      <c r="L349" s="29">
        <v>1871.5970960526315</v>
      </c>
      <c r="M349" s="29">
        <v>12165.381124342104</v>
      </c>
      <c r="N349" s="15">
        <v>45809</v>
      </c>
    </row>
    <row r="350" spans="1:14" x14ac:dyDescent="0.25">
      <c r="A350">
        <v>428711</v>
      </c>
      <c r="B350" t="s">
        <v>23</v>
      </c>
      <c r="C350">
        <v>52109</v>
      </c>
      <c r="D350" t="s">
        <v>25</v>
      </c>
      <c r="E350" t="s">
        <v>22</v>
      </c>
      <c r="F350" s="27">
        <v>45818</v>
      </c>
      <c r="G350">
        <v>6</v>
      </c>
      <c r="H350">
        <v>6</v>
      </c>
      <c r="I350" t="s">
        <v>371</v>
      </c>
      <c r="J350" s="27">
        <v>45826</v>
      </c>
      <c r="L350" s="29">
        <v>1247.7313973684211</v>
      </c>
      <c r="M350" s="29">
        <v>7486.3883842105261</v>
      </c>
      <c r="N350" s="15">
        <v>45809</v>
      </c>
    </row>
    <row r="351" spans="1:14" x14ac:dyDescent="0.25">
      <c r="A351">
        <v>428712</v>
      </c>
      <c r="B351" t="s">
        <v>23</v>
      </c>
      <c r="C351">
        <v>54721</v>
      </c>
      <c r="D351" t="s">
        <v>25</v>
      </c>
      <c r="E351" t="s">
        <v>22</v>
      </c>
      <c r="F351" s="27">
        <v>45818</v>
      </c>
      <c r="G351">
        <v>1</v>
      </c>
      <c r="H351">
        <v>1</v>
      </c>
      <c r="I351" t="s">
        <v>372</v>
      </c>
      <c r="J351" s="27">
        <v>45826</v>
      </c>
      <c r="L351" s="29">
        <v>1247.7313973684211</v>
      </c>
      <c r="M351" s="29">
        <v>1247.7313973684211</v>
      </c>
      <c r="N351" s="15">
        <v>45809</v>
      </c>
    </row>
    <row r="352" spans="1:14" x14ac:dyDescent="0.25">
      <c r="A352">
        <v>426944</v>
      </c>
      <c r="B352" t="s">
        <v>28</v>
      </c>
      <c r="C352">
        <v>51263</v>
      </c>
      <c r="D352" t="s">
        <v>27</v>
      </c>
      <c r="E352" t="s">
        <v>22</v>
      </c>
      <c r="F352" s="27">
        <v>45818</v>
      </c>
      <c r="G352">
        <v>7.5</v>
      </c>
      <c r="H352">
        <v>7.5</v>
      </c>
      <c r="I352" t="s">
        <v>373</v>
      </c>
      <c r="J352" s="27">
        <v>45818</v>
      </c>
      <c r="L352" s="29">
        <v>665.45674539473691</v>
      </c>
      <c r="M352" s="29">
        <v>4990.925590460527</v>
      </c>
      <c r="N352" s="15">
        <v>45809</v>
      </c>
    </row>
    <row r="353" spans="1:14" x14ac:dyDescent="0.25">
      <c r="A353">
        <v>430532</v>
      </c>
      <c r="B353" t="s">
        <v>955</v>
      </c>
      <c r="C353">
        <v>54656</v>
      </c>
      <c r="D353" t="s">
        <v>33</v>
      </c>
      <c r="E353" t="s">
        <v>22</v>
      </c>
      <c r="F353" s="27">
        <v>45818</v>
      </c>
      <c r="G353">
        <v>1</v>
      </c>
      <c r="H353">
        <v>1</v>
      </c>
      <c r="I353" t="s">
        <v>983</v>
      </c>
      <c r="J353" s="27">
        <v>45832</v>
      </c>
      <c r="L353" s="29">
        <v>2079.5523289473686</v>
      </c>
      <c r="M353" s="29">
        <v>2079.5523289473686</v>
      </c>
      <c r="N353" s="15">
        <v>45809</v>
      </c>
    </row>
    <row r="354" spans="1:14" x14ac:dyDescent="0.25">
      <c r="A354">
        <v>430533</v>
      </c>
      <c r="B354" t="s">
        <v>955</v>
      </c>
      <c r="C354">
        <v>54660</v>
      </c>
      <c r="D354" t="s">
        <v>33</v>
      </c>
      <c r="E354" t="s">
        <v>22</v>
      </c>
      <c r="F354" s="27">
        <v>45818</v>
      </c>
      <c r="G354">
        <v>1</v>
      </c>
      <c r="H354">
        <v>1</v>
      </c>
      <c r="I354" t="s">
        <v>984</v>
      </c>
      <c r="J354" s="27">
        <v>45832</v>
      </c>
      <c r="L354" s="29">
        <v>2079.5523289473686</v>
      </c>
      <c r="M354" s="29">
        <v>2079.5523289473686</v>
      </c>
      <c r="N354" s="15">
        <v>45809</v>
      </c>
    </row>
    <row r="355" spans="1:14" x14ac:dyDescent="0.25">
      <c r="A355">
        <v>430534</v>
      </c>
      <c r="B355" t="s">
        <v>955</v>
      </c>
      <c r="C355">
        <v>54648</v>
      </c>
      <c r="D355" t="s">
        <v>33</v>
      </c>
      <c r="E355" t="s">
        <v>22</v>
      </c>
      <c r="F355" s="27">
        <v>45818</v>
      </c>
      <c r="G355">
        <v>2</v>
      </c>
      <c r="H355">
        <v>2</v>
      </c>
      <c r="I355" t="s">
        <v>985</v>
      </c>
      <c r="J355" s="27">
        <v>45832</v>
      </c>
      <c r="L355" s="29">
        <v>2079.5523289473686</v>
      </c>
      <c r="M355" s="29">
        <v>4159.1046578947371</v>
      </c>
      <c r="N355" s="15">
        <v>45809</v>
      </c>
    </row>
    <row r="356" spans="1:14" x14ac:dyDescent="0.25">
      <c r="A356">
        <v>430538</v>
      </c>
      <c r="B356" t="s">
        <v>955</v>
      </c>
      <c r="C356">
        <v>54581</v>
      </c>
      <c r="D356" t="s">
        <v>33</v>
      </c>
      <c r="E356" t="s">
        <v>22</v>
      </c>
      <c r="F356" s="27">
        <v>45818</v>
      </c>
      <c r="G356">
        <v>4</v>
      </c>
      <c r="H356">
        <v>4</v>
      </c>
      <c r="I356" t="s">
        <v>986</v>
      </c>
      <c r="J356" s="27">
        <v>45832</v>
      </c>
      <c r="L356" s="29">
        <v>2079.5523289473686</v>
      </c>
      <c r="M356" s="29">
        <v>8318.2093157894742</v>
      </c>
      <c r="N356" s="15">
        <v>45809</v>
      </c>
    </row>
    <row r="357" spans="1:14" x14ac:dyDescent="0.25">
      <c r="A357">
        <v>427981</v>
      </c>
      <c r="B357" t="s">
        <v>31</v>
      </c>
      <c r="C357">
        <v>13969</v>
      </c>
      <c r="D357" t="s">
        <v>46</v>
      </c>
      <c r="E357" t="s">
        <v>19</v>
      </c>
      <c r="F357" s="27">
        <v>45818</v>
      </c>
      <c r="G357">
        <v>8</v>
      </c>
      <c r="H357">
        <v>8</v>
      </c>
      <c r="I357" t="s">
        <v>352</v>
      </c>
      <c r="J357" s="27">
        <v>45824</v>
      </c>
      <c r="L357" s="29">
        <v>1247.7313973684211</v>
      </c>
      <c r="M357" s="29">
        <v>9981.8511789473687</v>
      </c>
      <c r="N357" s="15">
        <v>45809</v>
      </c>
    </row>
    <row r="358" spans="1:14" x14ac:dyDescent="0.25">
      <c r="A358">
        <v>432432</v>
      </c>
      <c r="B358" t="s">
        <v>31</v>
      </c>
      <c r="C358">
        <v>13969</v>
      </c>
      <c r="D358" t="s">
        <v>42</v>
      </c>
      <c r="E358" t="s">
        <v>19</v>
      </c>
      <c r="F358" s="27">
        <v>45817</v>
      </c>
      <c r="G358">
        <v>0.5</v>
      </c>
      <c r="H358">
        <v>0.5</v>
      </c>
      <c r="I358" t="s">
        <v>295</v>
      </c>
      <c r="J358" s="27">
        <v>45837</v>
      </c>
      <c r="L358" s="29">
        <v>1418</v>
      </c>
      <c r="M358" s="29">
        <v>709</v>
      </c>
      <c r="N358" s="15">
        <v>45809</v>
      </c>
    </row>
    <row r="359" spans="1:14" x14ac:dyDescent="0.25">
      <c r="A359">
        <v>430391</v>
      </c>
      <c r="B359" t="s">
        <v>955</v>
      </c>
      <c r="C359">
        <v>54647</v>
      </c>
      <c r="D359" t="s">
        <v>41</v>
      </c>
      <c r="E359" t="s">
        <v>22</v>
      </c>
      <c r="F359" s="27">
        <v>45817</v>
      </c>
      <c r="G359">
        <v>8</v>
      </c>
      <c r="H359">
        <v>8</v>
      </c>
      <c r="I359" t="s">
        <v>987</v>
      </c>
      <c r="J359" s="27">
        <v>45831</v>
      </c>
      <c r="L359" s="29">
        <v>1663.6418631578947</v>
      </c>
      <c r="M359" s="29">
        <v>13309.134905263158</v>
      </c>
      <c r="N359" s="15">
        <v>45809</v>
      </c>
    </row>
    <row r="360" spans="1:14" x14ac:dyDescent="0.25">
      <c r="A360">
        <v>432449</v>
      </c>
      <c r="B360" t="s">
        <v>23</v>
      </c>
      <c r="C360">
        <v>54720</v>
      </c>
      <c r="D360" t="s">
        <v>42</v>
      </c>
      <c r="E360" t="s">
        <v>22</v>
      </c>
      <c r="F360" s="27">
        <v>45817</v>
      </c>
      <c r="G360">
        <v>4</v>
      </c>
      <c r="H360">
        <v>4</v>
      </c>
      <c r="I360">
        <v>2715</v>
      </c>
      <c r="J360" s="27">
        <v>45837</v>
      </c>
      <c r="L360" s="29">
        <v>1418</v>
      </c>
      <c r="M360" s="29">
        <v>5672</v>
      </c>
      <c r="N360" s="15">
        <v>45809</v>
      </c>
    </row>
    <row r="361" spans="1:14" x14ac:dyDescent="0.25">
      <c r="A361">
        <v>432450</v>
      </c>
      <c r="B361" t="s">
        <v>23</v>
      </c>
      <c r="C361">
        <v>54720</v>
      </c>
      <c r="D361" t="s">
        <v>42</v>
      </c>
      <c r="E361" t="s">
        <v>22</v>
      </c>
      <c r="F361" s="27">
        <v>45817</v>
      </c>
      <c r="G361">
        <v>1</v>
      </c>
      <c r="H361">
        <v>1</v>
      </c>
      <c r="I361">
        <v>2727</v>
      </c>
      <c r="J361" s="27">
        <v>45837</v>
      </c>
      <c r="L361" s="29">
        <v>1418</v>
      </c>
      <c r="M361" s="29">
        <v>1418</v>
      </c>
      <c r="N361" s="15">
        <v>45809</v>
      </c>
    </row>
    <row r="362" spans="1:14" x14ac:dyDescent="0.25">
      <c r="A362">
        <v>426619</v>
      </c>
      <c r="B362" t="s">
        <v>31</v>
      </c>
      <c r="C362">
        <v>13970</v>
      </c>
      <c r="D362" t="s">
        <v>36</v>
      </c>
      <c r="E362" t="s">
        <v>19</v>
      </c>
      <c r="F362" s="27">
        <v>45817</v>
      </c>
      <c r="G362">
        <v>16</v>
      </c>
      <c r="H362">
        <v>16</v>
      </c>
      <c r="I362" t="s">
        <v>308</v>
      </c>
      <c r="J362" s="27">
        <v>45817</v>
      </c>
      <c r="L362" s="29">
        <v>1996.3702361842106</v>
      </c>
      <c r="M362" s="29">
        <v>31941.92377894737</v>
      </c>
      <c r="N362" s="15">
        <v>45809</v>
      </c>
    </row>
    <row r="363" spans="1:14" x14ac:dyDescent="0.25">
      <c r="A363">
        <v>426644</v>
      </c>
      <c r="B363" t="s">
        <v>28</v>
      </c>
      <c r="C363">
        <v>51263</v>
      </c>
      <c r="D363" t="s">
        <v>27</v>
      </c>
      <c r="E363" t="s">
        <v>22</v>
      </c>
      <c r="F363" s="27">
        <v>45817</v>
      </c>
      <c r="G363">
        <v>5.5</v>
      </c>
      <c r="H363">
        <v>5.5</v>
      </c>
      <c r="I363" t="s">
        <v>374</v>
      </c>
      <c r="J363" s="27">
        <v>45817</v>
      </c>
      <c r="L363" s="29">
        <v>665.45674539473691</v>
      </c>
      <c r="M363" s="29">
        <v>3660.012099671053</v>
      </c>
      <c r="N363" s="15">
        <v>45809</v>
      </c>
    </row>
    <row r="364" spans="1:14" x14ac:dyDescent="0.25">
      <c r="A364">
        <v>428706</v>
      </c>
      <c r="B364" t="s">
        <v>23</v>
      </c>
      <c r="C364">
        <v>52109</v>
      </c>
      <c r="D364" t="s">
        <v>25</v>
      </c>
      <c r="E364" t="s">
        <v>22</v>
      </c>
      <c r="F364" s="27">
        <v>45817</v>
      </c>
      <c r="G364">
        <v>8</v>
      </c>
      <c r="H364">
        <v>8</v>
      </c>
      <c r="I364" t="s">
        <v>375</v>
      </c>
      <c r="J364" s="27">
        <v>45826</v>
      </c>
      <c r="L364" s="29">
        <v>1247.7313973684211</v>
      </c>
      <c r="M364" s="29">
        <v>9981.8511789473687</v>
      </c>
      <c r="N364" s="15">
        <v>45809</v>
      </c>
    </row>
    <row r="365" spans="1:14" x14ac:dyDescent="0.25">
      <c r="A365">
        <v>430529</v>
      </c>
      <c r="B365" t="s">
        <v>955</v>
      </c>
      <c r="C365">
        <v>54578</v>
      </c>
      <c r="D365" t="s">
        <v>33</v>
      </c>
      <c r="E365" t="s">
        <v>22</v>
      </c>
      <c r="F365" s="27">
        <v>45817</v>
      </c>
      <c r="G365">
        <v>1</v>
      </c>
      <c r="H365">
        <v>1</v>
      </c>
      <c r="I365" t="s">
        <v>988</v>
      </c>
      <c r="J365" s="27">
        <v>45832</v>
      </c>
      <c r="L365" s="29">
        <v>2079.5523289473686</v>
      </c>
      <c r="M365" s="29">
        <v>2079.5523289473686</v>
      </c>
      <c r="N365" s="15">
        <v>45809</v>
      </c>
    </row>
    <row r="366" spans="1:14" x14ac:dyDescent="0.25">
      <c r="A366">
        <v>430530</v>
      </c>
      <c r="B366" t="s">
        <v>955</v>
      </c>
      <c r="C366">
        <v>54579</v>
      </c>
      <c r="D366" t="s">
        <v>33</v>
      </c>
      <c r="E366" t="s">
        <v>22</v>
      </c>
      <c r="F366" s="27">
        <v>45817</v>
      </c>
      <c r="G366">
        <v>6</v>
      </c>
      <c r="H366">
        <v>6</v>
      </c>
      <c r="I366" t="s">
        <v>989</v>
      </c>
      <c r="J366" s="27">
        <v>45832</v>
      </c>
      <c r="L366" s="29">
        <v>2079.5523289473686</v>
      </c>
      <c r="M366" s="29">
        <v>12477.313973684211</v>
      </c>
      <c r="N366" s="15">
        <v>45809</v>
      </c>
    </row>
    <row r="367" spans="1:14" x14ac:dyDescent="0.25">
      <c r="A367">
        <v>430531</v>
      </c>
      <c r="B367" t="s">
        <v>28</v>
      </c>
      <c r="C367">
        <v>51251</v>
      </c>
      <c r="D367" t="s">
        <v>33</v>
      </c>
      <c r="E367" t="s">
        <v>22</v>
      </c>
      <c r="F367" s="27">
        <v>45817</v>
      </c>
      <c r="G367">
        <v>1</v>
      </c>
      <c r="H367">
        <v>1</v>
      </c>
      <c r="I367" t="s">
        <v>376</v>
      </c>
      <c r="J367" s="27">
        <v>45832</v>
      </c>
      <c r="L367" s="29">
        <v>2079.5523289473686</v>
      </c>
      <c r="M367" s="29">
        <v>2079.5523289473686</v>
      </c>
      <c r="N367" s="15">
        <v>45809</v>
      </c>
    </row>
    <row r="368" spans="1:14" x14ac:dyDescent="0.25">
      <c r="A368">
        <v>427980</v>
      </c>
      <c r="B368" t="s">
        <v>31</v>
      </c>
      <c r="C368">
        <v>13969</v>
      </c>
      <c r="D368" t="s">
        <v>46</v>
      </c>
      <c r="E368" t="s">
        <v>19</v>
      </c>
      <c r="F368" s="27">
        <v>45817</v>
      </c>
      <c r="G368">
        <v>7.5</v>
      </c>
      <c r="H368">
        <v>7.5</v>
      </c>
      <c r="I368" t="s">
        <v>352</v>
      </c>
      <c r="J368" s="27">
        <v>45824</v>
      </c>
      <c r="L368" s="29">
        <v>1247.7313973684211</v>
      </c>
      <c r="M368" s="29">
        <v>9357.985480263158</v>
      </c>
      <c r="N368" s="15">
        <v>45809</v>
      </c>
    </row>
    <row r="369" spans="1:14" x14ac:dyDescent="0.25">
      <c r="A369">
        <v>427983</v>
      </c>
      <c r="B369" t="s">
        <v>31</v>
      </c>
      <c r="C369">
        <v>13969</v>
      </c>
      <c r="D369" t="s">
        <v>46</v>
      </c>
      <c r="E369" t="s">
        <v>19</v>
      </c>
      <c r="F369" s="27">
        <v>45817</v>
      </c>
      <c r="G369">
        <v>0.5</v>
      </c>
      <c r="H369">
        <v>0.5</v>
      </c>
      <c r="I369" t="s">
        <v>331</v>
      </c>
      <c r="J369" s="27">
        <v>45824</v>
      </c>
      <c r="L369" s="29">
        <v>1247.7313973684211</v>
      </c>
      <c r="M369" s="29">
        <v>623.86569868421054</v>
      </c>
      <c r="N369" s="15">
        <v>45809</v>
      </c>
    </row>
    <row r="370" spans="1:14" x14ac:dyDescent="0.25">
      <c r="A370">
        <v>426493</v>
      </c>
      <c r="B370" t="s">
        <v>23</v>
      </c>
      <c r="C370">
        <v>54722</v>
      </c>
      <c r="D370" t="s">
        <v>21</v>
      </c>
      <c r="E370" t="s">
        <v>22</v>
      </c>
      <c r="F370" s="27">
        <v>45817</v>
      </c>
      <c r="G370">
        <v>4</v>
      </c>
      <c r="H370">
        <v>4</v>
      </c>
      <c r="I370" t="s">
        <v>377</v>
      </c>
      <c r="J370" s="27">
        <v>45817</v>
      </c>
      <c r="L370" s="29">
        <v>1871.5970960526315</v>
      </c>
      <c r="M370" s="29">
        <v>7486.3883842105261</v>
      </c>
      <c r="N370" s="15">
        <v>45809</v>
      </c>
    </row>
    <row r="371" spans="1:14" x14ac:dyDescent="0.25">
      <c r="A371">
        <v>430390</v>
      </c>
      <c r="B371" t="s">
        <v>955</v>
      </c>
      <c r="C371">
        <v>54647</v>
      </c>
      <c r="D371" t="s">
        <v>41</v>
      </c>
      <c r="E371" t="s">
        <v>22</v>
      </c>
      <c r="F371" s="27">
        <v>45814</v>
      </c>
      <c r="G371">
        <v>8</v>
      </c>
      <c r="H371">
        <v>8</v>
      </c>
      <c r="I371" t="s">
        <v>987</v>
      </c>
      <c r="J371" s="27">
        <v>45831</v>
      </c>
      <c r="L371" s="29">
        <v>1663.6418631578947</v>
      </c>
      <c r="M371" s="29">
        <v>13309.134905263158</v>
      </c>
      <c r="N371" s="15">
        <v>45809</v>
      </c>
    </row>
    <row r="372" spans="1:14" x14ac:dyDescent="0.25">
      <c r="A372">
        <v>426055</v>
      </c>
      <c r="B372" t="s">
        <v>31</v>
      </c>
      <c r="C372">
        <v>13970</v>
      </c>
      <c r="D372" t="s">
        <v>46</v>
      </c>
      <c r="E372" t="s">
        <v>19</v>
      </c>
      <c r="F372" s="27">
        <v>45814</v>
      </c>
      <c r="G372">
        <v>1.5</v>
      </c>
      <c r="H372">
        <v>1.5</v>
      </c>
      <c r="I372" t="s">
        <v>331</v>
      </c>
      <c r="J372" s="27">
        <v>45814</v>
      </c>
      <c r="L372" s="29">
        <v>1247.7313973684211</v>
      </c>
      <c r="M372" s="29">
        <v>1871.5970960526315</v>
      </c>
      <c r="N372" s="15">
        <v>45809</v>
      </c>
    </row>
    <row r="373" spans="1:14" x14ac:dyDescent="0.25">
      <c r="A373">
        <v>426062</v>
      </c>
      <c r="B373" t="s">
        <v>31</v>
      </c>
      <c r="C373">
        <v>13969</v>
      </c>
      <c r="D373" t="s">
        <v>46</v>
      </c>
      <c r="E373" t="s">
        <v>19</v>
      </c>
      <c r="F373" s="27">
        <v>45814</v>
      </c>
      <c r="G373">
        <v>6.5</v>
      </c>
      <c r="H373">
        <v>6.5</v>
      </c>
      <c r="I373" t="s">
        <v>352</v>
      </c>
      <c r="J373" s="27">
        <v>45814</v>
      </c>
      <c r="L373" s="29">
        <v>1247.7313973684211</v>
      </c>
      <c r="M373" s="29">
        <v>8110.2540828947367</v>
      </c>
      <c r="N373" s="15">
        <v>45809</v>
      </c>
    </row>
    <row r="374" spans="1:14" x14ac:dyDescent="0.25">
      <c r="A374">
        <v>428705</v>
      </c>
      <c r="B374" t="s">
        <v>23</v>
      </c>
      <c r="C374">
        <v>52109</v>
      </c>
      <c r="D374" t="s">
        <v>25</v>
      </c>
      <c r="E374" t="s">
        <v>22</v>
      </c>
      <c r="F374" s="27">
        <v>45814</v>
      </c>
      <c r="G374">
        <v>8</v>
      </c>
      <c r="H374">
        <v>8</v>
      </c>
      <c r="I374" t="s">
        <v>378</v>
      </c>
      <c r="J374" s="27">
        <v>45826</v>
      </c>
      <c r="L374" s="29">
        <v>1247.7313973684211</v>
      </c>
      <c r="M374" s="29">
        <v>9981.8511789473687</v>
      </c>
      <c r="N374" s="15">
        <v>45809</v>
      </c>
    </row>
    <row r="375" spans="1:14" x14ac:dyDescent="0.25">
      <c r="A375">
        <v>426166</v>
      </c>
      <c r="B375" t="s">
        <v>31</v>
      </c>
      <c r="C375">
        <v>13970</v>
      </c>
      <c r="D375" t="s">
        <v>36</v>
      </c>
      <c r="E375" t="s">
        <v>19</v>
      </c>
      <c r="F375" s="27">
        <v>45814</v>
      </c>
      <c r="G375">
        <v>8</v>
      </c>
      <c r="H375">
        <v>8</v>
      </c>
      <c r="I375" t="s">
        <v>308</v>
      </c>
      <c r="J375" s="27">
        <v>45814</v>
      </c>
      <c r="L375" s="29">
        <v>1996.3702361842106</v>
      </c>
      <c r="M375" s="29">
        <v>15970.961889473685</v>
      </c>
      <c r="N375" s="15">
        <v>45809</v>
      </c>
    </row>
    <row r="376" spans="1:14" x14ac:dyDescent="0.25">
      <c r="A376">
        <v>430527</v>
      </c>
      <c r="B376" t="s">
        <v>955</v>
      </c>
      <c r="C376">
        <v>54578</v>
      </c>
      <c r="D376" t="s">
        <v>33</v>
      </c>
      <c r="E376" t="s">
        <v>22</v>
      </c>
      <c r="F376" s="27">
        <v>45814</v>
      </c>
      <c r="G376">
        <v>5</v>
      </c>
      <c r="H376">
        <v>5</v>
      </c>
      <c r="I376" t="s">
        <v>988</v>
      </c>
      <c r="J376" s="27">
        <v>45832</v>
      </c>
      <c r="L376" s="29">
        <v>2079.5523289473686</v>
      </c>
      <c r="M376" s="29">
        <v>10397.761644736842</v>
      </c>
      <c r="N376" s="15">
        <v>45809</v>
      </c>
    </row>
    <row r="377" spans="1:14" x14ac:dyDescent="0.25">
      <c r="A377">
        <v>430528</v>
      </c>
      <c r="B377" t="s">
        <v>955</v>
      </c>
      <c r="C377">
        <v>54576</v>
      </c>
      <c r="D377" t="s">
        <v>33</v>
      </c>
      <c r="E377" t="s">
        <v>22</v>
      </c>
      <c r="F377" s="27">
        <v>45814</v>
      </c>
      <c r="G377">
        <v>3</v>
      </c>
      <c r="H377">
        <v>3</v>
      </c>
      <c r="I377" t="s">
        <v>990</v>
      </c>
      <c r="J377" s="27">
        <v>45832</v>
      </c>
      <c r="L377" s="29">
        <v>2079.5523289473686</v>
      </c>
      <c r="M377" s="29">
        <v>6238.6569868421057</v>
      </c>
      <c r="N377" s="15">
        <v>45809</v>
      </c>
    </row>
    <row r="378" spans="1:14" x14ac:dyDescent="0.25">
      <c r="A378">
        <v>432430</v>
      </c>
      <c r="B378" t="s">
        <v>31</v>
      </c>
      <c r="C378">
        <v>13969</v>
      </c>
      <c r="D378" t="s">
        <v>42</v>
      </c>
      <c r="E378" t="s">
        <v>19</v>
      </c>
      <c r="F378" s="27">
        <v>45813</v>
      </c>
      <c r="G378">
        <v>0.5</v>
      </c>
      <c r="H378">
        <v>0.5</v>
      </c>
      <c r="I378" t="s">
        <v>295</v>
      </c>
      <c r="J378" s="27">
        <v>45837</v>
      </c>
      <c r="L378" s="29">
        <v>1418</v>
      </c>
      <c r="M378" s="29">
        <v>709</v>
      </c>
      <c r="N378" s="15">
        <v>45809</v>
      </c>
    </row>
    <row r="379" spans="1:14" x14ac:dyDescent="0.25">
      <c r="A379">
        <v>432447</v>
      </c>
      <c r="B379" t="s">
        <v>31</v>
      </c>
      <c r="C379">
        <v>13969</v>
      </c>
      <c r="D379" t="s">
        <v>42</v>
      </c>
      <c r="E379" t="s">
        <v>19</v>
      </c>
      <c r="F379" s="27">
        <v>45813</v>
      </c>
      <c r="G379">
        <v>1</v>
      </c>
      <c r="H379">
        <v>1</v>
      </c>
      <c r="I379" t="s">
        <v>379</v>
      </c>
      <c r="J379" s="27">
        <v>45837</v>
      </c>
      <c r="L379" s="29">
        <v>1418</v>
      </c>
      <c r="M379" s="29">
        <v>1418</v>
      </c>
      <c r="N379" s="15">
        <v>45809</v>
      </c>
    </row>
    <row r="380" spans="1:14" x14ac:dyDescent="0.25">
      <c r="A380">
        <v>426060</v>
      </c>
      <c r="B380" t="s">
        <v>31</v>
      </c>
      <c r="C380">
        <v>13969</v>
      </c>
      <c r="D380" t="s">
        <v>46</v>
      </c>
      <c r="E380" t="s">
        <v>19</v>
      </c>
      <c r="F380" s="27">
        <v>45813</v>
      </c>
      <c r="G380">
        <v>3.5</v>
      </c>
      <c r="H380">
        <v>3.5</v>
      </c>
      <c r="I380" t="s">
        <v>352</v>
      </c>
      <c r="J380" s="27">
        <v>45814</v>
      </c>
      <c r="L380" s="29">
        <v>1247.7313973684211</v>
      </c>
      <c r="M380" s="29">
        <v>4367.0598907894737</v>
      </c>
      <c r="N380" s="15">
        <v>45809</v>
      </c>
    </row>
    <row r="381" spans="1:14" x14ac:dyDescent="0.25">
      <c r="A381">
        <v>434520</v>
      </c>
      <c r="B381" t="s">
        <v>31</v>
      </c>
      <c r="C381">
        <v>13969</v>
      </c>
      <c r="D381" t="s">
        <v>30</v>
      </c>
      <c r="E381" t="s">
        <v>19</v>
      </c>
      <c r="F381" s="27">
        <v>45813</v>
      </c>
      <c r="G381">
        <v>152</v>
      </c>
      <c r="H381">
        <v>152</v>
      </c>
      <c r="I381" t="s">
        <v>380</v>
      </c>
      <c r="J381" s="27">
        <v>45840</v>
      </c>
      <c r="L381" s="29">
        <v>998.1851177631579</v>
      </c>
      <c r="M381" s="29">
        <v>151724.1379</v>
      </c>
      <c r="N381" s="15">
        <v>45809</v>
      </c>
    </row>
    <row r="382" spans="1:14" x14ac:dyDescent="0.25">
      <c r="A382">
        <v>425829</v>
      </c>
      <c r="B382" t="s">
        <v>952</v>
      </c>
      <c r="C382">
        <v>54819</v>
      </c>
      <c r="D382" t="s">
        <v>41</v>
      </c>
      <c r="E382" t="s">
        <v>22</v>
      </c>
      <c r="F382" s="27">
        <v>45813</v>
      </c>
      <c r="G382">
        <v>6</v>
      </c>
      <c r="H382">
        <v>6</v>
      </c>
      <c r="I382" t="s">
        <v>991</v>
      </c>
      <c r="J382" s="27">
        <v>45814</v>
      </c>
      <c r="L382" s="29">
        <v>1663.6418631578947</v>
      </c>
      <c r="M382" s="29">
        <v>9981.8511789473687</v>
      </c>
      <c r="N382" s="15">
        <v>45809</v>
      </c>
    </row>
    <row r="383" spans="1:14" x14ac:dyDescent="0.25">
      <c r="A383">
        <v>428704</v>
      </c>
      <c r="B383" t="s">
        <v>23</v>
      </c>
      <c r="C383">
        <v>52109</v>
      </c>
      <c r="D383" t="s">
        <v>25</v>
      </c>
      <c r="E383" t="s">
        <v>22</v>
      </c>
      <c r="F383" s="27">
        <v>45813</v>
      </c>
      <c r="G383">
        <v>8</v>
      </c>
      <c r="H383">
        <v>8</v>
      </c>
      <c r="I383" t="s">
        <v>381</v>
      </c>
      <c r="J383" s="27">
        <v>45826</v>
      </c>
      <c r="L383" s="29">
        <v>1247.7313973684211</v>
      </c>
      <c r="M383" s="29">
        <v>9981.8511789473687</v>
      </c>
      <c r="N383" s="15">
        <v>45809</v>
      </c>
    </row>
    <row r="384" spans="1:14" x14ac:dyDescent="0.25">
      <c r="A384">
        <v>426165</v>
      </c>
      <c r="B384" t="s">
        <v>31</v>
      </c>
      <c r="C384">
        <v>13970</v>
      </c>
      <c r="D384" t="s">
        <v>36</v>
      </c>
      <c r="E384" t="s">
        <v>19</v>
      </c>
      <c r="F384" s="27">
        <v>45813</v>
      </c>
      <c r="G384">
        <v>8</v>
      </c>
      <c r="H384">
        <v>8</v>
      </c>
      <c r="I384" t="s">
        <v>308</v>
      </c>
      <c r="J384" s="27">
        <v>45814</v>
      </c>
      <c r="L384" s="29">
        <v>1996.3702361842106</v>
      </c>
      <c r="M384" s="29">
        <v>15970.961889473685</v>
      </c>
      <c r="N384" s="15">
        <v>45809</v>
      </c>
    </row>
    <row r="385" spans="1:14" x14ac:dyDescent="0.25">
      <c r="A385">
        <v>425675</v>
      </c>
      <c r="B385" t="s">
        <v>31</v>
      </c>
      <c r="C385">
        <v>13969</v>
      </c>
      <c r="D385" t="s">
        <v>46</v>
      </c>
      <c r="E385" t="s">
        <v>19</v>
      </c>
      <c r="F385" s="27">
        <v>45813</v>
      </c>
      <c r="G385">
        <v>4</v>
      </c>
      <c r="H385">
        <v>4</v>
      </c>
      <c r="I385" t="s">
        <v>382</v>
      </c>
      <c r="J385" s="27">
        <v>45813</v>
      </c>
      <c r="L385" s="29">
        <v>1247.7313973684211</v>
      </c>
      <c r="M385" s="29">
        <v>4990.9255894736843</v>
      </c>
      <c r="N385" s="15">
        <v>45809</v>
      </c>
    </row>
    <row r="386" spans="1:14" x14ac:dyDescent="0.25">
      <c r="A386">
        <v>425679</v>
      </c>
      <c r="B386" t="s">
        <v>31</v>
      </c>
      <c r="C386">
        <v>13969</v>
      </c>
      <c r="D386" t="s">
        <v>46</v>
      </c>
      <c r="E386" t="s">
        <v>19</v>
      </c>
      <c r="F386" s="27">
        <v>45813</v>
      </c>
      <c r="G386">
        <v>0.5</v>
      </c>
      <c r="H386">
        <v>0.5</v>
      </c>
      <c r="I386" t="s">
        <v>331</v>
      </c>
      <c r="J386" s="27">
        <v>45813</v>
      </c>
      <c r="L386" s="29">
        <v>1247.7313973684211</v>
      </c>
      <c r="M386" s="29">
        <v>623.86569868421054</v>
      </c>
      <c r="N386" s="15">
        <v>45809</v>
      </c>
    </row>
    <row r="387" spans="1:14" x14ac:dyDescent="0.25">
      <c r="A387">
        <v>432427</v>
      </c>
      <c r="B387" t="s">
        <v>31</v>
      </c>
      <c r="C387">
        <v>13969</v>
      </c>
      <c r="D387" t="s">
        <v>42</v>
      </c>
      <c r="E387" t="s">
        <v>19</v>
      </c>
      <c r="F387" s="27">
        <v>45812</v>
      </c>
      <c r="G387">
        <v>0.5</v>
      </c>
      <c r="H387">
        <v>0.5</v>
      </c>
      <c r="I387" t="s">
        <v>295</v>
      </c>
      <c r="J387" s="27">
        <v>45837</v>
      </c>
      <c r="L387" s="29">
        <v>1418</v>
      </c>
      <c r="M387" s="29">
        <v>709</v>
      </c>
      <c r="N387" s="15">
        <v>45809</v>
      </c>
    </row>
    <row r="388" spans="1:14" x14ac:dyDescent="0.25">
      <c r="A388">
        <v>430389</v>
      </c>
      <c r="B388" t="s">
        <v>955</v>
      </c>
      <c r="C388">
        <v>54647</v>
      </c>
      <c r="D388" t="s">
        <v>41</v>
      </c>
      <c r="E388" t="s">
        <v>22</v>
      </c>
      <c r="F388" s="27">
        <v>45812</v>
      </c>
      <c r="G388">
        <v>8</v>
      </c>
      <c r="H388">
        <v>8</v>
      </c>
      <c r="I388" t="s">
        <v>992</v>
      </c>
      <c r="J388" s="27">
        <v>45831</v>
      </c>
      <c r="L388" s="29">
        <v>1663.6418631578947</v>
      </c>
      <c r="M388" s="29">
        <v>13309.134905263158</v>
      </c>
      <c r="N388" s="15">
        <v>45809</v>
      </c>
    </row>
    <row r="389" spans="1:14" x14ac:dyDescent="0.25">
      <c r="A389">
        <v>432446</v>
      </c>
      <c r="B389" t="s">
        <v>23</v>
      </c>
      <c r="C389">
        <v>54722</v>
      </c>
      <c r="D389" t="s">
        <v>42</v>
      </c>
      <c r="E389" t="s">
        <v>22</v>
      </c>
      <c r="F389" s="27">
        <v>45812</v>
      </c>
      <c r="G389">
        <v>3</v>
      </c>
      <c r="H389">
        <v>3</v>
      </c>
      <c r="I389" t="s">
        <v>383</v>
      </c>
      <c r="J389" s="27">
        <v>45837</v>
      </c>
      <c r="L389" s="29">
        <v>1418</v>
      </c>
      <c r="M389" s="29">
        <v>4254</v>
      </c>
      <c r="N389" s="15">
        <v>45809</v>
      </c>
    </row>
    <row r="390" spans="1:14" x14ac:dyDescent="0.25">
      <c r="A390">
        <v>432448</v>
      </c>
      <c r="B390" t="s">
        <v>23</v>
      </c>
      <c r="C390">
        <v>54720</v>
      </c>
      <c r="D390" t="s">
        <v>42</v>
      </c>
      <c r="E390" t="s">
        <v>22</v>
      </c>
      <c r="F390" s="27">
        <v>45812</v>
      </c>
      <c r="G390">
        <v>3</v>
      </c>
      <c r="H390">
        <v>3</v>
      </c>
      <c r="I390" t="s">
        <v>384</v>
      </c>
      <c r="J390" s="27">
        <v>45837</v>
      </c>
      <c r="L390" s="29">
        <v>1418</v>
      </c>
      <c r="M390" s="29">
        <v>4254</v>
      </c>
      <c r="N390" s="15">
        <v>45809</v>
      </c>
    </row>
    <row r="391" spans="1:14" x14ac:dyDescent="0.25">
      <c r="A391">
        <v>425306</v>
      </c>
      <c r="B391" t="s">
        <v>31</v>
      </c>
      <c r="C391">
        <v>13970</v>
      </c>
      <c r="D391" t="s">
        <v>36</v>
      </c>
      <c r="E391" t="s">
        <v>19</v>
      </c>
      <c r="F391" s="27">
        <v>45812</v>
      </c>
      <c r="G391">
        <v>8</v>
      </c>
      <c r="H391">
        <v>8</v>
      </c>
      <c r="I391" t="s">
        <v>308</v>
      </c>
      <c r="J391" s="27">
        <v>45812</v>
      </c>
      <c r="L391" s="29">
        <v>1996.3702361842106</v>
      </c>
      <c r="M391" s="29">
        <v>15970.961889473685</v>
      </c>
      <c r="N391" s="15">
        <v>45809</v>
      </c>
    </row>
    <row r="392" spans="1:14" x14ac:dyDescent="0.25">
      <c r="A392">
        <v>428697</v>
      </c>
      <c r="B392" t="s">
        <v>24</v>
      </c>
      <c r="C392">
        <v>54433</v>
      </c>
      <c r="D392" t="s">
        <v>25</v>
      </c>
      <c r="E392" t="s">
        <v>22</v>
      </c>
      <c r="F392" s="27">
        <v>45812</v>
      </c>
      <c r="G392">
        <v>6.5</v>
      </c>
      <c r="H392">
        <v>6.5</v>
      </c>
      <c r="I392" t="s">
        <v>297</v>
      </c>
      <c r="J392" s="27">
        <v>45826</v>
      </c>
      <c r="L392" s="29">
        <v>1247.7313973684211</v>
      </c>
      <c r="M392" s="29">
        <v>8110.2540828947367</v>
      </c>
      <c r="N392" s="15">
        <v>45809</v>
      </c>
    </row>
    <row r="393" spans="1:14" x14ac:dyDescent="0.25">
      <c r="A393">
        <v>425400</v>
      </c>
      <c r="B393" t="s">
        <v>28</v>
      </c>
      <c r="C393">
        <v>51263</v>
      </c>
      <c r="D393" t="s">
        <v>27</v>
      </c>
      <c r="E393" t="s">
        <v>22</v>
      </c>
      <c r="F393" s="27">
        <v>45812</v>
      </c>
      <c r="G393">
        <v>1</v>
      </c>
      <c r="H393">
        <v>1</v>
      </c>
      <c r="I393" t="s">
        <v>385</v>
      </c>
      <c r="J393" s="27">
        <v>45812</v>
      </c>
      <c r="L393" s="29">
        <v>665.45674539473691</v>
      </c>
      <c r="M393" s="29">
        <v>665.45674539473691</v>
      </c>
      <c r="N393" s="15">
        <v>45809</v>
      </c>
    </row>
    <row r="394" spans="1:14" x14ac:dyDescent="0.25">
      <c r="A394">
        <v>425401</v>
      </c>
      <c r="B394" t="s">
        <v>28</v>
      </c>
      <c r="C394">
        <v>51263</v>
      </c>
      <c r="D394" t="s">
        <v>27</v>
      </c>
      <c r="E394" t="s">
        <v>22</v>
      </c>
      <c r="F394" s="27">
        <v>45812</v>
      </c>
      <c r="G394">
        <v>0.5</v>
      </c>
      <c r="H394">
        <v>0.5</v>
      </c>
      <c r="I394" t="s">
        <v>386</v>
      </c>
      <c r="J394" s="27">
        <v>45812</v>
      </c>
      <c r="L394" s="29">
        <v>665.45674539473691</v>
      </c>
      <c r="M394" s="29">
        <v>332.72837269736846</v>
      </c>
      <c r="N394" s="15">
        <v>45809</v>
      </c>
    </row>
    <row r="395" spans="1:14" x14ac:dyDescent="0.25">
      <c r="A395">
        <v>430522</v>
      </c>
      <c r="B395" t="s">
        <v>34</v>
      </c>
      <c r="C395">
        <v>21152</v>
      </c>
      <c r="D395" t="s">
        <v>33</v>
      </c>
      <c r="E395" t="s">
        <v>19</v>
      </c>
      <c r="F395" s="27">
        <v>45812</v>
      </c>
      <c r="G395">
        <v>2</v>
      </c>
      <c r="H395">
        <v>2</v>
      </c>
      <c r="I395" t="s">
        <v>387</v>
      </c>
      <c r="J395" s="27">
        <v>45832</v>
      </c>
      <c r="L395" s="29">
        <v>2079.5523289473686</v>
      </c>
      <c r="M395" s="29">
        <v>4159.1046578947371</v>
      </c>
      <c r="N395" s="15">
        <v>45809</v>
      </c>
    </row>
    <row r="396" spans="1:14" x14ac:dyDescent="0.25">
      <c r="A396">
        <v>425403</v>
      </c>
      <c r="B396" t="s">
        <v>28</v>
      </c>
      <c r="C396">
        <v>51263</v>
      </c>
      <c r="D396" t="s">
        <v>27</v>
      </c>
      <c r="E396" t="s">
        <v>22</v>
      </c>
      <c r="F396" s="27">
        <v>45812</v>
      </c>
      <c r="G396">
        <v>1</v>
      </c>
      <c r="H396">
        <v>1</v>
      </c>
      <c r="I396" t="s">
        <v>388</v>
      </c>
      <c r="J396" s="27">
        <v>45812</v>
      </c>
      <c r="L396" s="29">
        <v>665.45674539473691</v>
      </c>
      <c r="M396" s="29">
        <v>665.45674539473691</v>
      </c>
      <c r="N396" s="15">
        <v>45809</v>
      </c>
    </row>
    <row r="397" spans="1:14" x14ac:dyDescent="0.25">
      <c r="A397">
        <v>425406</v>
      </c>
      <c r="B397" t="s">
        <v>28</v>
      </c>
      <c r="C397">
        <v>51263</v>
      </c>
      <c r="D397" t="s">
        <v>27</v>
      </c>
      <c r="E397" t="s">
        <v>22</v>
      </c>
      <c r="F397" s="27">
        <v>45812</v>
      </c>
      <c r="G397">
        <v>3.5</v>
      </c>
      <c r="H397">
        <v>3.5</v>
      </c>
      <c r="I397" t="s">
        <v>389</v>
      </c>
      <c r="J397" s="27">
        <v>45812</v>
      </c>
      <c r="L397" s="29">
        <v>665.45674539473691</v>
      </c>
      <c r="M397" s="29">
        <v>2329.0986088815794</v>
      </c>
      <c r="N397" s="15">
        <v>45809</v>
      </c>
    </row>
    <row r="398" spans="1:14" x14ac:dyDescent="0.25">
      <c r="A398">
        <v>425673</v>
      </c>
      <c r="B398" t="s">
        <v>31</v>
      </c>
      <c r="C398">
        <v>13969</v>
      </c>
      <c r="D398" t="s">
        <v>46</v>
      </c>
      <c r="E398" t="s">
        <v>19</v>
      </c>
      <c r="F398" s="27">
        <v>45812</v>
      </c>
      <c r="G398">
        <v>2</v>
      </c>
      <c r="H398">
        <v>2</v>
      </c>
      <c r="I398" t="s">
        <v>390</v>
      </c>
      <c r="J398" s="27">
        <v>45813</v>
      </c>
      <c r="L398" s="29">
        <v>1247.7313973684211</v>
      </c>
      <c r="M398" s="29">
        <v>2495.4627947368422</v>
      </c>
      <c r="N398" s="15">
        <v>45809</v>
      </c>
    </row>
    <row r="399" spans="1:14" x14ac:dyDescent="0.25">
      <c r="A399">
        <v>425674</v>
      </c>
      <c r="B399" t="s">
        <v>31</v>
      </c>
      <c r="C399">
        <v>13969</v>
      </c>
      <c r="D399" t="s">
        <v>46</v>
      </c>
      <c r="E399" t="s">
        <v>19</v>
      </c>
      <c r="F399" s="27">
        <v>45812</v>
      </c>
      <c r="G399">
        <v>5</v>
      </c>
      <c r="H399">
        <v>5</v>
      </c>
      <c r="I399" t="s">
        <v>391</v>
      </c>
      <c r="J399" s="27">
        <v>45813</v>
      </c>
      <c r="L399" s="29">
        <v>1247.7313973684211</v>
      </c>
      <c r="M399" s="29">
        <v>6238.6569868421057</v>
      </c>
      <c r="N399" s="15">
        <v>45809</v>
      </c>
    </row>
    <row r="400" spans="1:14" x14ac:dyDescent="0.25">
      <c r="A400">
        <v>425678</v>
      </c>
      <c r="B400" t="s">
        <v>31</v>
      </c>
      <c r="C400">
        <v>13969</v>
      </c>
      <c r="D400" t="s">
        <v>46</v>
      </c>
      <c r="E400" t="s">
        <v>19</v>
      </c>
      <c r="F400" s="27">
        <v>45812</v>
      </c>
      <c r="G400">
        <v>1</v>
      </c>
      <c r="H400">
        <v>1</v>
      </c>
      <c r="I400" t="s">
        <v>331</v>
      </c>
      <c r="J400" s="27">
        <v>45813</v>
      </c>
      <c r="L400" s="29">
        <v>1247.7313973684211</v>
      </c>
      <c r="M400" s="29">
        <v>1247.7313973684211</v>
      </c>
      <c r="N400" s="15">
        <v>45809</v>
      </c>
    </row>
    <row r="401" spans="1:14" x14ac:dyDescent="0.25">
      <c r="A401">
        <v>430575</v>
      </c>
      <c r="B401" t="s">
        <v>23</v>
      </c>
      <c r="C401">
        <v>54721</v>
      </c>
      <c r="D401" t="s">
        <v>33</v>
      </c>
      <c r="E401" t="s">
        <v>22</v>
      </c>
      <c r="F401" s="27">
        <v>45812</v>
      </c>
      <c r="G401">
        <v>22</v>
      </c>
      <c r="H401">
        <v>22</v>
      </c>
      <c r="I401" t="s">
        <v>310</v>
      </c>
      <c r="J401" s="27">
        <v>45832</v>
      </c>
      <c r="L401" s="29">
        <v>2079.5523289473686</v>
      </c>
      <c r="M401" s="29">
        <v>45750.15123684211</v>
      </c>
      <c r="N401" s="15">
        <v>45809</v>
      </c>
    </row>
    <row r="402" spans="1:14" x14ac:dyDescent="0.25">
      <c r="A402">
        <v>430388</v>
      </c>
      <c r="B402" t="s">
        <v>955</v>
      </c>
      <c r="C402">
        <v>54647</v>
      </c>
      <c r="D402" t="s">
        <v>41</v>
      </c>
      <c r="E402" t="s">
        <v>22</v>
      </c>
      <c r="F402" s="27">
        <v>45811</v>
      </c>
      <c r="G402">
        <v>8</v>
      </c>
      <c r="H402">
        <v>8</v>
      </c>
      <c r="I402" t="s">
        <v>992</v>
      </c>
      <c r="J402" s="27">
        <v>45831</v>
      </c>
      <c r="L402" s="29">
        <v>1663.6418631578947</v>
      </c>
      <c r="M402" s="29">
        <v>13309.134905263158</v>
      </c>
      <c r="N402" s="15">
        <v>45809</v>
      </c>
    </row>
    <row r="403" spans="1:14" x14ac:dyDescent="0.25">
      <c r="A403">
        <v>432444</v>
      </c>
      <c r="B403" t="s">
        <v>23</v>
      </c>
      <c r="C403">
        <v>54720</v>
      </c>
      <c r="D403" t="s">
        <v>42</v>
      </c>
      <c r="E403" t="s">
        <v>22</v>
      </c>
      <c r="F403" s="27">
        <v>45811</v>
      </c>
      <c r="G403">
        <v>0.5</v>
      </c>
      <c r="H403">
        <v>0.5</v>
      </c>
      <c r="I403" t="s">
        <v>392</v>
      </c>
      <c r="J403" s="27">
        <v>45837</v>
      </c>
      <c r="L403" s="29">
        <v>1418</v>
      </c>
      <c r="M403" s="29">
        <v>709</v>
      </c>
      <c r="N403" s="15">
        <v>45809</v>
      </c>
    </row>
    <row r="404" spans="1:14" x14ac:dyDescent="0.25">
      <c r="A404">
        <v>432445</v>
      </c>
      <c r="B404" t="s">
        <v>23</v>
      </c>
      <c r="C404">
        <v>54720</v>
      </c>
      <c r="D404" t="s">
        <v>42</v>
      </c>
      <c r="E404" t="s">
        <v>22</v>
      </c>
      <c r="F404" s="27">
        <v>45811</v>
      </c>
      <c r="G404">
        <v>2</v>
      </c>
      <c r="H404">
        <v>2</v>
      </c>
      <c r="I404" t="s">
        <v>393</v>
      </c>
      <c r="J404" s="27">
        <v>45837</v>
      </c>
      <c r="L404" s="29">
        <v>1418</v>
      </c>
      <c r="M404" s="29">
        <v>2836</v>
      </c>
      <c r="N404" s="15">
        <v>45809</v>
      </c>
    </row>
    <row r="405" spans="1:14" x14ac:dyDescent="0.25">
      <c r="A405">
        <v>425305</v>
      </c>
      <c r="B405" t="s">
        <v>31</v>
      </c>
      <c r="C405">
        <v>13970</v>
      </c>
      <c r="D405" t="s">
        <v>36</v>
      </c>
      <c r="E405" t="s">
        <v>19</v>
      </c>
      <c r="F405" s="27">
        <v>45811</v>
      </c>
      <c r="G405">
        <v>8</v>
      </c>
      <c r="H405">
        <v>8</v>
      </c>
      <c r="I405" t="s">
        <v>308</v>
      </c>
      <c r="J405" s="27">
        <v>45812</v>
      </c>
      <c r="L405" s="29">
        <v>1996.3702361842106</v>
      </c>
      <c r="M405" s="29">
        <v>15970.961889473685</v>
      </c>
      <c r="N405" s="15">
        <v>45809</v>
      </c>
    </row>
    <row r="406" spans="1:14" x14ac:dyDescent="0.25">
      <c r="A406">
        <v>424827</v>
      </c>
      <c r="B406" t="s">
        <v>23</v>
      </c>
      <c r="C406">
        <v>54460</v>
      </c>
      <c r="D406" t="s">
        <v>26</v>
      </c>
      <c r="E406" t="s">
        <v>22</v>
      </c>
      <c r="F406" s="27">
        <v>45811</v>
      </c>
      <c r="G406">
        <v>3</v>
      </c>
      <c r="H406">
        <v>3</v>
      </c>
      <c r="I406" t="s">
        <v>394</v>
      </c>
      <c r="J406" s="27">
        <v>45811</v>
      </c>
      <c r="L406" s="29">
        <v>1081.3672111842104</v>
      </c>
      <c r="M406" s="29">
        <v>3244.101633552631</v>
      </c>
      <c r="N406" s="15">
        <v>45809</v>
      </c>
    </row>
    <row r="407" spans="1:14" x14ac:dyDescent="0.25">
      <c r="A407">
        <v>428692</v>
      </c>
      <c r="B407" t="s">
        <v>24</v>
      </c>
      <c r="C407">
        <v>54433</v>
      </c>
      <c r="D407" t="s">
        <v>25</v>
      </c>
      <c r="E407" t="s">
        <v>22</v>
      </c>
      <c r="F407" s="27">
        <v>45811</v>
      </c>
      <c r="G407">
        <v>8</v>
      </c>
      <c r="H407">
        <v>8</v>
      </c>
      <c r="I407" t="s">
        <v>297</v>
      </c>
      <c r="J407" s="27">
        <v>45826</v>
      </c>
      <c r="L407" s="29">
        <v>1247.7313973684211</v>
      </c>
      <c r="M407" s="29">
        <v>9981.8511789473687</v>
      </c>
      <c r="N407" s="15">
        <v>45809</v>
      </c>
    </row>
    <row r="408" spans="1:14" x14ac:dyDescent="0.25">
      <c r="A408">
        <v>430519</v>
      </c>
      <c r="B408" t="s">
        <v>34</v>
      </c>
      <c r="C408">
        <v>21152</v>
      </c>
      <c r="D408" t="s">
        <v>33</v>
      </c>
      <c r="E408" t="s">
        <v>19</v>
      </c>
      <c r="F408" s="27">
        <v>45811</v>
      </c>
      <c r="G408">
        <v>2</v>
      </c>
      <c r="H408">
        <v>2</v>
      </c>
      <c r="I408" t="s">
        <v>387</v>
      </c>
      <c r="J408" s="27">
        <v>45832</v>
      </c>
      <c r="L408" s="29">
        <v>2079.5523289473686</v>
      </c>
      <c r="M408" s="29">
        <v>4159.1046578947371</v>
      </c>
      <c r="N408" s="15">
        <v>45809</v>
      </c>
    </row>
    <row r="409" spans="1:14" x14ac:dyDescent="0.25">
      <c r="A409">
        <v>425671</v>
      </c>
      <c r="B409" t="s">
        <v>31</v>
      </c>
      <c r="C409">
        <v>13969</v>
      </c>
      <c r="D409" t="s">
        <v>46</v>
      </c>
      <c r="E409" t="s">
        <v>19</v>
      </c>
      <c r="F409" s="27">
        <v>45811</v>
      </c>
      <c r="G409">
        <v>4.5</v>
      </c>
      <c r="H409">
        <v>4.5</v>
      </c>
      <c r="I409" t="s">
        <v>390</v>
      </c>
      <c r="J409" s="27">
        <v>45813</v>
      </c>
      <c r="L409" s="29">
        <v>1247.7313973684211</v>
      </c>
      <c r="M409" s="29">
        <v>5614.791288157895</v>
      </c>
      <c r="N409" s="15">
        <v>45809</v>
      </c>
    </row>
    <row r="410" spans="1:14" x14ac:dyDescent="0.25">
      <c r="A410">
        <v>425672</v>
      </c>
      <c r="B410" t="s">
        <v>31</v>
      </c>
      <c r="C410">
        <v>13969</v>
      </c>
      <c r="D410" t="s">
        <v>46</v>
      </c>
      <c r="E410" t="s">
        <v>19</v>
      </c>
      <c r="F410" s="27">
        <v>45811</v>
      </c>
      <c r="G410">
        <v>3</v>
      </c>
      <c r="H410">
        <v>3</v>
      </c>
      <c r="I410" t="s">
        <v>395</v>
      </c>
      <c r="J410" s="27">
        <v>45813</v>
      </c>
      <c r="L410" s="29">
        <v>1247.7313973684211</v>
      </c>
      <c r="M410" s="29">
        <v>3743.194192105263</v>
      </c>
      <c r="N410" s="15">
        <v>45809</v>
      </c>
    </row>
    <row r="411" spans="1:14" x14ac:dyDescent="0.25">
      <c r="A411">
        <v>425677</v>
      </c>
      <c r="B411" t="s">
        <v>31</v>
      </c>
      <c r="C411">
        <v>13969</v>
      </c>
      <c r="D411" t="s">
        <v>46</v>
      </c>
      <c r="E411" t="s">
        <v>19</v>
      </c>
      <c r="F411" s="27">
        <v>45811</v>
      </c>
      <c r="G411">
        <v>0.5</v>
      </c>
      <c r="H411">
        <v>0.5</v>
      </c>
      <c r="I411" t="s">
        <v>331</v>
      </c>
      <c r="J411" s="27">
        <v>45813</v>
      </c>
      <c r="L411" s="29">
        <v>1247.7313973684211</v>
      </c>
      <c r="M411" s="29">
        <v>623.86569868421054</v>
      </c>
      <c r="N411" s="15">
        <v>45809</v>
      </c>
    </row>
    <row r="412" spans="1:14" x14ac:dyDescent="0.25">
      <c r="A412">
        <v>424936</v>
      </c>
      <c r="B412" t="s">
        <v>28</v>
      </c>
      <c r="C412">
        <v>51263</v>
      </c>
      <c r="D412" t="s">
        <v>27</v>
      </c>
      <c r="E412" t="s">
        <v>22</v>
      </c>
      <c r="F412" s="27">
        <v>45811</v>
      </c>
      <c r="G412">
        <v>4</v>
      </c>
      <c r="H412">
        <v>4</v>
      </c>
      <c r="I412" t="s">
        <v>396</v>
      </c>
      <c r="J412" s="27">
        <v>45811</v>
      </c>
      <c r="L412" s="29">
        <v>665.45674539473691</v>
      </c>
      <c r="M412" s="29">
        <v>2661.8269815789477</v>
      </c>
      <c r="N412" s="15">
        <v>45809</v>
      </c>
    </row>
    <row r="413" spans="1:14" x14ac:dyDescent="0.25">
      <c r="A413">
        <v>424699</v>
      </c>
      <c r="B413" t="s">
        <v>20</v>
      </c>
      <c r="C413">
        <v>52828</v>
      </c>
      <c r="D413" t="s">
        <v>21</v>
      </c>
      <c r="E413" t="s">
        <v>22</v>
      </c>
      <c r="F413" s="27">
        <v>45811</v>
      </c>
      <c r="G413">
        <v>2</v>
      </c>
      <c r="H413">
        <v>2</v>
      </c>
      <c r="I413" t="s">
        <v>397</v>
      </c>
      <c r="J413" s="27">
        <v>45811</v>
      </c>
      <c r="L413" s="29">
        <v>1871.5970960526315</v>
      </c>
      <c r="M413" s="29">
        <v>3743.194192105263</v>
      </c>
      <c r="N413" s="15">
        <v>45809</v>
      </c>
    </row>
    <row r="414" spans="1:14" x14ac:dyDescent="0.25">
      <c r="A414">
        <v>432426</v>
      </c>
      <c r="B414" t="s">
        <v>31</v>
      </c>
      <c r="C414">
        <v>13969</v>
      </c>
      <c r="D414" t="s">
        <v>42</v>
      </c>
      <c r="E414" t="s">
        <v>19</v>
      </c>
      <c r="F414" s="27">
        <v>45810</v>
      </c>
      <c r="G414">
        <v>0.5</v>
      </c>
      <c r="H414">
        <v>0.5</v>
      </c>
      <c r="I414" t="s">
        <v>295</v>
      </c>
      <c r="J414" s="27">
        <v>45837</v>
      </c>
      <c r="L414" s="29">
        <v>1418</v>
      </c>
      <c r="M414" s="29">
        <v>709</v>
      </c>
      <c r="N414" s="15">
        <v>45809</v>
      </c>
    </row>
    <row r="415" spans="1:14" x14ac:dyDescent="0.25">
      <c r="A415">
        <v>424257</v>
      </c>
      <c r="B415" t="s">
        <v>28</v>
      </c>
      <c r="C415">
        <v>51263</v>
      </c>
      <c r="D415" t="s">
        <v>27</v>
      </c>
      <c r="E415" t="s">
        <v>22</v>
      </c>
      <c r="F415" s="27">
        <v>45810</v>
      </c>
      <c r="G415">
        <v>5.5</v>
      </c>
      <c r="H415">
        <v>5.5</v>
      </c>
      <c r="I415" t="s">
        <v>398</v>
      </c>
      <c r="J415" s="27">
        <v>45810</v>
      </c>
      <c r="L415" s="29">
        <v>665.45674539473691</v>
      </c>
      <c r="M415" s="29">
        <v>3660.012099671053</v>
      </c>
      <c r="N415" s="15">
        <v>45809</v>
      </c>
    </row>
    <row r="416" spans="1:14" x14ac:dyDescent="0.25">
      <c r="A416">
        <v>425304</v>
      </c>
      <c r="B416" t="s">
        <v>31</v>
      </c>
      <c r="C416">
        <v>13970</v>
      </c>
      <c r="D416" t="s">
        <v>36</v>
      </c>
      <c r="E416" t="s">
        <v>19</v>
      </c>
      <c r="F416" s="27">
        <v>45810</v>
      </c>
      <c r="G416">
        <v>8</v>
      </c>
      <c r="H416">
        <v>8</v>
      </c>
      <c r="I416" t="s">
        <v>308</v>
      </c>
      <c r="J416" s="27">
        <v>45812</v>
      </c>
      <c r="L416" s="29">
        <v>1996.3702361842106</v>
      </c>
      <c r="M416" s="29">
        <v>15970.961889473685</v>
      </c>
      <c r="N416" s="15">
        <v>45809</v>
      </c>
    </row>
    <row r="417" spans="1:14" x14ac:dyDescent="0.25">
      <c r="A417">
        <v>429196</v>
      </c>
      <c r="B417" t="s">
        <v>955</v>
      </c>
      <c r="C417">
        <v>54647</v>
      </c>
      <c r="D417" t="s">
        <v>41</v>
      </c>
      <c r="E417" t="s">
        <v>22</v>
      </c>
      <c r="F417" s="27">
        <v>45810</v>
      </c>
      <c r="G417">
        <v>34</v>
      </c>
      <c r="H417">
        <v>34</v>
      </c>
      <c r="I417" t="s">
        <v>992</v>
      </c>
      <c r="J417" s="27">
        <v>45827</v>
      </c>
      <c r="L417" s="29">
        <v>1663.6418631578947</v>
      </c>
      <c r="M417" s="29">
        <v>56563.823347368423</v>
      </c>
      <c r="N417" s="15">
        <v>45809</v>
      </c>
    </row>
    <row r="418" spans="1:14" x14ac:dyDescent="0.25">
      <c r="A418">
        <v>428688</v>
      </c>
      <c r="B418" t="s">
        <v>24</v>
      </c>
      <c r="C418">
        <v>54160</v>
      </c>
      <c r="D418" t="s">
        <v>25</v>
      </c>
      <c r="E418" t="s">
        <v>22</v>
      </c>
      <c r="F418" s="27">
        <v>45810</v>
      </c>
      <c r="G418">
        <v>5.5</v>
      </c>
      <c r="H418">
        <v>5.5</v>
      </c>
      <c r="I418" t="s">
        <v>297</v>
      </c>
      <c r="J418" s="27">
        <v>45826</v>
      </c>
      <c r="L418" s="29">
        <v>1247.7313973684211</v>
      </c>
      <c r="M418" s="29">
        <v>6862.5226855263163</v>
      </c>
      <c r="N418" s="15">
        <v>45809</v>
      </c>
    </row>
    <row r="419" spans="1:14" x14ac:dyDescent="0.25">
      <c r="A419">
        <v>430517</v>
      </c>
      <c r="B419" t="s">
        <v>34</v>
      </c>
      <c r="C419">
        <v>21152</v>
      </c>
      <c r="D419" t="s">
        <v>33</v>
      </c>
      <c r="E419" t="s">
        <v>19</v>
      </c>
      <c r="F419" s="27">
        <v>45810</v>
      </c>
      <c r="G419">
        <v>10</v>
      </c>
      <c r="H419">
        <v>10</v>
      </c>
      <c r="I419" t="s">
        <v>387</v>
      </c>
      <c r="J419" s="27">
        <v>45832</v>
      </c>
      <c r="L419" s="29">
        <v>2079.5523289473686</v>
      </c>
      <c r="M419" s="29">
        <v>20795.523289473684</v>
      </c>
      <c r="N419" s="15">
        <v>45809</v>
      </c>
    </row>
    <row r="420" spans="1:14" x14ac:dyDescent="0.25">
      <c r="A420">
        <v>423877</v>
      </c>
      <c r="B420" t="s">
        <v>31</v>
      </c>
      <c r="C420">
        <v>46387</v>
      </c>
      <c r="D420" t="s">
        <v>32</v>
      </c>
      <c r="E420" t="s">
        <v>19</v>
      </c>
      <c r="F420" s="27">
        <v>45810</v>
      </c>
      <c r="G420">
        <v>16</v>
      </c>
      <c r="H420">
        <v>16</v>
      </c>
      <c r="I420" t="s">
        <v>399</v>
      </c>
      <c r="J420" s="27">
        <v>45810</v>
      </c>
      <c r="L420" s="29">
        <v>2495.4627947368422</v>
      </c>
      <c r="M420" s="29">
        <v>39927.404715789475</v>
      </c>
      <c r="N420" s="15">
        <v>45809</v>
      </c>
    </row>
    <row r="421" spans="1:14" x14ac:dyDescent="0.25">
      <c r="A421">
        <v>425670</v>
      </c>
      <c r="B421" t="s">
        <v>31</v>
      </c>
      <c r="C421">
        <v>13969</v>
      </c>
      <c r="D421" t="s">
        <v>46</v>
      </c>
      <c r="E421" t="s">
        <v>19</v>
      </c>
      <c r="F421" s="27">
        <v>45810</v>
      </c>
      <c r="G421">
        <v>4.5</v>
      </c>
      <c r="H421">
        <v>4.5</v>
      </c>
      <c r="I421" t="s">
        <v>390</v>
      </c>
      <c r="J421" s="27">
        <v>45813</v>
      </c>
      <c r="L421" s="29">
        <v>1247.7313973684211</v>
      </c>
      <c r="M421" s="29">
        <v>5614.791288157895</v>
      </c>
      <c r="N421" s="15">
        <v>45809</v>
      </c>
    </row>
    <row r="422" spans="1:14" x14ac:dyDescent="0.25">
      <c r="A422">
        <v>425676</v>
      </c>
      <c r="B422" t="s">
        <v>31</v>
      </c>
      <c r="C422">
        <v>13969</v>
      </c>
      <c r="D422" t="s">
        <v>46</v>
      </c>
      <c r="E422" t="s">
        <v>19</v>
      </c>
      <c r="F422" s="27">
        <v>45810</v>
      </c>
      <c r="G422">
        <v>0.5</v>
      </c>
      <c r="H422">
        <v>0.5</v>
      </c>
      <c r="I422" t="s">
        <v>331</v>
      </c>
      <c r="J422" s="27">
        <v>45813</v>
      </c>
      <c r="L422" s="29">
        <v>1247.7313973684211</v>
      </c>
      <c r="M422" s="29">
        <v>623.86569868421054</v>
      </c>
      <c r="N422" s="15">
        <v>45809</v>
      </c>
    </row>
    <row r="423" spans="1:14" x14ac:dyDescent="0.25">
      <c r="A423">
        <v>425680</v>
      </c>
      <c r="B423" t="s">
        <v>31</v>
      </c>
      <c r="C423">
        <v>13969</v>
      </c>
      <c r="D423" t="s">
        <v>46</v>
      </c>
      <c r="E423" t="s">
        <v>19</v>
      </c>
      <c r="F423" s="27">
        <v>45810</v>
      </c>
      <c r="G423">
        <v>3</v>
      </c>
      <c r="H423">
        <v>3</v>
      </c>
      <c r="I423" t="s">
        <v>400</v>
      </c>
      <c r="J423" s="27">
        <v>45813</v>
      </c>
      <c r="L423" s="29">
        <v>1247.7313973684211</v>
      </c>
      <c r="M423" s="29">
        <v>3743.194192105263</v>
      </c>
      <c r="N423" s="15">
        <v>45809</v>
      </c>
    </row>
    <row r="424" spans="1:14" x14ac:dyDescent="0.25">
      <c r="A424">
        <v>434662</v>
      </c>
      <c r="B424" t="s">
        <v>34</v>
      </c>
      <c r="C424">
        <v>21152</v>
      </c>
      <c r="D424" t="s">
        <v>44</v>
      </c>
      <c r="E424" t="s">
        <v>19</v>
      </c>
      <c r="F424" s="27">
        <v>45810</v>
      </c>
      <c r="G424">
        <v>123</v>
      </c>
      <c r="H424">
        <v>123</v>
      </c>
      <c r="I424" t="s">
        <v>387</v>
      </c>
      <c r="J424" s="27">
        <v>45840</v>
      </c>
      <c r="L424" s="29">
        <v>2329.0986085526315</v>
      </c>
      <c r="M424" s="29">
        <v>286479.12885197368</v>
      </c>
      <c r="N424" s="15">
        <v>45809</v>
      </c>
    </row>
    <row r="425" spans="1:14" x14ac:dyDescent="0.25">
      <c r="A425">
        <v>434663</v>
      </c>
      <c r="B425" t="s">
        <v>34</v>
      </c>
      <c r="C425">
        <v>21152</v>
      </c>
      <c r="D425" t="s">
        <v>32</v>
      </c>
      <c r="E425" t="s">
        <v>19</v>
      </c>
      <c r="F425" s="27">
        <v>45810</v>
      </c>
      <c r="G425">
        <v>88</v>
      </c>
      <c r="H425">
        <v>88</v>
      </c>
      <c r="I425" t="s">
        <v>387</v>
      </c>
      <c r="J425" s="27">
        <v>45840</v>
      </c>
      <c r="L425" s="29">
        <v>2495.4627947368422</v>
      </c>
      <c r="M425" s="29">
        <v>219600.72593684212</v>
      </c>
      <c r="N425" s="15">
        <v>45809</v>
      </c>
    </row>
    <row r="426" spans="1:14" x14ac:dyDescent="0.25">
      <c r="A426">
        <v>424938</v>
      </c>
      <c r="B426" t="s">
        <v>28</v>
      </c>
      <c r="C426">
        <v>51263</v>
      </c>
      <c r="D426" t="s">
        <v>27</v>
      </c>
      <c r="E426" t="s">
        <v>22</v>
      </c>
      <c r="F426" s="27">
        <v>45810</v>
      </c>
      <c r="G426">
        <v>2</v>
      </c>
      <c r="H426">
        <v>2</v>
      </c>
      <c r="I426" t="s">
        <v>388</v>
      </c>
      <c r="J426" s="27">
        <v>45811</v>
      </c>
      <c r="L426" s="29">
        <v>665.45674539473691</v>
      </c>
      <c r="M426" s="29">
        <v>1330.9134907894738</v>
      </c>
      <c r="N426" s="15">
        <v>45809</v>
      </c>
    </row>
    <row r="427" spans="1:14" x14ac:dyDescent="0.25">
      <c r="A427">
        <v>432271</v>
      </c>
      <c r="B427" t="s">
        <v>18</v>
      </c>
      <c r="C427">
        <v>29</v>
      </c>
      <c r="D427" t="s">
        <v>37</v>
      </c>
      <c r="E427" t="s">
        <v>19</v>
      </c>
      <c r="F427" s="27">
        <v>45808</v>
      </c>
      <c r="G427">
        <v>24</v>
      </c>
      <c r="H427">
        <v>24</v>
      </c>
      <c r="I427" t="s">
        <v>255</v>
      </c>
      <c r="J427" s="27">
        <v>45836</v>
      </c>
      <c r="L427" s="29">
        <v>526.81992361111111</v>
      </c>
      <c r="M427" s="29">
        <v>12643.678166666667</v>
      </c>
      <c r="N427" s="15">
        <v>45778</v>
      </c>
    </row>
    <row r="428" spans="1:14" x14ac:dyDescent="0.25">
      <c r="A428">
        <v>432293</v>
      </c>
      <c r="B428" t="s">
        <v>23</v>
      </c>
      <c r="C428">
        <v>54722</v>
      </c>
      <c r="D428" t="s">
        <v>21</v>
      </c>
      <c r="E428" t="s">
        <v>22</v>
      </c>
      <c r="F428" s="27">
        <v>45808</v>
      </c>
      <c r="G428">
        <v>36</v>
      </c>
      <c r="H428">
        <v>36</v>
      </c>
      <c r="I428" t="s">
        <v>294</v>
      </c>
      <c r="J428" s="27">
        <v>45836</v>
      </c>
      <c r="L428" s="29">
        <v>1975.5747125</v>
      </c>
      <c r="M428" s="29">
        <v>71120.68965</v>
      </c>
      <c r="N428" s="15">
        <v>45778</v>
      </c>
    </row>
    <row r="429" spans="1:14" x14ac:dyDescent="0.25">
      <c r="A429">
        <v>423915</v>
      </c>
      <c r="B429" t="s">
        <v>23</v>
      </c>
      <c r="C429">
        <v>54720</v>
      </c>
      <c r="D429" t="s">
        <v>42</v>
      </c>
      <c r="E429" t="s">
        <v>22</v>
      </c>
      <c r="F429" s="27">
        <v>45808</v>
      </c>
      <c r="G429">
        <v>2</v>
      </c>
      <c r="H429">
        <v>2</v>
      </c>
      <c r="I429" t="s">
        <v>401</v>
      </c>
      <c r="J429" s="27">
        <v>45810</v>
      </c>
      <c r="L429" s="29">
        <v>1418</v>
      </c>
      <c r="M429" s="29">
        <v>2836</v>
      </c>
      <c r="N429" s="15">
        <v>45778</v>
      </c>
    </row>
    <row r="430" spans="1:14" x14ac:dyDescent="0.25">
      <c r="A430">
        <v>422401</v>
      </c>
      <c r="B430" t="s">
        <v>29</v>
      </c>
      <c r="C430">
        <v>53433</v>
      </c>
      <c r="D430" t="s">
        <v>30</v>
      </c>
      <c r="E430" t="s">
        <v>22</v>
      </c>
      <c r="F430" s="27">
        <v>45807</v>
      </c>
      <c r="G430">
        <v>3</v>
      </c>
      <c r="H430">
        <v>3</v>
      </c>
      <c r="I430" t="s">
        <v>402</v>
      </c>
      <c r="J430" s="27">
        <v>45807</v>
      </c>
      <c r="L430" s="29">
        <v>1053.6398465277778</v>
      </c>
      <c r="M430" s="29">
        <v>3160.9195395833331</v>
      </c>
      <c r="N430" s="15">
        <v>45778</v>
      </c>
    </row>
    <row r="431" spans="1:14" x14ac:dyDescent="0.25">
      <c r="A431">
        <v>422402</v>
      </c>
      <c r="B431" t="s">
        <v>29</v>
      </c>
      <c r="C431">
        <v>52587</v>
      </c>
      <c r="D431" t="s">
        <v>30</v>
      </c>
      <c r="E431" t="s">
        <v>22</v>
      </c>
      <c r="F431" s="27">
        <v>45807</v>
      </c>
      <c r="G431">
        <v>3</v>
      </c>
      <c r="H431">
        <v>3</v>
      </c>
      <c r="I431" t="s">
        <v>403</v>
      </c>
      <c r="J431" s="27">
        <v>45807</v>
      </c>
      <c r="L431" s="29">
        <v>1053.6398465277778</v>
      </c>
      <c r="M431" s="29">
        <v>3160.9195395833331</v>
      </c>
      <c r="N431" s="15">
        <v>45778</v>
      </c>
    </row>
    <row r="432" spans="1:14" x14ac:dyDescent="0.25">
      <c r="A432">
        <v>433691</v>
      </c>
      <c r="B432" t="s">
        <v>31</v>
      </c>
      <c r="C432">
        <v>13969</v>
      </c>
      <c r="D432" t="s">
        <v>33</v>
      </c>
      <c r="E432" t="s">
        <v>19</v>
      </c>
      <c r="F432" s="27">
        <v>45807</v>
      </c>
      <c r="G432">
        <v>44</v>
      </c>
      <c r="H432">
        <v>44</v>
      </c>
      <c r="I432" t="s">
        <v>294</v>
      </c>
      <c r="J432" s="27">
        <v>45839</v>
      </c>
      <c r="L432" s="29">
        <v>2195.0830138888891</v>
      </c>
      <c r="M432" s="29">
        <v>96583.652611111116</v>
      </c>
      <c r="N432" s="15">
        <v>45778</v>
      </c>
    </row>
    <row r="433" spans="1:14" x14ac:dyDescent="0.25">
      <c r="A433">
        <v>433693</v>
      </c>
      <c r="B433" t="s">
        <v>34</v>
      </c>
      <c r="C433">
        <v>21152</v>
      </c>
      <c r="D433" t="s">
        <v>33</v>
      </c>
      <c r="E433" t="s">
        <v>19</v>
      </c>
      <c r="F433" s="27">
        <v>45807</v>
      </c>
      <c r="G433">
        <v>17</v>
      </c>
      <c r="H433">
        <v>17</v>
      </c>
      <c r="I433" t="s">
        <v>294</v>
      </c>
      <c r="J433" s="27">
        <v>45839</v>
      </c>
      <c r="L433" s="29">
        <v>2195.0830138888891</v>
      </c>
      <c r="M433" s="29">
        <v>37316.411236111118</v>
      </c>
      <c r="N433" s="15">
        <v>45778</v>
      </c>
    </row>
    <row r="434" spans="1:14" x14ac:dyDescent="0.25">
      <c r="A434">
        <v>433697</v>
      </c>
      <c r="B434" t="s">
        <v>18</v>
      </c>
      <c r="C434">
        <v>29236</v>
      </c>
      <c r="D434" t="s">
        <v>33</v>
      </c>
      <c r="E434" t="s">
        <v>19</v>
      </c>
      <c r="F434" s="27">
        <v>45807</v>
      </c>
      <c r="G434">
        <v>16</v>
      </c>
      <c r="H434">
        <v>16</v>
      </c>
      <c r="I434" t="s">
        <v>294</v>
      </c>
      <c r="J434" s="27">
        <v>45839</v>
      </c>
      <c r="L434" s="29">
        <v>2195.0830138888891</v>
      </c>
      <c r="M434" s="29">
        <v>35121.328222222226</v>
      </c>
      <c r="N434" s="15">
        <v>45778</v>
      </c>
    </row>
    <row r="435" spans="1:14" x14ac:dyDescent="0.25">
      <c r="A435">
        <v>422949</v>
      </c>
      <c r="B435" t="s">
        <v>28</v>
      </c>
      <c r="C435">
        <v>51263</v>
      </c>
      <c r="D435" t="s">
        <v>27</v>
      </c>
      <c r="E435" t="s">
        <v>22</v>
      </c>
      <c r="F435" s="27">
        <v>45807</v>
      </c>
      <c r="G435">
        <v>2</v>
      </c>
      <c r="H435">
        <v>2</v>
      </c>
      <c r="I435" t="s">
        <v>404</v>
      </c>
      <c r="J435" s="27">
        <v>45807</v>
      </c>
      <c r="L435" s="29">
        <v>702.4265645833334</v>
      </c>
      <c r="M435" s="29">
        <v>1404.8531291666668</v>
      </c>
      <c r="N435" s="15">
        <v>45778</v>
      </c>
    </row>
    <row r="436" spans="1:14" x14ac:dyDescent="0.25">
      <c r="A436">
        <v>422950</v>
      </c>
      <c r="B436" t="s">
        <v>28</v>
      </c>
      <c r="C436">
        <v>51263</v>
      </c>
      <c r="D436" t="s">
        <v>27</v>
      </c>
      <c r="E436" t="s">
        <v>22</v>
      </c>
      <c r="F436" s="27">
        <v>45807</v>
      </c>
      <c r="G436">
        <v>5</v>
      </c>
      <c r="H436">
        <v>5</v>
      </c>
      <c r="I436" t="s">
        <v>339</v>
      </c>
      <c r="J436" s="27">
        <v>45807</v>
      </c>
      <c r="L436" s="29">
        <v>702.4265645833334</v>
      </c>
      <c r="M436" s="29">
        <v>3512.132822916667</v>
      </c>
      <c r="N436" s="15">
        <v>45778</v>
      </c>
    </row>
    <row r="437" spans="1:14" x14ac:dyDescent="0.25">
      <c r="A437">
        <v>422468</v>
      </c>
      <c r="B437" t="s">
        <v>29</v>
      </c>
      <c r="C437">
        <v>54687</v>
      </c>
      <c r="D437" t="s">
        <v>44</v>
      </c>
      <c r="E437" t="s">
        <v>22</v>
      </c>
      <c r="F437" s="27">
        <v>45807</v>
      </c>
      <c r="G437">
        <v>5</v>
      </c>
      <c r="H437">
        <v>5</v>
      </c>
      <c r="I437" t="s">
        <v>405</v>
      </c>
      <c r="J437" s="27">
        <v>45807</v>
      </c>
      <c r="L437" s="29">
        <v>2458.4929756944443</v>
      </c>
      <c r="M437" s="29">
        <v>12292.464878472221</v>
      </c>
      <c r="N437" s="15">
        <v>45778</v>
      </c>
    </row>
    <row r="438" spans="1:14" x14ac:dyDescent="0.25">
      <c r="A438">
        <v>428676</v>
      </c>
      <c r="B438" t="s">
        <v>24</v>
      </c>
      <c r="C438">
        <v>54431</v>
      </c>
      <c r="D438" t="s">
        <v>25</v>
      </c>
      <c r="E438" t="s">
        <v>22</v>
      </c>
      <c r="F438" s="27">
        <v>45807</v>
      </c>
      <c r="G438">
        <v>4.5</v>
      </c>
      <c r="H438">
        <v>4.5</v>
      </c>
      <c r="I438" t="s">
        <v>297</v>
      </c>
      <c r="J438" s="27">
        <v>45826</v>
      </c>
      <c r="L438" s="29">
        <v>1317.0498083333334</v>
      </c>
      <c r="M438" s="29">
        <v>5926.7241375000003</v>
      </c>
      <c r="N438" s="15">
        <v>45778</v>
      </c>
    </row>
    <row r="439" spans="1:14" x14ac:dyDescent="0.25">
      <c r="A439">
        <v>432261</v>
      </c>
      <c r="B439" t="s">
        <v>23</v>
      </c>
      <c r="C439">
        <v>54460</v>
      </c>
      <c r="D439" t="s">
        <v>26</v>
      </c>
      <c r="E439" t="s">
        <v>22</v>
      </c>
      <c r="F439" s="27">
        <v>45807</v>
      </c>
      <c r="G439">
        <v>24</v>
      </c>
      <c r="H439">
        <v>24</v>
      </c>
      <c r="I439" t="s">
        <v>406</v>
      </c>
      <c r="J439" s="27">
        <v>45836</v>
      </c>
      <c r="L439" s="29">
        <v>1141.4431673611111</v>
      </c>
      <c r="M439" s="29">
        <v>27394.636016666667</v>
      </c>
      <c r="N439" s="15">
        <v>45778</v>
      </c>
    </row>
    <row r="440" spans="1:14" x14ac:dyDescent="0.25">
      <c r="A440">
        <v>422549</v>
      </c>
      <c r="B440" t="s">
        <v>28</v>
      </c>
      <c r="C440">
        <v>53305</v>
      </c>
      <c r="D440" t="s">
        <v>27</v>
      </c>
      <c r="E440" t="s">
        <v>22</v>
      </c>
      <c r="F440" s="27">
        <v>45807</v>
      </c>
      <c r="G440">
        <v>1</v>
      </c>
      <c r="H440">
        <v>1</v>
      </c>
      <c r="I440" t="s">
        <v>407</v>
      </c>
      <c r="J440" s="27">
        <v>45807</v>
      </c>
      <c r="L440" s="29">
        <v>702.4265645833334</v>
      </c>
      <c r="M440" s="29">
        <v>702.4265645833334</v>
      </c>
      <c r="N440" s="15">
        <v>45778</v>
      </c>
    </row>
    <row r="441" spans="1:14" x14ac:dyDescent="0.25">
      <c r="A441">
        <v>432278</v>
      </c>
      <c r="B441" t="s">
        <v>23</v>
      </c>
      <c r="C441">
        <v>54720</v>
      </c>
      <c r="D441" t="s">
        <v>252</v>
      </c>
      <c r="E441" t="s">
        <v>22</v>
      </c>
      <c r="F441" s="27">
        <v>45807</v>
      </c>
      <c r="G441">
        <v>18</v>
      </c>
      <c r="H441">
        <v>18</v>
      </c>
      <c r="I441" t="s">
        <v>294</v>
      </c>
      <c r="J441" s="27">
        <v>45836</v>
      </c>
      <c r="L441" s="29">
        <v>1380</v>
      </c>
      <c r="M441" s="29">
        <v>24840</v>
      </c>
      <c r="N441" s="15">
        <v>45778</v>
      </c>
    </row>
    <row r="442" spans="1:14" x14ac:dyDescent="0.25">
      <c r="A442">
        <v>432279</v>
      </c>
      <c r="B442" t="s">
        <v>28</v>
      </c>
      <c r="C442">
        <v>51251</v>
      </c>
      <c r="D442" t="s">
        <v>252</v>
      </c>
      <c r="E442" t="s">
        <v>22</v>
      </c>
      <c r="F442" s="27">
        <v>45807</v>
      </c>
      <c r="G442">
        <v>42</v>
      </c>
      <c r="H442">
        <v>42</v>
      </c>
      <c r="I442" t="s">
        <v>294</v>
      </c>
      <c r="J442" s="27">
        <v>45836</v>
      </c>
      <c r="L442" s="29">
        <v>1380</v>
      </c>
      <c r="M442" s="29">
        <v>57960</v>
      </c>
      <c r="N442" s="15">
        <v>45778</v>
      </c>
    </row>
    <row r="443" spans="1:14" x14ac:dyDescent="0.25">
      <c r="A443">
        <v>432304</v>
      </c>
      <c r="B443" t="s">
        <v>28</v>
      </c>
      <c r="C443">
        <v>51251</v>
      </c>
      <c r="D443" t="s">
        <v>43</v>
      </c>
      <c r="E443" t="s">
        <v>22</v>
      </c>
      <c r="F443" s="27">
        <v>45807</v>
      </c>
      <c r="G443">
        <v>24</v>
      </c>
      <c r="H443">
        <v>24</v>
      </c>
      <c r="I443" t="s">
        <v>294</v>
      </c>
      <c r="J443" s="27">
        <v>45836</v>
      </c>
      <c r="L443" s="29">
        <v>439.01660277777779</v>
      </c>
      <c r="M443" s="29">
        <v>10536.398466666667</v>
      </c>
      <c r="N443" s="15">
        <v>45778</v>
      </c>
    </row>
    <row r="444" spans="1:14" x14ac:dyDescent="0.25">
      <c r="A444">
        <v>432308</v>
      </c>
      <c r="B444" t="s">
        <v>24</v>
      </c>
      <c r="C444">
        <v>55472</v>
      </c>
      <c r="D444" t="s">
        <v>49</v>
      </c>
      <c r="E444" t="s">
        <v>22</v>
      </c>
      <c r="F444" s="27">
        <v>45807</v>
      </c>
      <c r="G444">
        <v>128</v>
      </c>
      <c r="H444">
        <v>128</v>
      </c>
      <c r="I444" t="s">
        <v>294</v>
      </c>
      <c r="J444" s="27">
        <v>45836</v>
      </c>
      <c r="L444" s="29">
        <v>1317.0498083333334</v>
      </c>
      <c r="M444" s="29">
        <v>168582.37546666668</v>
      </c>
      <c r="N444" s="15">
        <v>45778</v>
      </c>
    </row>
    <row r="445" spans="1:14" x14ac:dyDescent="0.25">
      <c r="A445">
        <v>422839</v>
      </c>
      <c r="B445" t="s">
        <v>31</v>
      </c>
      <c r="C445">
        <v>13970</v>
      </c>
      <c r="D445" t="s">
        <v>36</v>
      </c>
      <c r="E445" t="s">
        <v>19</v>
      </c>
      <c r="F445" s="27">
        <v>45807</v>
      </c>
      <c r="G445">
        <v>8</v>
      </c>
      <c r="H445">
        <v>8</v>
      </c>
      <c r="I445" t="s">
        <v>408</v>
      </c>
      <c r="J445" s="27">
        <v>45807</v>
      </c>
      <c r="L445" s="29">
        <v>2107.2796937500002</v>
      </c>
      <c r="M445" s="29">
        <v>16858.237550000002</v>
      </c>
      <c r="N445" s="15">
        <v>45778</v>
      </c>
    </row>
    <row r="446" spans="1:14" x14ac:dyDescent="0.25">
      <c r="A446">
        <v>436680</v>
      </c>
      <c r="B446" t="s">
        <v>270</v>
      </c>
      <c r="C446">
        <v>53766</v>
      </c>
      <c r="D446" t="s">
        <v>41</v>
      </c>
      <c r="E446" t="s">
        <v>22</v>
      </c>
      <c r="F446" s="27">
        <v>45807</v>
      </c>
      <c r="G446">
        <v>40</v>
      </c>
      <c r="H446">
        <v>40</v>
      </c>
      <c r="I446" t="s">
        <v>255</v>
      </c>
      <c r="J446" s="27">
        <v>45846</v>
      </c>
      <c r="L446" s="29">
        <v>1756.0664111111112</v>
      </c>
      <c r="M446" s="29">
        <v>70242.656444444452</v>
      </c>
      <c r="N446" s="15">
        <v>45778</v>
      </c>
    </row>
    <row r="447" spans="1:14" x14ac:dyDescent="0.25">
      <c r="A447">
        <v>422867</v>
      </c>
      <c r="B447" t="s">
        <v>31</v>
      </c>
      <c r="C447">
        <v>13969</v>
      </c>
      <c r="D447" t="s">
        <v>46</v>
      </c>
      <c r="E447" t="s">
        <v>19</v>
      </c>
      <c r="F447" s="27">
        <v>45807</v>
      </c>
      <c r="G447">
        <v>7.5</v>
      </c>
      <c r="H447">
        <v>7.5</v>
      </c>
      <c r="I447" t="s">
        <v>409</v>
      </c>
      <c r="J447" s="27">
        <v>45807</v>
      </c>
      <c r="L447" s="29">
        <v>1317.0498083333334</v>
      </c>
      <c r="M447" s="29">
        <v>9877.8735625000008</v>
      </c>
      <c r="N447" s="15">
        <v>45778</v>
      </c>
    </row>
    <row r="448" spans="1:14" x14ac:dyDescent="0.25">
      <c r="A448">
        <v>422868</v>
      </c>
      <c r="B448" t="s">
        <v>31</v>
      </c>
      <c r="C448">
        <v>13969</v>
      </c>
      <c r="D448" t="s">
        <v>46</v>
      </c>
      <c r="E448" t="s">
        <v>19</v>
      </c>
      <c r="F448" s="27">
        <v>45807</v>
      </c>
      <c r="G448">
        <v>0.5</v>
      </c>
      <c r="H448">
        <v>0.5</v>
      </c>
      <c r="I448" t="s">
        <v>331</v>
      </c>
      <c r="J448" s="27">
        <v>45807</v>
      </c>
      <c r="L448" s="29">
        <v>1317.0498083333334</v>
      </c>
      <c r="M448" s="29">
        <v>658.52490416666672</v>
      </c>
      <c r="N448" s="15">
        <v>45778</v>
      </c>
    </row>
    <row r="449" spans="1:14" x14ac:dyDescent="0.25">
      <c r="A449">
        <v>422360</v>
      </c>
      <c r="B449" t="s">
        <v>28</v>
      </c>
      <c r="C449">
        <v>51263</v>
      </c>
      <c r="D449" t="s">
        <v>27</v>
      </c>
      <c r="E449" t="s">
        <v>22</v>
      </c>
      <c r="F449" s="27">
        <v>45807</v>
      </c>
      <c r="G449">
        <v>1</v>
      </c>
      <c r="H449">
        <v>1</v>
      </c>
      <c r="I449" t="s">
        <v>410</v>
      </c>
      <c r="J449" s="27">
        <v>45807</v>
      </c>
      <c r="L449" s="29">
        <v>702.4265645833334</v>
      </c>
      <c r="M449" s="29">
        <v>702.4265645833334</v>
      </c>
      <c r="N449" s="15">
        <v>45778</v>
      </c>
    </row>
    <row r="450" spans="1:14" x14ac:dyDescent="0.25">
      <c r="A450">
        <v>423914</v>
      </c>
      <c r="B450" t="s">
        <v>23</v>
      </c>
      <c r="C450">
        <v>54720</v>
      </c>
      <c r="D450" t="s">
        <v>42</v>
      </c>
      <c r="E450" t="s">
        <v>22</v>
      </c>
      <c r="F450" s="27">
        <v>45807</v>
      </c>
      <c r="G450">
        <v>4</v>
      </c>
      <c r="H450">
        <v>4</v>
      </c>
      <c r="I450" t="s">
        <v>401</v>
      </c>
      <c r="J450" s="27">
        <v>45810</v>
      </c>
      <c r="L450" s="29">
        <v>1418</v>
      </c>
      <c r="M450" s="29">
        <v>5672</v>
      </c>
      <c r="N450" s="15">
        <v>45778</v>
      </c>
    </row>
    <row r="451" spans="1:14" x14ac:dyDescent="0.25">
      <c r="A451">
        <v>421978</v>
      </c>
      <c r="B451" t="s">
        <v>18</v>
      </c>
      <c r="C451">
        <v>32</v>
      </c>
      <c r="D451" t="s">
        <v>27</v>
      </c>
      <c r="E451" t="s">
        <v>19</v>
      </c>
      <c r="F451" s="27">
        <v>45806</v>
      </c>
      <c r="G451">
        <v>0.5</v>
      </c>
      <c r="H451">
        <v>0.5</v>
      </c>
      <c r="I451" t="s">
        <v>411</v>
      </c>
      <c r="J451" s="27">
        <v>45806</v>
      </c>
      <c r="L451" s="29">
        <v>702.4265645833334</v>
      </c>
      <c r="M451" s="29">
        <v>351.2132822916667</v>
      </c>
      <c r="N451" s="15">
        <v>45778</v>
      </c>
    </row>
    <row r="452" spans="1:14" x14ac:dyDescent="0.25">
      <c r="A452">
        <v>428670</v>
      </c>
      <c r="B452" t="s">
        <v>24</v>
      </c>
      <c r="C452">
        <v>54431</v>
      </c>
      <c r="D452" t="s">
        <v>25</v>
      </c>
      <c r="E452" t="s">
        <v>22</v>
      </c>
      <c r="F452" s="27">
        <v>45806</v>
      </c>
      <c r="G452">
        <v>7.5</v>
      </c>
      <c r="H452">
        <v>7.5</v>
      </c>
      <c r="I452" t="s">
        <v>297</v>
      </c>
      <c r="J452" s="27">
        <v>45826</v>
      </c>
      <c r="L452" s="29">
        <v>1317.0498083333334</v>
      </c>
      <c r="M452" s="29">
        <v>9877.8735625000008</v>
      </c>
      <c r="N452" s="15">
        <v>45778</v>
      </c>
    </row>
    <row r="453" spans="1:14" x14ac:dyDescent="0.25">
      <c r="A453">
        <v>422837</v>
      </c>
      <c r="B453" t="s">
        <v>31</v>
      </c>
      <c r="C453">
        <v>13970</v>
      </c>
      <c r="D453" t="s">
        <v>36</v>
      </c>
      <c r="E453" t="s">
        <v>19</v>
      </c>
      <c r="F453" s="27">
        <v>45806</v>
      </c>
      <c r="G453">
        <v>8</v>
      </c>
      <c r="H453">
        <v>8</v>
      </c>
      <c r="I453" t="s">
        <v>408</v>
      </c>
      <c r="J453" s="27">
        <v>45807</v>
      </c>
      <c r="L453" s="29">
        <v>2107.2796937500002</v>
      </c>
      <c r="M453" s="29">
        <v>16858.237550000002</v>
      </c>
      <c r="N453" s="15">
        <v>45778</v>
      </c>
    </row>
    <row r="454" spans="1:14" x14ac:dyDescent="0.25">
      <c r="A454">
        <v>422342</v>
      </c>
      <c r="B454" t="s">
        <v>28</v>
      </c>
      <c r="C454">
        <v>51263</v>
      </c>
      <c r="D454" t="s">
        <v>27</v>
      </c>
      <c r="E454" t="s">
        <v>22</v>
      </c>
      <c r="F454" s="27">
        <v>45806</v>
      </c>
      <c r="G454">
        <v>2</v>
      </c>
      <c r="H454">
        <v>2</v>
      </c>
      <c r="I454" t="s">
        <v>412</v>
      </c>
      <c r="J454" s="27">
        <v>45807</v>
      </c>
      <c r="L454" s="29">
        <v>702.4265645833334</v>
      </c>
      <c r="M454" s="29">
        <v>1404.8531291666668</v>
      </c>
      <c r="N454" s="15">
        <v>45778</v>
      </c>
    </row>
    <row r="455" spans="1:14" x14ac:dyDescent="0.25">
      <c r="A455">
        <v>423881</v>
      </c>
      <c r="B455" t="s">
        <v>29</v>
      </c>
      <c r="C455">
        <v>52508</v>
      </c>
      <c r="D455" t="s">
        <v>44</v>
      </c>
      <c r="E455" t="s">
        <v>22</v>
      </c>
      <c r="F455" s="27">
        <v>45806</v>
      </c>
      <c r="G455">
        <v>8</v>
      </c>
      <c r="H455">
        <v>8</v>
      </c>
      <c r="I455" t="s">
        <v>413</v>
      </c>
      <c r="J455" s="27">
        <v>45810</v>
      </c>
      <c r="L455" s="29">
        <v>2458.4929756944443</v>
      </c>
      <c r="M455" s="29">
        <v>19667.943805555555</v>
      </c>
      <c r="N455" s="15">
        <v>45778</v>
      </c>
    </row>
    <row r="456" spans="1:14" x14ac:dyDescent="0.25">
      <c r="A456">
        <v>422863</v>
      </c>
      <c r="B456" t="s">
        <v>31</v>
      </c>
      <c r="C456">
        <v>13969</v>
      </c>
      <c r="D456" t="s">
        <v>46</v>
      </c>
      <c r="E456" t="s">
        <v>19</v>
      </c>
      <c r="F456" s="27">
        <v>45806</v>
      </c>
      <c r="G456">
        <v>0.75</v>
      </c>
      <c r="H456">
        <v>0.75</v>
      </c>
      <c r="I456" t="s">
        <v>331</v>
      </c>
      <c r="J456" s="27">
        <v>45807</v>
      </c>
      <c r="L456" s="29">
        <v>1317.0498083333334</v>
      </c>
      <c r="M456" s="29">
        <v>987.78735625000013</v>
      </c>
      <c r="N456" s="15">
        <v>45778</v>
      </c>
    </row>
    <row r="457" spans="1:14" x14ac:dyDescent="0.25">
      <c r="A457">
        <v>422864</v>
      </c>
      <c r="B457" t="s">
        <v>31</v>
      </c>
      <c r="C457">
        <v>13969</v>
      </c>
      <c r="D457" t="s">
        <v>46</v>
      </c>
      <c r="E457" t="s">
        <v>19</v>
      </c>
      <c r="F457" s="27">
        <v>45806</v>
      </c>
      <c r="G457">
        <v>3</v>
      </c>
      <c r="H457">
        <v>3</v>
      </c>
      <c r="I457" t="s">
        <v>414</v>
      </c>
      <c r="J457" s="27">
        <v>45807</v>
      </c>
      <c r="L457" s="29">
        <v>1317.0498083333334</v>
      </c>
      <c r="M457" s="29">
        <v>3951.1494250000005</v>
      </c>
      <c r="N457" s="15">
        <v>45778</v>
      </c>
    </row>
    <row r="458" spans="1:14" x14ac:dyDescent="0.25">
      <c r="A458">
        <v>422865</v>
      </c>
      <c r="B458" t="s">
        <v>31</v>
      </c>
      <c r="C458">
        <v>13969</v>
      </c>
      <c r="D458" t="s">
        <v>46</v>
      </c>
      <c r="E458" t="s">
        <v>19</v>
      </c>
      <c r="F458" s="27">
        <v>45806</v>
      </c>
      <c r="G458">
        <v>1.5</v>
      </c>
      <c r="H458">
        <v>1.5</v>
      </c>
      <c r="I458" t="s">
        <v>409</v>
      </c>
      <c r="J458" s="27">
        <v>45807</v>
      </c>
      <c r="L458" s="29">
        <v>1317.0498083333334</v>
      </c>
      <c r="M458" s="29">
        <v>1975.5747125000003</v>
      </c>
      <c r="N458" s="15">
        <v>45778</v>
      </c>
    </row>
    <row r="459" spans="1:14" x14ac:dyDescent="0.25">
      <c r="A459">
        <v>423889</v>
      </c>
      <c r="B459" t="s">
        <v>23</v>
      </c>
      <c r="C459">
        <v>54720</v>
      </c>
      <c r="D459" t="s">
        <v>42</v>
      </c>
      <c r="E459" t="s">
        <v>22</v>
      </c>
      <c r="F459" s="27">
        <v>45806</v>
      </c>
      <c r="G459">
        <v>4</v>
      </c>
      <c r="H459">
        <v>4</v>
      </c>
      <c r="I459" t="s">
        <v>415</v>
      </c>
      <c r="J459" s="27">
        <v>45810</v>
      </c>
      <c r="L459" s="29">
        <v>1418</v>
      </c>
      <c r="M459" s="29">
        <v>5672</v>
      </c>
      <c r="N459" s="15">
        <v>45778</v>
      </c>
    </row>
    <row r="460" spans="1:14" x14ac:dyDescent="0.25">
      <c r="A460">
        <v>422866</v>
      </c>
      <c r="B460" t="s">
        <v>31</v>
      </c>
      <c r="C460">
        <v>13969</v>
      </c>
      <c r="D460" t="s">
        <v>46</v>
      </c>
      <c r="E460" t="s">
        <v>19</v>
      </c>
      <c r="F460" s="27">
        <v>45806</v>
      </c>
      <c r="G460">
        <v>2.75</v>
      </c>
      <c r="H460">
        <v>2.75</v>
      </c>
      <c r="I460" t="s">
        <v>416</v>
      </c>
      <c r="J460" s="27">
        <v>45807</v>
      </c>
      <c r="L460" s="29">
        <v>1317.0498083333334</v>
      </c>
      <c r="M460" s="29">
        <v>3621.8869729166668</v>
      </c>
      <c r="N460" s="15">
        <v>45778</v>
      </c>
    </row>
    <row r="461" spans="1:14" x14ac:dyDescent="0.25">
      <c r="A461">
        <v>423379</v>
      </c>
      <c r="B461" t="s">
        <v>31</v>
      </c>
      <c r="C461">
        <v>13969</v>
      </c>
      <c r="D461" t="s">
        <v>42</v>
      </c>
      <c r="E461" t="s">
        <v>19</v>
      </c>
      <c r="F461" s="27">
        <v>45806</v>
      </c>
      <c r="G461">
        <v>0.5</v>
      </c>
      <c r="H461">
        <v>0.5</v>
      </c>
      <c r="I461" t="s">
        <v>295</v>
      </c>
      <c r="J461" s="27">
        <v>45809</v>
      </c>
      <c r="L461" s="29">
        <v>1418</v>
      </c>
      <c r="M461" s="29">
        <v>709</v>
      </c>
      <c r="N461" s="15">
        <v>45778</v>
      </c>
    </row>
    <row r="462" spans="1:14" x14ac:dyDescent="0.25">
      <c r="A462">
        <v>423891</v>
      </c>
      <c r="B462" t="s">
        <v>23</v>
      </c>
      <c r="C462">
        <v>54720</v>
      </c>
      <c r="D462" t="s">
        <v>42</v>
      </c>
      <c r="E462" t="s">
        <v>22</v>
      </c>
      <c r="F462" s="27">
        <v>45806</v>
      </c>
      <c r="G462">
        <v>1</v>
      </c>
      <c r="H462">
        <v>1</v>
      </c>
      <c r="I462" t="s">
        <v>417</v>
      </c>
      <c r="J462" s="27">
        <v>45810</v>
      </c>
      <c r="L462" s="29">
        <v>1418</v>
      </c>
      <c r="M462" s="29">
        <v>1418</v>
      </c>
      <c r="N462" s="15">
        <v>45778</v>
      </c>
    </row>
    <row r="463" spans="1:14" x14ac:dyDescent="0.25">
      <c r="A463">
        <v>422358</v>
      </c>
      <c r="B463" t="s">
        <v>28</v>
      </c>
      <c r="C463">
        <v>51263</v>
      </c>
      <c r="D463" t="s">
        <v>27</v>
      </c>
      <c r="E463" t="s">
        <v>22</v>
      </c>
      <c r="F463" s="27">
        <v>45806</v>
      </c>
      <c r="G463">
        <v>43</v>
      </c>
      <c r="H463">
        <v>43</v>
      </c>
      <c r="I463" t="s">
        <v>410</v>
      </c>
      <c r="J463" s="27">
        <v>45807</v>
      </c>
      <c r="L463" s="29">
        <v>702.4265645833334</v>
      </c>
      <c r="M463" s="29">
        <v>30204.342277083335</v>
      </c>
      <c r="N463" s="15">
        <v>45778</v>
      </c>
    </row>
    <row r="464" spans="1:14" x14ac:dyDescent="0.25">
      <c r="A464">
        <v>422399</v>
      </c>
      <c r="B464" t="s">
        <v>29</v>
      </c>
      <c r="C464">
        <v>53433</v>
      </c>
      <c r="D464" t="s">
        <v>30</v>
      </c>
      <c r="E464" t="s">
        <v>22</v>
      </c>
      <c r="F464" s="27">
        <v>45806</v>
      </c>
      <c r="G464">
        <v>8</v>
      </c>
      <c r="H464">
        <v>8</v>
      </c>
      <c r="I464" t="s">
        <v>418</v>
      </c>
      <c r="J464" s="27">
        <v>45807</v>
      </c>
      <c r="L464" s="29">
        <v>1053.6398465277778</v>
      </c>
      <c r="M464" s="29">
        <v>8429.1187722222221</v>
      </c>
      <c r="N464" s="15">
        <v>45778</v>
      </c>
    </row>
    <row r="465" spans="1:14" x14ac:dyDescent="0.25">
      <c r="A465">
        <v>421976</v>
      </c>
      <c r="B465" t="s">
        <v>28</v>
      </c>
      <c r="C465">
        <v>51263</v>
      </c>
      <c r="D465" t="s">
        <v>27</v>
      </c>
      <c r="E465" t="s">
        <v>22</v>
      </c>
      <c r="F465" s="27">
        <v>45805</v>
      </c>
      <c r="G465">
        <v>3.5</v>
      </c>
      <c r="H465">
        <v>3.5</v>
      </c>
      <c r="I465" t="s">
        <v>339</v>
      </c>
      <c r="J465" s="27">
        <v>45806</v>
      </c>
      <c r="L465" s="29">
        <v>702.4265645833334</v>
      </c>
      <c r="M465" s="29">
        <v>2458.4929760416671</v>
      </c>
      <c r="N465" s="15">
        <v>45778</v>
      </c>
    </row>
    <row r="466" spans="1:14" x14ac:dyDescent="0.25">
      <c r="A466">
        <v>421466</v>
      </c>
      <c r="B466" t="s">
        <v>31</v>
      </c>
      <c r="C466">
        <v>13969</v>
      </c>
      <c r="D466" t="s">
        <v>46</v>
      </c>
      <c r="E466" t="s">
        <v>19</v>
      </c>
      <c r="F466" s="27">
        <v>45805</v>
      </c>
      <c r="G466">
        <v>2</v>
      </c>
      <c r="H466">
        <v>2</v>
      </c>
      <c r="I466" t="s">
        <v>419</v>
      </c>
      <c r="J466" s="27">
        <v>45805</v>
      </c>
      <c r="L466" s="29">
        <v>1317.0498083333334</v>
      </c>
      <c r="M466" s="29">
        <v>2634.0996166666669</v>
      </c>
      <c r="N466" s="15">
        <v>45778</v>
      </c>
    </row>
    <row r="467" spans="1:14" x14ac:dyDescent="0.25">
      <c r="A467">
        <v>421469</v>
      </c>
      <c r="B467" t="s">
        <v>31</v>
      </c>
      <c r="C467">
        <v>13969</v>
      </c>
      <c r="D467" t="s">
        <v>46</v>
      </c>
      <c r="E467" t="s">
        <v>19</v>
      </c>
      <c r="F467" s="27">
        <v>45805</v>
      </c>
      <c r="G467">
        <v>7</v>
      </c>
      <c r="H467">
        <v>7</v>
      </c>
      <c r="I467" t="s">
        <v>414</v>
      </c>
      <c r="J467" s="27">
        <v>45805</v>
      </c>
      <c r="L467" s="29">
        <v>1317.0498083333334</v>
      </c>
      <c r="M467" s="29">
        <v>9219.3486583333342</v>
      </c>
      <c r="N467" s="15">
        <v>45778</v>
      </c>
    </row>
    <row r="468" spans="1:14" x14ac:dyDescent="0.25">
      <c r="A468">
        <v>421523</v>
      </c>
      <c r="B468" t="s">
        <v>24</v>
      </c>
      <c r="C468">
        <v>54434</v>
      </c>
      <c r="D468" t="s">
        <v>25</v>
      </c>
      <c r="E468" t="s">
        <v>22</v>
      </c>
      <c r="F468" s="27">
        <v>45805</v>
      </c>
      <c r="G468">
        <v>10</v>
      </c>
      <c r="H468">
        <v>10</v>
      </c>
      <c r="I468" t="s">
        <v>420</v>
      </c>
      <c r="J468" s="27">
        <v>45805</v>
      </c>
      <c r="L468" s="29">
        <v>1317.0498083333334</v>
      </c>
      <c r="M468" s="29">
        <v>13170.498083333334</v>
      </c>
      <c r="N468" s="15">
        <v>45778</v>
      </c>
    </row>
    <row r="469" spans="1:14" x14ac:dyDescent="0.25">
      <c r="A469">
        <v>422835</v>
      </c>
      <c r="B469" t="s">
        <v>31</v>
      </c>
      <c r="C469">
        <v>13970</v>
      </c>
      <c r="D469" t="s">
        <v>36</v>
      </c>
      <c r="E469" t="s">
        <v>19</v>
      </c>
      <c r="F469" s="27">
        <v>45805</v>
      </c>
      <c r="G469">
        <v>8</v>
      </c>
      <c r="H469">
        <v>8</v>
      </c>
      <c r="I469" t="s">
        <v>408</v>
      </c>
      <c r="J469" s="27">
        <v>45807</v>
      </c>
      <c r="L469" s="29">
        <v>2107.2796937500002</v>
      </c>
      <c r="M469" s="29">
        <v>16858.237550000002</v>
      </c>
      <c r="N469" s="15">
        <v>45778</v>
      </c>
    </row>
    <row r="470" spans="1:14" x14ac:dyDescent="0.25">
      <c r="A470">
        <v>423378</v>
      </c>
      <c r="B470" t="s">
        <v>31</v>
      </c>
      <c r="C470">
        <v>13969</v>
      </c>
      <c r="D470" t="s">
        <v>42</v>
      </c>
      <c r="E470" t="s">
        <v>19</v>
      </c>
      <c r="F470" s="27">
        <v>45805</v>
      </c>
      <c r="G470">
        <v>0.5</v>
      </c>
      <c r="H470">
        <v>0.5</v>
      </c>
      <c r="I470" t="s">
        <v>421</v>
      </c>
      <c r="J470" s="27">
        <v>45809</v>
      </c>
      <c r="L470" s="29">
        <v>1418</v>
      </c>
      <c r="M470" s="29">
        <v>709</v>
      </c>
      <c r="N470" s="15">
        <v>45778</v>
      </c>
    </row>
    <row r="471" spans="1:14" x14ac:dyDescent="0.25">
      <c r="A471">
        <v>423900</v>
      </c>
      <c r="B471" t="s">
        <v>23</v>
      </c>
      <c r="C471">
        <v>54720</v>
      </c>
      <c r="D471" t="s">
        <v>42</v>
      </c>
      <c r="E471" t="s">
        <v>22</v>
      </c>
      <c r="F471" s="27">
        <v>45805</v>
      </c>
      <c r="G471">
        <v>3</v>
      </c>
      <c r="H471">
        <v>3</v>
      </c>
      <c r="I471" t="s">
        <v>422</v>
      </c>
      <c r="J471" s="27">
        <v>45810</v>
      </c>
      <c r="L471" s="29">
        <v>1418</v>
      </c>
      <c r="M471" s="29">
        <v>4254</v>
      </c>
      <c r="N471" s="15">
        <v>45778</v>
      </c>
    </row>
    <row r="472" spans="1:14" x14ac:dyDescent="0.25">
      <c r="A472">
        <v>423913</v>
      </c>
      <c r="B472" t="s">
        <v>23</v>
      </c>
      <c r="C472">
        <v>54720</v>
      </c>
      <c r="D472" t="s">
        <v>42</v>
      </c>
      <c r="E472" t="s">
        <v>22</v>
      </c>
      <c r="F472" s="27">
        <v>45805</v>
      </c>
      <c r="G472">
        <v>3</v>
      </c>
      <c r="H472">
        <v>3</v>
      </c>
      <c r="I472" t="s">
        <v>423</v>
      </c>
      <c r="J472" s="27">
        <v>45810</v>
      </c>
      <c r="L472" s="29">
        <v>1418</v>
      </c>
      <c r="M472" s="29">
        <v>4254</v>
      </c>
      <c r="N472" s="15">
        <v>45778</v>
      </c>
    </row>
    <row r="473" spans="1:14" x14ac:dyDescent="0.25">
      <c r="A473">
        <v>422398</v>
      </c>
      <c r="B473" t="s">
        <v>29</v>
      </c>
      <c r="C473">
        <v>52587</v>
      </c>
      <c r="D473" t="s">
        <v>30</v>
      </c>
      <c r="E473" t="s">
        <v>22</v>
      </c>
      <c r="F473" s="27">
        <v>45805</v>
      </c>
      <c r="G473">
        <v>8</v>
      </c>
      <c r="H473">
        <v>8</v>
      </c>
      <c r="I473" t="s">
        <v>424</v>
      </c>
      <c r="J473" s="27">
        <v>45807</v>
      </c>
      <c r="L473" s="29">
        <v>1053.6398465277778</v>
      </c>
      <c r="M473" s="29">
        <v>8429.1187722222221</v>
      </c>
      <c r="N473" s="15">
        <v>45778</v>
      </c>
    </row>
    <row r="474" spans="1:14" x14ac:dyDescent="0.25">
      <c r="A474">
        <v>423946</v>
      </c>
      <c r="B474" t="s">
        <v>23</v>
      </c>
      <c r="C474">
        <v>54720</v>
      </c>
      <c r="D474" t="s">
        <v>42</v>
      </c>
      <c r="E474" t="s">
        <v>22</v>
      </c>
      <c r="F474" s="27">
        <v>45804</v>
      </c>
      <c r="G474">
        <v>1</v>
      </c>
      <c r="H474">
        <v>1</v>
      </c>
      <c r="I474" t="s">
        <v>425</v>
      </c>
      <c r="J474" s="27">
        <v>45810</v>
      </c>
      <c r="L474" s="29">
        <v>1418</v>
      </c>
      <c r="M474" s="29">
        <v>1418</v>
      </c>
      <c r="N474" s="15">
        <v>45778</v>
      </c>
    </row>
    <row r="475" spans="1:14" x14ac:dyDescent="0.25">
      <c r="A475">
        <v>421975</v>
      </c>
      <c r="B475" t="s">
        <v>28</v>
      </c>
      <c r="C475">
        <v>51263</v>
      </c>
      <c r="D475" t="s">
        <v>27</v>
      </c>
      <c r="E475" t="s">
        <v>22</v>
      </c>
      <c r="F475" s="27">
        <v>45804</v>
      </c>
      <c r="G475">
        <v>9</v>
      </c>
      <c r="H475">
        <v>9</v>
      </c>
      <c r="I475" t="s">
        <v>339</v>
      </c>
      <c r="J475" s="27">
        <v>45806</v>
      </c>
      <c r="L475" s="29">
        <v>702.4265645833334</v>
      </c>
      <c r="M475" s="29">
        <v>6321.8390812500002</v>
      </c>
      <c r="N475" s="15">
        <v>45778</v>
      </c>
    </row>
    <row r="476" spans="1:14" x14ac:dyDescent="0.25">
      <c r="A476">
        <v>421465</v>
      </c>
      <c r="B476" t="s">
        <v>31</v>
      </c>
      <c r="C476">
        <v>13969</v>
      </c>
      <c r="D476" t="s">
        <v>46</v>
      </c>
      <c r="E476" t="s">
        <v>19</v>
      </c>
      <c r="F476" s="27">
        <v>45804</v>
      </c>
      <c r="G476">
        <v>0.5</v>
      </c>
      <c r="H476">
        <v>0.5</v>
      </c>
      <c r="I476" t="s">
        <v>331</v>
      </c>
      <c r="J476" s="27">
        <v>45805</v>
      </c>
      <c r="L476" s="29">
        <v>1317.0498083333334</v>
      </c>
      <c r="M476" s="29">
        <v>658.52490416666672</v>
      </c>
      <c r="N476" s="15">
        <v>45778</v>
      </c>
    </row>
    <row r="477" spans="1:14" x14ac:dyDescent="0.25">
      <c r="A477">
        <v>421468</v>
      </c>
      <c r="B477" t="s">
        <v>31</v>
      </c>
      <c r="C477">
        <v>13969</v>
      </c>
      <c r="D477" t="s">
        <v>46</v>
      </c>
      <c r="E477" t="s">
        <v>19</v>
      </c>
      <c r="F477" s="27">
        <v>45804</v>
      </c>
      <c r="G477">
        <v>7.5</v>
      </c>
      <c r="H477">
        <v>7.5</v>
      </c>
      <c r="I477" t="s">
        <v>414</v>
      </c>
      <c r="J477" s="27">
        <v>45805</v>
      </c>
      <c r="L477" s="29">
        <v>1317.0498083333334</v>
      </c>
      <c r="M477" s="29">
        <v>9877.8735625000008</v>
      </c>
      <c r="N477" s="15">
        <v>45778</v>
      </c>
    </row>
    <row r="478" spans="1:14" x14ac:dyDescent="0.25">
      <c r="A478">
        <v>427170</v>
      </c>
      <c r="B478" t="s">
        <v>954</v>
      </c>
      <c r="C478">
        <v>54426</v>
      </c>
      <c r="D478" t="s">
        <v>41</v>
      </c>
      <c r="E478" t="s">
        <v>22</v>
      </c>
      <c r="F478" s="27">
        <v>45804</v>
      </c>
      <c r="G478">
        <v>8</v>
      </c>
      <c r="H478">
        <v>8</v>
      </c>
      <c r="I478" t="s">
        <v>993</v>
      </c>
      <c r="J478" s="27">
        <v>45819</v>
      </c>
      <c r="L478" s="29">
        <v>1756.0664111111112</v>
      </c>
      <c r="M478" s="29">
        <v>14048.531288888889</v>
      </c>
      <c r="N478" s="15">
        <v>45778</v>
      </c>
    </row>
    <row r="479" spans="1:14" x14ac:dyDescent="0.25">
      <c r="A479">
        <v>422834</v>
      </c>
      <c r="B479" t="s">
        <v>31</v>
      </c>
      <c r="C479">
        <v>13970</v>
      </c>
      <c r="D479" t="s">
        <v>36</v>
      </c>
      <c r="E479" t="s">
        <v>19</v>
      </c>
      <c r="F479" s="27">
        <v>45804</v>
      </c>
      <c r="G479">
        <v>8</v>
      </c>
      <c r="H479">
        <v>8</v>
      </c>
      <c r="I479" t="s">
        <v>408</v>
      </c>
      <c r="J479" s="27">
        <v>45807</v>
      </c>
      <c r="L479" s="29">
        <v>2107.2796937500002</v>
      </c>
      <c r="M479" s="29">
        <v>16858.237550000002</v>
      </c>
      <c r="N479" s="15">
        <v>45778</v>
      </c>
    </row>
    <row r="480" spans="1:14" x14ac:dyDescent="0.25">
      <c r="A480">
        <v>423886</v>
      </c>
      <c r="B480" t="s">
        <v>23</v>
      </c>
      <c r="C480">
        <v>54720</v>
      </c>
      <c r="D480" t="s">
        <v>42</v>
      </c>
      <c r="E480" t="s">
        <v>22</v>
      </c>
      <c r="F480" s="27">
        <v>45804</v>
      </c>
      <c r="G480">
        <v>3</v>
      </c>
      <c r="H480">
        <v>3</v>
      </c>
      <c r="I480" t="s">
        <v>426</v>
      </c>
      <c r="J480" s="27">
        <v>45810</v>
      </c>
      <c r="L480" s="29">
        <v>1418</v>
      </c>
      <c r="M480" s="29">
        <v>4254</v>
      </c>
      <c r="N480" s="15">
        <v>45778</v>
      </c>
    </row>
    <row r="481" spans="1:14" x14ac:dyDescent="0.25">
      <c r="A481">
        <v>422395</v>
      </c>
      <c r="B481" t="s">
        <v>29</v>
      </c>
      <c r="C481">
        <v>53433</v>
      </c>
      <c r="D481" t="s">
        <v>30</v>
      </c>
      <c r="E481" t="s">
        <v>22</v>
      </c>
      <c r="F481" s="27">
        <v>45804</v>
      </c>
      <c r="G481">
        <v>8</v>
      </c>
      <c r="H481">
        <v>8</v>
      </c>
      <c r="I481" t="s">
        <v>427</v>
      </c>
      <c r="J481" s="27">
        <v>45807</v>
      </c>
      <c r="L481" s="29">
        <v>1053.6398465277778</v>
      </c>
      <c r="M481" s="29">
        <v>8429.1187722222221</v>
      </c>
      <c r="N481" s="15">
        <v>45778</v>
      </c>
    </row>
    <row r="482" spans="1:14" x14ac:dyDescent="0.25">
      <c r="A482">
        <v>421463</v>
      </c>
      <c r="B482" t="s">
        <v>31</v>
      </c>
      <c r="C482">
        <v>13969</v>
      </c>
      <c r="D482" t="s">
        <v>46</v>
      </c>
      <c r="E482" t="s">
        <v>19</v>
      </c>
      <c r="F482" s="27">
        <v>45803</v>
      </c>
      <c r="G482">
        <v>1</v>
      </c>
      <c r="H482">
        <v>1</v>
      </c>
      <c r="I482" t="s">
        <v>331</v>
      </c>
      <c r="J482" s="27">
        <v>45805</v>
      </c>
      <c r="L482" s="29">
        <v>1317.0498083333334</v>
      </c>
      <c r="M482" s="29">
        <v>1317.0498083333334</v>
      </c>
      <c r="N482" s="15">
        <v>45778</v>
      </c>
    </row>
    <row r="483" spans="1:14" x14ac:dyDescent="0.25">
      <c r="A483">
        <v>421467</v>
      </c>
      <c r="B483" t="s">
        <v>31</v>
      </c>
      <c r="C483">
        <v>13969</v>
      </c>
      <c r="D483" t="s">
        <v>46</v>
      </c>
      <c r="E483" t="s">
        <v>19</v>
      </c>
      <c r="F483" s="27">
        <v>45803</v>
      </c>
      <c r="G483">
        <v>7</v>
      </c>
      <c r="H483">
        <v>7</v>
      </c>
      <c r="I483" t="s">
        <v>414</v>
      </c>
      <c r="J483" s="27">
        <v>45805</v>
      </c>
      <c r="L483" s="29">
        <v>1317.0498083333334</v>
      </c>
      <c r="M483" s="29">
        <v>9219.3486583333342</v>
      </c>
      <c r="N483" s="15">
        <v>45778</v>
      </c>
    </row>
    <row r="484" spans="1:14" x14ac:dyDescent="0.25">
      <c r="A484">
        <v>420497</v>
      </c>
      <c r="B484" t="s">
        <v>31</v>
      </c>
      <c r="C484">
        <v>13970</v>
      </c>
      <c r="D484" t="s">
        <v>36</v>
      </c>
      <c r="E484" t="s">
        <v>19</v>
      </c>
      <c r="F484" s="27">
        <v>45803</v>
      </c>
      <c r="G484">
        <v>1.5</v>
      </c>
      <c r="H484">
        <v>1.5</v>
      </c>
      <c r="I484" t="s">
        <v>428</v>
      </c>
      <c r="J484" s="27">
        <v>45803</v>
      </c>
      <c r="L484" s="29">
        <v>2107.2796937500002</v>
      </c>
      <c r="M484" s="29">
        <v>3160.9195406250001</v>
      </c>
      <c r="N484" s="15">
        <v>45778</v>
      </c>
    </row>
    <row r="485" spans="1:14" x14ac:dyDescent="0.25">
      <c r="A485">
        <v>420498</v>
      </c>
      <c r="B485" t="s">
        <v>31</v>
      </c>
      <c r="C485">
        <v>13970</v>
      </c>
      <c r="D485" t="s">
        <v>36</v>
      </c>
      <c r="E485" t="s">
        <v>19</v>
      </c>
      <c r="F485" s="27">
        <v>45803</v>
      </c>
      <c r="G485">
        <v>1</v>
      </c>
      <c r="H485">
        <v>1</v>
      </c>
      <c r="I485" t="s">
        <v>429</v>
      </c>
      <c r="J485" s="27">
        <v>45803</v>
      </c>
      <c r="L485" s="29">
        <v>2107.2796937500002</v>
      </c>
      <c r="M485" s="29">
        <v>2107.2796937500002</v>
      </c>
      <c r="N485" s="15">
        <v>45778</v>
      </c>
    </row>
    <row r="486" spans="1:14" x14ac:dyDescent="0.25">
      <c r="A486">
        <v>420500</v>
      </c>
      <c r="B486" t="s">
        <v>31</v>
      </c>
      <c r="C486">
        <v>46387</v>
      </c>
      <c r="D486" t="s">
        <v>36</v>
      </c>
      <c r="E486" t="s">
        <v>19</v>
      </c>
      <c r="F486" s="27">
        <v>45803</v>
      </c>
      <c r="G486">
        <v>5.5</v>
      </c>
      <c r="H486">
        <v>5.5</v>
      </c>
      <c r="I486" t="s">
        <v>430</v>
      </c>
      <c r="J486" s="27">
        <v>45803</v>
      </c>
      <c r="L486" s="29">
        <v>2107.2796937500002</v>
      </c>
      <c r="M486" s="29">
        <v>11590.038315625001</v>
      </c>
      <c r="N486" s="15">
        <v>45778</v>
      </c>
    </row>
    <row r="487" spans="1:14" x14ac:dyDescent="0.25">
      <c r="A487">
        <v>427169</v>
      </c>
      <c r="B487" t="s">
        <v>954</v>
      </c>
      <c r="C487">
        <v>54425</v>
      </c>
      <c r="D487" t="s">
        <v>41</v>
      </c>
      <c r="E487" t="s">
        <v>22</v>
      </c>
      <c r="F487" s="27">
        <v>45803</v>
      </c>
      <c r="G487">
        <v>8</v>
      </c>
      <c r="H487">
        <v>8</v>
      </c>
      <c r="I487" t="s">
        <v>980</v>
      </c>
      <c r="J487" s="27">
        <v>45819</v>
      </c>
      <c r="L487" s="29">
        <v>1756.0664111111112</v>
      </c>
      <c r="M487" s="29">
        <v>14048.531288888889</v>
      </c>
      <c r="N487" s="15">
        <v>45778</v>
      </c>
    </row>
    <row r="488" spans="1:14" x14ac:dyDescent="0.25">
      <c r="A488">
        <v>423885</v>
      </c>
      <c r="B488" t="s">
        <v>23</v>
      </c>
      <c r="C488">
        <v>54720</v>
      </c>
      <c r="D488" t="s">
        <v>42</v>
      </c>
      <c r="E488" t="s">
        <v>22</v>
      </c>
      <c r="F488" s="27">
        <v>45803</v>
      </c>
      <c r="G488">
        <v>3</v>
      </c>
      <c r="H488">
        <v>3</v>
      </c>
      <c r="I488" t="s">
        <v>431</v>
      </c>
      <c r="J488" s="27">
        <v>45810</v>
      </c>
      <c r="L488" s="29">
        <v>1418</v>
      </c>
      <c r="M488" s="29">
        <v>4254</v>
      </c>
      <c r="N488" s="15">
        <v>45778</v>
      </c>
    </row>
    <row r="489" spans="1:14" x14ac:dyDescent="0.25">
      <c r="A489">
        <v>423375</v>
      </c>
      <c r="B489" t="s">
        <v>31</v>
      </c>
      <c r="C489">
        <v>13969</v>
      </c>
      <c r="D489" t="s">
        <v>42</v>
      </c>
      <c r="E489" t="s">
        <v>19</v>
      </c>
      <c r="F489" s="27">
        <v>45803</v>
      </c>
      <c r="G489">
        <v>0.5</v>
      </c>
      <c r="H489">
        <v>0.5</v>
      </c>
      <c r="I489" t="s">
        <v>295</v>
      </c>
      <c r="J489" s="27">
        <v>45809</v>
      </c>
      <c r="L489" s="29">
        <v>1418</v>
      </c>
      <c r="M489" s="29">
        <v>709</v>
      </c>
      <c r="N489" s="15">
        <v>45778</v>
      </c>
    </row>
    <row r="490" spans="1:14" x14ac:dyDescent="0.25">
      <c r="A490">
        <v>423908</v>
      </c>
      <c r="B490" t="s">
        <v>23</v>
      </c>
      <c r="C490">
        <v>54720</v>
      </c>
      <c r="D490" t="s">
        <v>42</v>
      </c>
      <c r="E490" t="s">
        <v>22</v>
      </c>
      <c r="F490" s="27">
        <v>45803</v>
      </c>
      <c r="G490">
        <v>2</v>
      </c>
      <c r="H490">
        <v>2</v>
      </c>
      <c r="I490" t="s">
        <v>432</v>
      </c>
      <c r="J490" s="27">
        <v>45810</v>
      </c>
      <c r="L490" s="29">
        <v>1418</v>
      </c>
      <c r="M490" s="29">
        <v>2836</v>
      </c>
      <c r="N490" s="15">
        <v>45778</v>
      </c>
    </row>
    <row r="491" spans="1:14" x14ac:dyDescent="0.25">
      <c r="A491">
        <v>422393</v>
      </c>
      <c r="B491" t="s">
        <v>29</v>
      </c>
      <c r="C491">
        <v>53433</v>
      </c>
      <c r="D491" t="s">
        <v>30</v>
      </c>
      <c r="E491" t="s">
        <v>22</v>
      </c>
      <c r="F491" s="27">
        <v>45803</v>
      </c>
      <c r="G491">
        <v>8</v>
      </c>
      <c r="H491">
        <v>8</v>
      </c>
      <c r="I491" t="s">
        <v>403</v>
      </c>
      <c r="J491" s="27">
        <v>45807</v>
      </c>
      <c r="L491" s="29">
        <v>1053.6398465277778</v>
      </c>
      <c r="M491" s="29">
        <v>8429.1187722222221</v>
      </c>
      <c r="N491" s="15">
        <v>45778</v>
      </c>
    </row>
    <row r="492" spans="1:14" x14ac:dyDescent="0.25">
      <c r="A492">
        <v>420606</v>
      </c>
      <c r="B492" t="s">
        <v>28</v>
      </c>
      <c r="C492">
        <v>51263</v>
      </c>
      <c r="D492" t="s">
        <v>27</v>
      </c>
      <c r="E492" t="s">
        <v>22</v>
      </c>
      <c r="F492" s="27">
        <v>45803</v>
      </c>
      <c r="G492">
        <v>8</v>
      </c>
      <c r="H492">
        <v>8</v>
      </c>
      <c r="I492" t="s">
        <v>433</v>
      </c>
      <c r="J492" s="27">
        <v>45803</v>
      </c>
      <c r="L492" s="29">
        <v>702.4265645833334</v>
      </c>
      <c r="M492" s="29">
        <v>5619.4125166666672</v>
      </c>
      <c r="N492" s="15">
        <v>45778</v>
      </c>
    </row>
    <row r="493" spans="1:14" x14ac:dyDescent="0.25">
      <c r="A493">
        <v>423883</v>
      </c>
      <c r="B493" t="s">
        <v>23</v>
      </c>
      <c r="C493">
        <v>54720</v>
      </c>
      <c r="D493" t="s">
        <v>42</v>
      </c>
      <c r="E493" t="s">
        <v>22</v>
      </c>
      <c r="F493" s="27">
        <v>45802</v>
      </c>
      <c r="G493">
        <v>28</v>
      </c>
      <c r="H493">
        <v>28</v>
      </c>
      <c r="I493" t="s">
        <v>434</v>
      </c>
      <c r="J493" s="27">
        <v>45810</v>
      </c>
      <c r="L493" s="29">
        <v>1418</v>
      </c>
      <c r="M493" s="29">
        <v>39704</v>
      </c>
      <c r="N493" s="15">
        <v>45778</v>
      </c>
    </row>
    <row r="494" spans="1:14" x14ac:dyDescent="0.25">
      <c r="A494">
        <v>421979</v>
      </c>
      <c r="B494" t="s">
        <v>18</v>
      </c>
      <c r="C494">
        <v>32</v>
      </c>
      <c r="D494" t="s">
        <v>27</v>
      </c>
      <c r="E494" t="s">
        <v>19</v>
      </c>
      <c r="F494" s="27">
        <v>45800</v>
      </c>
      <c r="G494">
        <v>0.5</v>
      </c>
      <c r="H494">
        <v>0.5</v>
      </c>
      <c r="I494" t="s">
        <v>411</v>
      </c>
      <c r="J494" s="27">
        <v>45806</v>
      </c>
      <c r="L494" s="29">
        <v>702.4265645833334</v>
      </c>
      <c r="M494" s="29">
        <v>351.2132822916667</v>
      </c>
      <c r="N494" s="15">
        <v>45778</v>
      </c>
    </row>
    <row r="495" spans="1:14" x14ac:dyDescent="0.25">
      <c r="A495">
        <v>419696</v>
      </c>
      <c r="B495" t="s">
        <v>31</v>
      </c>
      <c r="C495">
        <v>13969</v>
      </c>
      <c r="D495" t="s">
        <v>42</v>
      </c>
      <c r="E495" t="s">
        <v>19</v>
      </c>
      <c r="F495" s="27">
        <v>45800</v>
      </c>
      <c r="G495">
        <v>0.5</v>
      </c>
      <c r="H495">
        <v>0.5</v>
      </c>
      <c r="I495" t="s">
        <v>295</v>
      </c>
      <c r="J495" s="27">
        <v>45800</v>
      </c>
      <c r="L495" s="29">
        <v>1418</v>
      </c>
      <c r="M495" s="29">
        <v>709</v>
      </c>
      <c r="N495" s="15">
        <v>45778</v>
      </c>
    </row>
    <row r="496" spans="1:14" x14ac:dyDescent="0.25">
      <c r="A496">
        <v>419698</v>
      </c>
      <c r="B496" t="s">
        <v>24</v>
      </c>
      <c r="C496">
        <v>54431</v>
      </c>
      <c r="D496" t="s">
        <v>39</v>
      </c>
      <c r="E496" t="s">
        <v>22</v>
      </c>
      <c r="F496" s="27">
        <v>45800</v>
      </c>
      <c r="G496">
        <v>2</v>
      </c>
      <c r="H496">
        <v>2</v>
      </c>
      <c r="I496" t="s">
        <v>361</v>
      </c>
      <c r="J496" s="27">
        <v>45800</v>
      </c>
      <c r="L496" s="29">
        <v>878.03320555555558</v>
      </c>
      <c r="M496" s="29">
        <v>1756.0664111111112</v>
      </c>
      <c r="N496" s="15">
        <v>45778</v>
      </c>
    </row>
    <row r="497" spans="1:14" x14ac:dyDescent="0.25">
      <c r="A497">
        <v>419216</v>
      </c>
      <c r="B497" t="s">
        <v>29</v>
      </c>
      <c r="C497">
        <v>52587</v>
      </c>
      <c r="D497" t="s">
        <v>30</v>
      </c>
      <c r="E497" t="s">
        <v>22</v>
      </c>
      <c r="F497" s="27">
        <v>45800</v>
      </c>
      <c r="G497">
        <v>4</v>
      </c>
      <c r="H497">
        <v>4</v>
      </c>
      <c r="I497" t="s">
        <v>435</v>
      </c>
      <c r="J497" s="27">
        <v>45799</v>
      </c>
      <c r="L497" s="29">
        <v>1053.6398465277778</v>
      </c>
      <c r="M497" s="29">
        <v>4214.5593861111111</v>
      </c>
      <c r="N497" s="15">
        <v>45778</v>
      </c>
    </row>
    <row r="498" spans="1:14" x14ac:dyDescent="0.25">
      <c r="A498">
        <v>423828</v>
      </c>
      <c r="B498" t="s">
        <v>23</v>
      </c>
      <c r="C498">
        <v>54720</v>
      </c>
      <c r="D498" t="s">
        <v>43</v>
      </c>
      <c r="E498" t="s">
        <v>22</v>
      </c>
      <c r="F498" s="27">
        <v>45800</v>
      </c>
      <c r="G498">
        <v>104</v>
      </c>
      <c r="H498">
        <v>104</v>
      </c>
      <c r="I498" t="s">
        <v>328</v>
      </c>
      <c r="J498" s="27">
        <v>45810</v>
      </c>
      <c r="L498" s="29">
        <v>439.01660277777779</v>
      </c>
      <c r="M498" s="29">
        <v>45657.726688888892</v>
      </c>
      <c r="N498" s="15">
        <v>45778</v>
      </c>
    </row>
    <row r="499" spans="1:14" x14ac:dyDescent="0.25">
      <c r="A499">
        <v>418968</v>
      </c>
      <c r="B499" t="s">
        <v>29</v>
      </c>
      <c r="C499">
        <v>52585</v>
      </c>
      <c r="D499" t="s">
        <v>39</v>
      </c>
      <c r="E499" t="s">
        <v>22</v>
      </c>
      <c r="F499" s="27">
        <v>45800</v>
      </c>
      <c r="G499">
        <v>4</v>
      </c>
      <c r="H499">
        <v>4</v>
      </c>
      <c r="I499" t="s">
        <v>436</v>
      </c>
      <c r="J499" s="27">
        <v>45798</v>
      </c>
      <c r="L499" s="29">
        <v>878.03320555555558</v>
      </c>
      <c r="M499" s="29">
        <v>3512.1328222222223</v>
      </c>
      <c r="N499" s="15">
        <v>45778</v>
      </c>
    </row>
    <row r="500" spans="1:14" x14ac:dyDescent="0.25">
      <c r="A500">
        <v>427166</v>
      </c>
      <c r="B500" t="s">
        <v>954</v>
      </c>
      <c r="C500">
        <v>54422</v>
      </c>
      <c r="D500" t="s">
        <v>41</v>
      </c>
      <c r="E500" t="s">
        <v>22</v>
      </c>
      <c r="F500" s="27">
        <v>45800</v>
      </c>
      <c r="G500">
        <v>8</v>
      </c>
      <c r="H500">
        <v>8</v>
      </c>
      <c r="I500" t="s">
        <v>994</v>
      </c>
      <c r="J500" s="27">
        <v>45819</v>
      </c>
      <c r="L500" s="29">
        <v>1756.0664111111112</v>
      </c>
      <c r="M500" s="29">
        <v>14048.531288888889</v>
      </c>
      <c r="N500" s="15">
        <v>45778</v>
      </c>
    </row>
    <row r="501" spans="1:14" x14ac:dyDescent="0.25">
      <c r="A501">
        <v>420255</v>
      </c>
      <c r="B501" t="s">
        <v>24</v>
      </c>
      <c r="C501">
        <v>54434</v>
      </c>
      <c r="D501" t="s">
        <v>25</v>
      </c>
      <c r="E501" t="s">
        <v>22</v>
      </c>
      <c r="F501" s="27">
        <v>45800</v>
      </c>
      <c r="G501">
        <v>82</v>
      </c>
      <c r="H501">
        <v>82</v>
      </c>
      <c r="I501" t="s">
        <v>437</v>
      </c>
      <c r="J501" s="27">
        <v>45803</v>
      </c>
      <c r="L501" s="29">
        <v>1317.0498083333334</v>
      </c>
      <c r="M501" s="29">
        <v>107998.08428333334</v>
      </c>
      <c r="N501" s="15">
        <v>45778</v>
      </c>
    </row>
    <row r="502" spans="1:14" x14ac:dyDescent="0.25">
      <c r="A502">
        <v>419814</v>
      </c>
      <c r="B502" t="s">
        <v>31</v>
      </c>
      <c r="C502">
        <v>13970</v>
      </c>
      <c r="D502" t="s">
        <v>36</v>
      </c>
      <c r="E502" t="s">
        <v>19</v>
      </c>
      <c r="F502" s="27">
        <v>45800</v>
      </c>
      <c r="G502">
        <v>8</v>
      </c>
      <c r="H502">
        <v>8</v>
      </c>
      <c r="I502" t="s">
        <v>438</v>
      </c>
      <c r="J502" s="27">
        <v>45800</v>
      </c>
      <c r="L502" s="29">
        <v>2107.2796937500002</v>
      </c>
      <c r="M502" s="29">
        <v>16858.237550000002</v>
      </c>
      <c r="N502" s="15">
        <v>45778</v>
      </c>
    </row>
    <row r="503" spans="1:14" x14ac:dyDescent="0.25">
      <c r="A503">
        <v>420605</v>
      </c>
      <c r="B503" t="s">
        <v>28</v>
      </c>
      <c r="C503">
        <v>51263</v>
      </c>
      <c r="D503" t="s">
        <v>27</v>
      </c>
      <c r="E503" t="s">
        <v>22</v>
      </c>
      <c r="F503" s="27">
        <v>45800</v>
      </c>
      <c r="G503">
        <v>4</v>
      </c>
      <c r="H503">
        <v>4</v>
      </c>
      <c r="I503" t="s">
        <v>439</v>
      </c>
      <c r="J503" s="27">
        <v>45803</v>
      </c>
      <c r="L503" s="29">
        <v>702.4265645833334</v>
      </c>
      <c r="M503" s="29">
        <v>2809.7062583333336</v>
      </c>
      <c r="N503" s="15">
        <v>45778</v>
      </c>
    </row>
    <row r="504" spans="1:14" x14ac:dyDescent="0.25">
      <c r="A504">
        <v>420350</v>
      </c>
      <c r="B504" t="s">
        <v>31</v>
      </c>
      <c r="C504">
        <v>13969</v>
      </c>
      <c r="D504" t="s">
        <v>46</v>
      </c>
      <c r="E504" t="s">
        <v>19</v>
      </c>
      <c r="F504" s="27">
        <v>45800</v>
      </c>
      <c r="G504">
        <v>1</v>
      </c>
      <c r="H504">
        <v>1</v>
      </c>
      <c r="I504" t="s">
        <v>331</v>
      </c>
      <c r="J504" s="27">
        <v>45803</v>
      </c>
      <c r="L504" s="29">
        <v>1317.0498083333334</v>
      </c>
      <c r="M504" s="29">
        <v>1317.0498083333334</v>
      </c>
      <c r="N504" s="15">
        <v>45778</v>
      </c>
    </row>
    <row r="505" spans="1:14" x14ac:dyDescent="0.25">
      <c r="A505">
        <v>420351</v>
      </c>
      <c r="B505" t="s">
        <v>31</v>
      </c>
      <c r="C505">
        <v>13969</v>
      </c>
      <c r="D505" t="s">
        <v>46</v>
      </c>
      <c r="E505" t="s">
        <v>19</v>
      </c>
      <c r="F505" s="27">
        <v>45800</v>
      </c>
      <c r="G505">
        <v>7</v>
      </c>
      <c r="H505">
        <v>7</v>
      </c>
      <c r="I505" t="s">
        <v>414</v>
      </c>
      <c r="J505" s="27">
        <v>45803</v>
      </c>
      <c r="L505" s="29">
        <v>1317.0498083333334</v>
      </c>
      <c r="M505" s="29">
        <v>9219.3486583333342</v>
      </c>
      <c r="N505" s="15">
        <v>45778</v>
      </c>
    </row>
    <row r="506" spans="1:14" x14ac:dyDescent="0.25">
      <c r="A506">
        <v>419637</v>
      </c>
      <c r="B506" t="s">
        <v>29</v>
      </c>
      <c r="C506">
        <v>53433</v>
      </c>
      <c r="D506" t="s">
        <v>30</v>
      </c>
      <c r="E506" t="s">
        <v>22</v>
      </c>
      <c r="F506" s="27">
        <v>45799</v>
      </c>
      <c r="G506">
        <v>4</v>
      </c>
      <c r="H506">
        <v>4</v>
      </c>
      <c r="I506" t="s">
        <v>440</v>
      </c>
      <c r="J506" s="27">
        <v>45800</v>
      </c>
      <c r="L506" s="29">
        <v>1053.6398465277778</v>
      </c>
      <c r="M506" s="29">
        <v>4214.5593861111111</v>
      </c>
      <c r="N506" s="15">
        <v>45778</v>
      </c>
    </row>
    <row r="507" spans="1:14" x14ac:dyDescent="0.25">
      <c r="A507">
        <v>419639</v>
      </c>
      <c r="B507" t="s">
        <v>29</v>
      </c>
      <c r="C507">
        <v>52587</v>
      </c>
      <c r="D507" t="s">
        <v>30</v>
      </c>
      <c r="E507" t="s">
        <v>22</v>
      </c>
      <c r="F507" s="27">
        <v>45799</v>
      </c>
      <c r="G507">
        <v>4</v>
      </c>
      <c r="H507">
        <v>4</v>
      </c>
      <c r="I507" t="s">
        <v>418</v>
      </c>
      <c r="J507" s="27">
        <v>45800</v>
      </c>
      <c r="L507" s="29">
        <v>1053.6398465277778</v>
      </c>
      <c r="M507" s="29">
        <v>4214.5593861111111</v>
      </c>
      <c r="N507" s="15">
        <v>45778</v>
      </c>
    </row>
    <row r="508" spans="1:14" x14ac:dyDescent="0.25">
      <c r="A508">
        <v>421998</v>
      </c>
      <c r="B508" t="s">
        <v>18</v>
      </c>
      <c r="C508">
        <v>34</v>
      </c>
      <c r="D508" t="s">
        <v>27</v>
      </c>
      <c r="E508" t="s">
        <v>19</v>
      </c>
      <c r="F508" s="27">
        <v>45799</v>
      </c>
      <c r="G508">
        <v>2</v>
      </c>
      <c r="H508">
        <v>2</v>
      </c>
      <c r="I508" t="s">
        <v>441</v>
      </c>
      <c r="J508" s="27">
        <v>45806</v>
      </c>
      <c r="L508" s="29">
        <v>702.4265645833334</v>
      </c>
      <c r="M508" s="29">
        <v>1404.8531291666668</v>
      </c>
      <c r="N508" s="15">
        <v>45778</v>
      </c>
    </row>
    <row r="509" spans="1:14" x14ac:dyDescent="0.25">
      <c r="A509">
        <v>419695</v>
      </c>
      <c r="B509" t="s">
        <v>31</v>
      </c>
      <c r="C509">
        <v>13969</v>
      </c>
      <c r="D509" t="s">
        <v>42</v>
      </c>
      <c r="E509" t="s">
        <v>19</v>
      </c>
      <c r="F509" s="27">
        <v>45799</v>
      </c>
      <c r="G509">
        <v>0.5</v>
      </c>
      <c r="H509">
        <v>0.5</v>
      </c>
      <c r="I509" t="s">
        <v>442</v>
      </c>
      <c r="J509" s="27">
        <v>45800</v>
      </c>
      <c r="L509" s="29">
        <v>1418</v>
      </c>
      <c r="M509" s="29">
        <v>709</v>
      </c>
      <c r="N509" s="15">
        <v>45778</v>
      </c>
    </row>
    <row r="510" spans="1:14" x14ac:dyDescent="0.25">
      <c r="A510">
        <v>419699</v>
      </c>
      <c r="B510" t="s">
        <v>24</v>
      </c>
      <c r="C510">
        <v>54431</v>
      </c>
      <c r="D510" t="s">
        <v>39</v>
      </c>
      <c r="E510" t="s">
        <v>22</v>
      </c>
      <c r="F510" s="27">
        <v>45799</v>
      </c>
      <c r="G510">
        <v>2</v>
      </c>
      <c r="H510">
        <v>2</v>
      </c>
      <c r="I510" t="s">
        <v>361</v>
      </c>
      <c r="J510" s="27">
        <v>45800</v>
      </c>
      <c r="L510" s="29">
        <v>878.03320555555558</v>
      </c>
      <c r="M510" s="29">
        <v>1756.0664111111112</v>
      </c>
      <c r="N510" s="15">
        <v>45778</v>
      </c>
    </row>
    <row r="511" spans="1:14" x14ac:dyDescent="0.25">
      <c r="A511">
        <v>432250</v>
      </c>
      <c r="B511" t="s">
        <v>18</v>
      </c>
      <c r="C511">
        <v>29</v>
      </c>
      <c r="D511" t="s">
        <v>41</v>
      </c>
      <c r="E511" t="s">
        <v>19</v>
      </c>
      <c r="F511" s="27">
        <v>45799</v>
      </c>
      <c r="G511">
        <v>3</v>
      </c>
      <c r="H511">
        <v>3</v>
      </c>
      <c r="I511" t="s">
        <v>255</v>
      </c>
      <c r="J511" s="27">
        <v>45836</v>
      </c>
      <c r="L511" s="29">
        <v>1756.0664111111112</v>
      </c>
      <c r="M511" s="29">
        <v>5268.1992333333337</v>
      </c>
      <c r="N511" s="15">
        <v>45778</v>
      </c>
    </row>
    <row r="512" spans="1:14" x14ac:dyDescent="0.25">
      <c r="A512">
        <v>419713</v>
      </c>
      <c r="B512" t="s">
        <v>24</v>
      </c>
      <c r="C512">
        <v>54435</v>
      </c>
      <c r="D512" t="s">
        <v>39</v>
      </c>
      <c r="E512" t="s">
        <v>22</v>
      </c>
      <c r="F512" s="27">
        <v>45799</v>
      </c>
      <c r="G512">
        <v>4</v>
      </c>
      <c r="H512">
        <v>4</v>
      </c>
      <c r="I512" t="s">
        <v>361</v>
      </c>
      <c r="J512" s="27">
        <v>45800</v>
      </c>
      <c r="L512" s="29">
        <v>878.03320555555558</v>
      </c>
      <c r="M512" s="29">
        <v>3512.1328222222223</v>
      </c>
      <c r="N512" s="15">
        <v>45778</v>
      </c>
    </row>
    <row r="513" spans="1:14" x14ac:dyDescent="0.25">
      <c r="A513">
        <v>432272</v>
      </c>
      <c r="B513" t="s">
        <v>24</v>
      </c>
      <c r="C513">
        <v>55465</v>
      </c>
      <c r="D513" t="s">
        <v>37</v>
      </c>
      <c r="E513" t="s">
        <v>22</v>
      </c>
      <c r="F513" s="27">
        <v>45799</v>
      </c>
      <c r="G513">
        <v>56</v>
      </c>
      <c r="H513">
        <v>56</v>
      </c>
      <c r="I513" t="s">
        <v>443</v>
      </c>
      <c r="J513" s="27">
        <v>45836</v>
      </c>
      <c r="L513" s="29">
        <v>526.81992361111111</v>
      </c>
      <c r="M513" s="29">
        <v>29501.91572222222</v>
      </c>
      <c r="N513" s="15">
        <v>45778</v>
      </c>
    </row>
    <row r="514" spans="1:14" x14ac:dyDescent="0.25">
      <c r="A514">
        <v>432273</v>
      </c>
      <c r="B514" t="s">
        <v>18</v>
      </c>
      <c r="C514">
        <v>34</v>
      </c>
      <c r="D514" t="s">
        <v>37</v>
      </c>
      <c r="E514" t="s">
        <v>19</v>
      </c>
      <c r="F514" s="27">
        <v>45799</v>
      </c>
      <c r="G514">
        <v>64</v>
      </c>
      <c r="H514">
        <v>64</v>
      </c>
      <c r="I514" t="s">
        <v>255</v>
      </c>
      <c r="J514" s="27">
        <v>45836</v>
      </c>
      <c r="L514" s="29">
        <v>526.81992361111111</v>
      </c>
      <c r="M514" s="29">
        <v>33716.475111111111</v>
      </c>
      <c r="N514" s="15">
        <v>45778</v>
      </c>
    </row>
    <row r="515" spans="1:14" x14ac:dyDescent="0.25">
      <c r="A515">
        <v>418967</v>
      </c>
      <c r="B515" t="s">
        <v>29</v>
      </c>
      <c r="C515">
        <v>52585</v>
      </c>
      <c r="D515" t="s">
        <v>39</v>
      </c>
      <c r="E515" t="s">
        <v>22</v>
      </c>
      <c r="F515" s="27">
        <v>45799</v>
      </c>
      <c r="G515">
        <v>4</v>
      </c>
      <c r="H515">
        <v>4</v>
      </c>
      <c r="I515" t="s">
        <v>436</v>
      </c>
      <c r="J515" s="27">
        <v>45798</v>
      </c>
      <c r="L515" s="29">
        <v>878.03320555555558</v>
      </c>
      <c r="M515" s="29">
        <v>3512.1328222222223</v>
      </c>
      <c r="N515" s="15">
        <v>45778</v>
      </c>
    </row>
    <row r="516" spans="1:14" x14ac:dyDescent="0.25">
      <c r="A516">
        <v>427161</v>
      </c>
      <c r="B516" t="s">
        <v>954</v>
      </c>
      <c r="C516">
        <v>54422</v>
      </c>
      <c r="D516" t="s">
        <v>41</v>
      </c>
      <c r="E516" t="s">
        <v>22</v>
      </c>
      <c r="F516" s="27">
        <v>45799</v>
      </c>
      <c r="G516">
        <v>8</v>
      </c>
      <c r="H516">
        <v>8</v>
      </c>
      <c r="I516" t="s">
        <v>995</v>
      </c>
      <c r="J516" s="27">
        <v>45819</v>
      </c>
      <c r="L516" s="29">
        <v>1756.0664111111112</v>
      </c>
      <c r="M516" s="29">
        <v>14048.531288888889</v>
      </c>
      <c r="N516" s="15">
        <v>45778</v>
      </c>
    </row>
    <row r="517" spans="1:14" x14ac:dyDescent="0.25">
      <c r="A517">
        <v>419258</v>
      </c>
      <c r="B517" t="s">
        <v>29</v>
      </c>
      <c r="C517">
        <v>54373</v>
      </c>
      <c r="D517" t="s">
        <v>44</v>
      </c>
      <c r="E517" t="s">
        <v>22</v>
      </c>
      <c r="F517" s="27">
        <v>45799</v>
      </c>
      <c r="G517">
        <v>6</v>
      </c>
      <c r="H517">
        <v>6</v>
      </c>
      <c r="I517" t="s">
        <v>444</v>
      </c>
      <c r="J517" s="27">
        <v>45799</v>
      </c>
      <c r="L517" s="29">
        <v>2458.4929756944443</v>
      </c>
      <c r="M517" s="29">
        <v>14750.957854166667</v>
      </c>
      <c r="N517" s="15">
        <v>45778</v>
      </c>
    </row>
    <row r="518" spans="1:14" x14ac:dyDescent="0.25">
      <c r="A518">
        <v>419265</v>
      </c>
      <c r="B518" t="s">
        <v>28</v>
      </c>
      <c r="C518">
        <v>51262</v>
      </c>
      <c r="D518" t="s">
        <v>44</v>
      </c>
      <c r="E518" t="s">
        <v>22</v>
      </c>
      <c r="F518" s="27">
        <v>45799</v>
      </c>
      <c r="G518">
        <v>5</v>
      </c>
      <c r="H518">
        <v>5</v>
      </c>
      <c r="I518" t="s">
        <v>445</v>
      </c>
      <c r="J518" s="27">
        <v>45799</v>
      </c>
      <c r="L518" s="29">
        <v>2458.4929756944443</v>
      </c>
      <c r="M518" s="29">
        <v>12292.464878472221</v>
      </c>
      <c r="N518" s="15">
        <v>45778</v>
      </c>
    </row>
    <row r="519" spans="1:14" x14ac:dyDescent="0.25">
      <c r="A519">
        <v>419813</v>
      </c>
      <c r="B519" t="s">
        <v>31</v>
      </c>
      <c r="C519">
        <v>13970</v>
      </c>
      <c r="D519" t="s">
        <v>36</v>
      </c>
      <c r="E519" t="s">
        <v>19</v>
      </c>
      <c r="F519" s="27">
        <v>45799</v>
      </c>
      <c r="G519">
        <v>8</v>
      </c>
      <c r="H519">
        <v>8</v>
      </c>
      <c r="I519" t="s">
        <v>446</v>
      </c>
      <c r="J519" s="27">
        <v>45800</v>
      </c>
      <c r="L519" s="29">
        <v>2107.2796937500002</v>
      </c>
      <c r="M519" s="29">
        <v>16858.237550000002</v>
      </c>
      <c r="N519" s="15">
        <v>45778</v>
      </c>
    </row>
    <row r="520" spans="1:14" x14ac:dyDescent="0.25">
      <c r="A520">
        <v>420348</v>
      </c>
      <c r="B520" t="s">
        <v>31</v>
      </c>
      <c r="C520">
        <v>13969</v>
      </c>
      <c r="D520" t="s">
        <v>46</v>
      </c>
      <c r="E520" t="s">
        <v>19</v>
      </c>
      <c r="F520" s="27">
        <v>45799</v>
      </c>
      <c r="G520">
        <v>1</v>
      </c>
      <c r="H520">
        <v>1</v>
      </c>
      <c r="I520" t="s">
        <v>331</v>
      </c>
      <c r="J520" s="27">
        <v>45803</v>
      </c>
      <c r="L520" s="29">
        <v>1317.0498083333334</v>
      </c>
      <c r="M520" s="29">
        <v>1317.0498083333334</v>
      </c>
      <c r="N520" s="15">
        <v>45778</v>
      </c>
    </row>
    <row r="521" spans="1:14" x14ac:dyDescent="0.25">
      <c r="A521">
        <v>420604</v>
      </c>
      <c r="B521" t="s">
        <v>28</v>
      </c>
      <c r="C521">
        <v>51263</v>
      </c>
      <c r="D521" t="s">
        <v>27</v>
      </c>
      <c r="E521" t="s">
        <v>22</v>
      </c>
      <c r="F521" s="27">
        <v>45799</v>
      </c>
      <c r="G521">
        <v>1</v>
      </c>
      <c r="H521">
        <v>1</v>
      </c>
      <c r="I521" t="s">
        <v>439</v>
      </c>
      <c r="J521" s="27">
        <v>45803</v>
      </c>
      <c r="L521" s="29">
        <v>702.4265645833334</v>
      </c>
      <c r="M521" s="29">
        <v>702.4265645833334</v>
      </c>
      <c r="N521" s="15">
        <v>45778</v>
      </c>
    </row>
    <row r="522" spans="1:14" x14ac:dyDescent="0.25">
      <c r="A522">
        <v>420349</v>
      </c>
      <c r="B522" t="s">
        <v>31</v>
      </c>
      <c r="C522">
        <v>13969</v>
      </c>
      <c r="D522" t="s">
        <v>46</v>
      </c>
      <c r="E522" t="s">
        <v>19</v>
      </c>
      <c r="F522" s="27">
        <v>45799</v>
      </c>
      <c r="G522">
        <v>7</v>
      </c>
      <c r="H522">
        <v>7</v>
      </c>
      <c r="I522" t="s">
        <v>362</v>
      </c>
      <c r="J522" s="27">
        <v>45803</v>
      </c>
      <c r="L522" s="29">
        <v>1317.0498083333334</v>
      </c>
      <c r="M522" s="29">
        <v>9219.3486583333342</v>
      </c>
      <c r="N522" s="15">
        <v>45778</v>
      </c>
    </row>
    <row r="523" spans="1:14" x14ac:dyDescent="0.25">
      <c r="A523">
        <v>419693</v>
      </c>
      <c r="B523" t="s">
        <v>31</v>
      </c>
      <c r="C523">
        <v>13969</v>
      </c>
      <c r="D523" t="s">
        <v>42</v>
      </c>
      <c r="E523" t="s">
        <v>19</v>
      </c>
      <c r="F523" s="27">
        <v>45798</v>
      </c>
      <c r="G523">
        <v>0.5</v>
      </c>
      <c r="H523">
        <v>0.5</v>
      </c>
      <c r="I523" t="s">
        <v>295</v>
      </c>
      <c r="J523" s="27">
        <v>45800</v>
      </c>
      <c r="L523" s="29">
        <v>1418</v>
      </c>
      <c r="M523" s="29">
        <v>709</v>
      </c>
      <c r="N523" s="15">
        <v>45778</v>
      </c>
    </row>
    <row r="524" spans="1:14" x14ac:dyDescent="0.25">
      <c r="A524">
        <v>419694</v>
      </c>
      <c r="B524" t="s">
        <v>31</v>
      </c>
      <c r="C524">
        <v>13969</v>
      </c>
      <c r="D524" t="s">
        <v>42</v>
      </c>
      <c r="E524" t="s">
        <v>19</v>
      </c>
      <c r="F524" s="27">
        <v>45798</v>
      </c>
      <c r="G524">
        <v>0.5</v>
      </c>
      <c r="H524">
        <v>0.5</v>
      </c>
      <c r="I524" t="s">
        <v>447</v>
      </c>
      <c r="J524" s="27">
        <v>45800</v>
      </c>
      <c r="L524" s="29">
        <v>1418</v>
      </c>
      <c r="M524" s="29">
        <v>709</v>
      </c>
      <c r="N524" s="15">
        <v>45778</v>
      </c>
    </row>
    <row r="525" spans="1:14" x14ac:dyDescent="0.25">
      <c r="A525">
        <v>419700</v>
      </c>
      <c r="B525" t="s">
        <v>24</v>
      </c>
      <c r="C525">
        <v>54431</v>
      </c>
      <c r="D525" t="s">
        <v>39</v>
      </c>
      <c r="E525" t="s">
        <v>22</v>
      </c>
      <c r="F525" s="27">
        <v>45798</v>
      </c>
      <c r="G525">
        <v>2</v>
      </c>
      <c r="H525">
        <v>2</v>
      </c>
      <c r="I525" t="s">
        <v>361</v>
      </c>
      <c r="J525" s="27">
        <v>45800</v>
      </c>
      <c r="L525" s="29">
        <v>878.03320555555558</v>
      </c>
      <c r="M525" s="29">
        <v>1756.0664111111112</v>
      </c>
      <c r="N525" s="15">
        <v>45778</v>
      </c>
    </row>
    <row r="526" spans="1:14" x14ac:dyDescent="0.25">
      <c r="A526">
        <v>419714</v>
      </c>
      <c r="B526" t="s">
        <v>24</v>
      </c>
      <c r="C526">
        <v>54434</v>
      </c>
      <c r="D526" t="s">
        <v>39</v>
      </c>
      <c r="E526" t="s">
        <v>22</v>
      </c>
      <c r="F526" s="27">
        <v>45798</v>
      </c>
      <c r="G526">
        <v>4</v>
      </c>
      <c r="H526">
        <v>4</v>
      </c>
      <c r="I526" t="s">
        <v>361</v>
      </c>
      <c r="J526" s="27">
        <v>45800</v>
      </c>
      <c r="L526" s="29">
        <v>878.03320555555558</v>
      </c>
      <c r="M526" s="29">
        <v>3512.1328222222223</v>
      </c>
      <c r="N526" s="15">
        <v>45778</v>
      </c>
    </row>
    <row r="527" spans="1:14" x14ac:dyDescent="0.25">
      <c r="A527">
        <v>419215</v>
      </c>
      <c r="B527" t="s">
        <v>29</v>
      </c>
      <c r="C527">
        <v>53433</v>
      </c>
      <c r="D527" t="s">
        <v>30</v>
      </c>
      <c r="E527" t="s">
        <v>22</v>
      </c>
      <c r="F527" s="27">
        <v>45798</v>
      </c>
      <c r="G527">
        <v>8</v>
      </c>
      <c r="H527">
        <v>8</v>
      </c>
      <c r="I527" t="s">
        <v>448</v>
      </c>
      <c r="J527" s="27">
        <v>45799</v>
      </c>
      <c r="L527" s="29">
        <v>1053.6398465277778</v>
      </c>
      <c r="M527" s="29">
        <v>8429.1187722222221</v>
      </c>
      <c r="N527" s="15">
        <v>45778</v>
      </c>
    </row>
    <row r="528" spans="1:14" x14ac:dyDescent="0.25">
      <c r="A528">
        <v>427158</v>
      </c>
      <c r="B528" t="s">
        <v>954</v>
      </c>
      <c r="C528">
        <v>54423</v>
      </c>
      <c r="D528" t="s">
        <v>41</v>
      </c>
      <c r="E528" t="s">
        <v>22</v>
      </c>
      <c r="F528" s="27">
        <v>45798</v>
      </c>
      <c r="G528">
        <v>8</v>
      </c>
      <c r="H528">
        <v>8</v>
      </c>
      <c r="I528" t="s">
        <v>996</v>
      </c>
      <c r="J528" s="27">
        <v>45819</v>
      </c>
      <c r="L528" s="29">
        <v>1756.0664111111112</v>
      </c>
      <c r="M528" s="29">
        <v>14048.531288888889</v>
      </c>
      <c r="N528" s="15">
        <v>45778</v>
      </c>
    </row>
    <row r="529" spans="1:14" x14ac:dyDescent="0.25">
      <c r="A529">
        <v>418970</v>
      </c>
      <c r="B529" t="s">
        <v>29</v>
      </c>
      <c r="C529">
        <v>53332</v>
      </c>
      <c r="D529" t="s">
        <v>39</v>
      </c>
      <c r="E529" t="s">
        <v>22</v>
      </c>
      <c r="F529" s="27">
        <v>45798</v>
      </c>
      <c r="G529">
        <v>2</v>
      </c>
      <c r="H529">
        <v>2</v>
      </c>
      <c r="I529" t="s">
        <v>449</v>
      </c>
      <c r="J529" s="27">
        <v>45798</v>
      </c>
      <c r="L529" s="29">
        <v>878.03320555555558</v>
      </c>
      <c r="M529" s="29">
        <v>1756.0664111111112</v>
      </c>
      <c r="N529" s="15">
        <v>45778</v>
      </c>
    </row>
    <row r="530" spans="1:14" x14ac:dyDescent="0.25">
      <c r="A530">
        <v>419264</v>
      </c>
      <c r="B530" t="s">
        <v>28</v>
      </c>
      <c r="C530">
        <v>51262</v>
      </c>
      <c r="D530" t="s">
        <v>44</v>
      </c>
      <c r="E530" t="s">
        <v>22</v>
      </c>
      <c r="F530" s="27">
        <v>45798</v>
      </c>
      <c r="G530">
        <v>5</v>
      </c>
      <c r="H530">
        <v>5</v>
      </c>
      <c r="I530" t="s">
        <v>445</v>
      </c>
      <c r="J530" s="27">
        <v>45799</v>
      </c>
      <c r="L530" s="29">
        <v>2458.4929756944443</v>
      </c>
      <c r="M530" s="29">
        <v>12292.464878472221</v>
      </c>
      <c r="N530" s="15">
        <v>45778</v>
      </c>
    </row>
    <row r="531" spans="1:14" x14ac:dyDescent="0.25">
      <c r="A531">
        <v>419810</v>
      </c>
      <c r="B531" t="s">
        <v>31</v>
      </c>
      <c r="C531">
        <v>13970</v>
      </c>
      <c r="D531" t="s">
        <v>36</v>
      </c>
      <c r="E531" t="s">
        <v>19</v>
      </c>
      <c r="F531" s="27">
        <v>45798</v>
      </c>
      <c r="G531">
        <v>8</v>
      </c>
      <c r="H531">
        <v>8</v>
      </c>
      <c r="I531" t="s">
        <v>450</v>
      </c>
      <c r="J531" s="27">
        <v>45800</v>
      </c>
      <c r="L531" s="29">
        <v>2107.2796937500002</v>
      </c>
      <c r="M531" s="29">
        <v>16858.237550000002</v>
      </c>
      <c r="N531" s="15">
        <v>45778</v>
      </c>
    </row>
    <row r="532" spans="1:14" x14ac:dyDescent="0.25">
      <c r="A532">
        <v>419052</v>
      </c>
      <c r="B532" t="s">
        <v>31</v>
      </c>
      <c r="C532">
        <v>13969</v>
      </c>
      <c r="D532" t="s">
        <v>46</v>
      </c>
      <c r="E532" t="s">
        <v>19</v>
      </c>
      <c r="F532" s="27">
        <v>45798</v>
      </c>
      <c r="G532">
        <v>1</v>
      </c>
      <c r="H532">
        <v>1</v>
      </c>
      <c r="I532" t="s">
        <v>331</v>
      </c>
      <c r="J532" s="27">
        <v>45798</v>
      </c>
      <c r="L532" s="29">
        <v>1317.0498083333334</v>
      </c>
      <c r="M532" s="29">
        <v>1317.0498083333334</v>
      </c>
      <c r="N532" s="15">
        <v>45778</v>
      </c>
    </row>
    <row r="533" spans="1:14" x14ac:dyDescent="0.25">
      <c r="A533">
        <v>419053</v>
      </c>
      <c r="B533" t="s">
        <v>31</v>
      </c>
      <c r="C533">
        <v>13969</v>
      </c>
      <c r="D533" t="s">
        <v>46</v>
      </c>
      <c r="E533" t="s">
        <v>19</v>
      </c>
      <c r="F533" s="27">
        <v>45798</v>
      </c>
      <c r="G533">
        <v>4</v>
      </c>
      <c r="H533">
        <v>4</v>
      </c>
      <c r="I533" t="s">
        <v>362</v>
      </c>
      <c r="J533" s="27">
        <v>45798</v>
      </c>
      <c r="L533" s="29">
        <v>1317.0498083333334</v>
      </c>
      <c r="M533" s="29">
        <v>5268.1992333333337</v>
      </c>
      <c r="N533" s="15">
        <v>45778</v>
      </c>
    </row>
    <row r="534" spans="1:14" x14ac:dyDescent="0.25">
      <c r="A534">
        <v>419054</v>
      </c>
      <c r="B534" t="s">
        <v>31</v>
      </c>
      <c r="C534">
        <v>13969</v>
      </c>
      <c r="D534" t="s">
        <v>46</v>
      </c>
      <c r="E534" t="s">
        <v>19</v>
      </c>
      <c r="F534" s="27">
        <v>45798</v>
      </c>
      <c r="G534">
        <v>3</v>
      </c>
      <c r="H534">
        <v>3</v>
      </c>
      <c r="I534" t="s">
        <v>451</v>
      </c>
      <c r="J534" s="27">
        <v>45798</v>
      </c>
      <c r="L534" s="29">
        <v>1317.0498083333334</v>
      </c>
      <c r="M534" s="29">
        <v>3951.1494250000005</v>
      </c>
      <c r="N534" s="15">
        <v>45778</v>
      </c>
    </row>
    <row r="535" spans="1:14" x14ac:dyDescent="0.25">
      <c r="A535">
        <v>431938</v>
      </c>
      <c r="B535" t="s">
        <v>31</v>
      </c>
      <c r="C535">
        <v>46387</v>
      </c>
      <c r="D535" t="s">
        <v>32</v>
      </c>
      <c r="E535" t="s">
        <v>19</v>
      </c>
      <c r="F535" s="27">
        <v>45797</v>
      </c>
      <c r="G535">
        <v>105</v>
      </c>
      <c r="H535">
        <v>105</v>
      </c>
      <c r="I535" t="s">
        <v>399</v>
      </c>
      <c r="J535" s="27">
        <v>45835</v>
      </c>
      <c r="L535" s="29">
        <v>2634.0996166666669</v>
      </c>
      <c r="M535" s="29">
        <v>276580.45975000004</v>
      </c>
      <c r="N535" s="15">
        <v>45778</v>
      </c>
    </row>
    <row r="536" spans="1:14" x14ac:dyDescent="0.25">
      <c r="A536">
        <v>419701</v>
      </c>
      <c r="B536" t="s">
        <v>24</v>
      </c>
      <c r="C536">
        <v>54431</v>
      </c>
      <c r="D536" t="s">
        <v>39</v>
      </c>
      <c r="E536" t="s">
        <v>22</v>
      </c>
      <c r="F536" s="27">
        <v>45797</v>
      </c>
      <c r="G536">
        <v>2</v>
      </c>
      <c r="H536">
        <v>2</v>
      </c>
      <c r="I536" t="s">
        <v>361</v>
      </c>
      <c r="J536" s="27">
        <v>45800</v>
      </c>
      <c r="L536" s="29">
        <v>878.03320555555558</v>
      </c>
      <c r="M536" s="29">
        <v>1756.0664111111112</v>
      </c>
      <c r="N536" s="15">
        <v>45778</v>
      </c>
    </row>
    <row r="537" spans="1:14" x14ac:dyDescent="0.25">
      <c r="A537">
        <v>419716</v>
      </c>
      <c r="B537" t="s">
        <v>24</v>
      </c>
      <c r="C537">
        <v>54433</v>
      </c>
      <c r="D537" t="s">
        <v>39</v>
      </c>
      <c r="E537" t="s">
        <v>22</v>
      </c>
      <c r="F537" s="27">
        <v>45797</v>
      </c>
      <c r="G537">
        <v>4</v>
      </c>
      <c r="H537">
        <v>4</v>
      </c>
      <c r="I537" t="s">
        <v>361</v>
      </c>
      <c r="J537" s="27">
        <v>45800</v>
      </c>
      <c r="L537" s="29">
        <v>878.03320555555558</v>
      </c>
      <c r="M537" s="29">
        <v>3512.1328222222223</v>
      </c>
      <c r="N537" s="15">
        <v>45778</v>
      </c>
    </row>
    <row r="538" spans="1:14" x14ac:dyDescent="0.25">
      <c r="A538">
        <v>418693</v>
      </c>
      <c r="B538" t="s">
        <v>31</v>
      </c>
      <c r="C538">
        <v>13969</v>
      </c>
      <c r="D538" t="s">
        <v>46</v>
      </c>
      <c r="E538" t="s">
        <v>19</v>
      </c>
      <c r="F538" s="27">
        <v>45797</v>
      </c>
      <c r="G538">
        <v>0.5</v>
      </c>
      <c r="H538">
        <v>0.5</v>
      </c>
      <c r="I538" t="s">
        <v>331</v>
      </c>
      <c r="J538" s="27">
        <v>45797</v>
      </c>
      <c r="L538" s="29">
        <v>1317.0498083333334</v>
      </c>
      <c r="M538" s="29">
        <v>658.52490416666672</v>
      </c>
      <c r="N538" s="15">
        <v>45778</v>
      </c>
    </row>
    <row r="539" spans="1:14" x14ac:dyDescent="0.25">
      <c r="A539">
        <v>418694</v>
      </c>
      <c r="B539" t="s">
        <v>31</v>
      </c>
      <c r="C539">
        <v>13969</v>
      </c>
      <c r="D539" t="s">
        <v>46</v>
      </c>
      <c r="E539" t="s">
        <v>19</v>
      </c>
      <c r="F539" s="27">
        <v>45797</v>
      </c>
      <c r="G539">
        <v>6</v>
      </c>
      <c r="H539">
        <v>6</v>
      </c>
      <c r="I539" t="s">
        <v>452</v>
      </c>
      <c r="J539" s="27">
        <v>45797</v>
      </c>
      <c r="L539" s="29">
        <v>1317.0498083333334</v>
      </c>
      <c r="M539" s="29">
        <v>7902.298850000001</v>
      </c>
      <c r="N539" s="15">
        <v>45778</v>
      </c>
    </row>
    <row r="540" spans="1:14" x14ac:dyDescent="0.25">
      <c r="A540">
        <v>418695</v>
      </c>
      <c r="B540" t="s">
        <v>31</v>
      </c>
      <c r="C540">
        <v>13969</v>
      </c>
      <c r="D540" t="s">
        <v>46</v>
      </c>
      <c r="E540" t="s">
        <v>19</v>
      </c>
      <c r="F540" s="27">
        <v>45797</v>
      </c>
      <c r="G540">
        <v>1.5</v>
      </c>
      <c r="H540">
        <v>1.5</v>
      </c>
      <c r="I540" t="s">
        <v>414</v>
      </c>
      <c r="J540" s="27">
        <v>45797</v>
      </c>
      <c r="L540" s="29">
        <v>1317.0498083333334</v>
      </c>
      <c r="M540" s="29">
        <v>1975.5747125000003</v>
      </c>
      <c r="N540" s="15">
        <v>45778</v>
      </c>
    </row>
    <row r="541" spans="1:14" x14ac:dyDescent="0.25">
      <c r="A541">
        <v>432521</v>
      </c>
      <c r="B541" t="s">
        <v>20</v>
      </c>
      <c r="C541">
        <v>46185</v>
      </c>
      <c r="D541" t="s">
        <v>21</v>
      </c>
      <c r="E541" t="s">
        <v>22</v>
      </c>
      <c r="F541" s="27">
        <v>45797</v>
      </c>
      <c r="G541">
        <v>3.5</v>
      </c>
      <c r="H541">
        <v>3.5</v>
      </c>
      <c r="I541" t="s">
        <v>453</v>
      </c>
      <c r="J541" s="27">
        <v>45838</v>
      </c>
      <c r="L541" s="29">
        <v>1975.5747125</v>
      </c>
      <c r="M541" s="29">
        <v>6914.5114937500002</v>
      </c>
      <c r="N541" s="15">
        <v>45778</v>
      </c>
    </row>
    <row r="542" spans="1:14" x14ac:dyDescent="0.25">
      <c r="A542">
        <v>419214</v>
      </c>
      <c r="B542" t="s">
        <v>29</v>
      </c>
      <c r="C542">
        <v>53433</v>
      </c>
      <c r="D542" t="s">
        <v>30</v>
      </c>
      <c r="E542" t="s">
        <v>22</v>
      </c>
      <c r="F542" s="27">
        <v>45797</v>
      </c>
      <c r="G542">
        <v>8</v>
      </c>
      <c r="H542">
        <v>8</v>
      </c>
      <c r="I542" t="s">
        <v>448</v>
      </c>
      <c r="J542" s="27">
        <v>45799</v>
      </c>
      <c r="L542" s="29">
        <v>1053.6398465277778</v>
      </c>
      <c r="M542" s="29">
        <v>8429.1187722222221</v>
      </c>
      <c r="N542" s="15">
        <v>45778</v>
      </c>
    </row>
    <row r="543" spans="1:14" x14ac:dyDescent="0.25">
      <c r="A543">
        <v>427157</v>
      </c>
      <c r="B543" t="s">
        <v>954</v>
      </c>
      <c r="C543">
        <v>54423</v>
      </c>
      <c r="D543" t="s">
        <v>41</v>
      </c>
      <c r="E543" t="s">
        <v>22</v>
      </c>
      <c r="F543" s="27">
        <v>45797</v>
      </c>
      <c r="G543">
        <v>5</v>
      </c>
      <c r="H543">
        <v>5</v>
      </c>
      <c r="I543" t="s">
        <v>255</v>
      </c>
      <c r="J543" s="27">
        <v>45819</v>
      </c>
      <c r="L543" s="29">
        <v>1756.0664111111112</v>
      </c>
      <c r="M543" s="29">
        <v>8780.3320555555565</v>
      </c>
      <c r="N543" s="15">
        <v>45778</v>
      </c>
    </row>
    <row r="544" spans="1:14" x14ac:dyDescent="0.25">
      <c r="A544">
        <v>418971</v>
      </c>
      <c r="B544" t="s">
        <v>29</v>
      </c>
      <c r="C544">
        <v>53333</v>
      </c>
      <c r="D544" t="s">
        <v>39</v>
      </c>
      <c r="E544" t="s">
        <v>22</v>
      </c>
      <c r="F544" s="27">
        <v>45797</v>
      </c>
      <c r="G544">
        <v>2</v>
      </c>
      <c r="H544">
        <v>2</v>
      </c>
      <c r="I544" t="s">
        <v>449</v>
      </c>
      <c r="J544" s="27">
        <v>45798</v>
      </c>
      <c r="L544" s="29">
        <v>878.03320555555558</v>
      </c>
      <c r="M544" s="29">
        <v>1756.0664111111112</v>
      </c>
      <c r="N544" s="15">
        <v>45778</v>
      </c>
    </row>
    <row r="545" spans="1:14" x14ac:dyDescent="0.25">
      <c r="A545">
        <v>432286</v>
      </c>
      <c r="B545" t="s">
        <v>29</v>
      </c>
      <c r="C545">
        <v>53426</v>
      </c>
      <c r="D545" t="s">
        <v>44</v>
      </c>
      <c r="E545" t="s">
        <v>22</v>
      </c>
      <c r="F545" s="27">
        <v>45797</v>
      </c>
      <c r="G545">
        <v>8.5</v>
      </c>
      <c r="H545">
        <v>8.5</v>
      </c>
      <c r="I545" t="s">
        <v>294</v>
      </c>
      <c r="J545" s="27">
        <v>45836</v>
      </c>
      <c r="L545" s="29">
        <v>2458.4929756944443</v>
      </c>
      <c r="M545" s="29">
        <v>20897.190293402778</v>
      </c>
      <c r="N545" s="15">
        <v>45778</v>
      </c>
    </row>
    <row r="546" spans="1:14" x14ac:dyDescent="0.25">
      <c r="A546">
        <v>432287</v>
      </c>
      <c r="B546" t="s">
        <v>18</v>
      </c>
      <c r="C546">
        <v>49304</v>
      </c>
      <c r="D546" t="s">
        <v>44</v>
      </c>
      <c r="E546" t="s">
        <v>19</v>
      </c>
      <c r="F546" s="27">
        <v>45797</v>
      </c>
      <c r="G546">
        <v>38</v>
      </c>
      <c r="H546">
        <v>38</v>
      </c>
      <c r="I546" t="s">
        <v>294</v>
      </c>
      <c r="J546" s="27">
        <v>45836</v>
      </c>
      <c r="L546" s="29">
        <v>2458.4929756944443</v>
      </c>
      <c r="M546" s="29">
        <v>93422.733076388889</v>
      </c>
      <c r="N546" s="15">
        <v>45778</v>
      </c>
    </row>
    <row r="547" spans="1:14" x14ac:dyDescent="0.25">
      <c r="A547">
        <v>432290</v>
      </c>
      <c r="B547" t="s">
        <v>18</v>
      </c>
      <c r="C547">
        <v>32</v>
      </c>
      <c r="D547" t="s">
        <v>46</v>
      </c>
      <c r="E547" t="s">
        <v>19</v>
      </c>
      <c r="F547" s="27">
        <v>45797</v>
      </c>
      <c r="G547">
        <v>16</v>
      </c>
      <c r="H547">
        <v>16</v>
      </c>
      <c r="I547" t="s">
        <v>255</v>
      </c>
      <c r="J547" s="27">
        <v>45836</v>
      </c>
      <c r="L547" s="29">
        <v>1317.0498083333334</v>
      </c>
      <c r="M547" s="29">
        <v>21072.796933333335</v>
      </c>
      <c r="N547" s="15">
        <v>45778</v>
      </c>
    </row>
    <row r="548" spans="1:14" x14ac:dyDescent="0.25">
      <c r="A548">
        <v>419263</v>
      </c>
      <c r="B548" t="s">
        <v>28</v>
      </c>
      <c r="C548">
        <v>51262</v>
      </c>
      <c r="D548" t="s">
        <v>44</v>
      </c>
      <c r="E548" t="s">
        <v>22</v>
      </c>
      <c r="F548" s="27">
        <v>45797</v>
      </c>
      <c r="G548">
        <v>5</v>
      </c>
      <c r="H548">
        <v>5</v>
      </c>
      <c r="I548" t="s">
        <v>445</v>
      </c>
      <c r="J548" s="27">
        <v>45799</v>
      </c>
      <c r="L548" s="29">
        <v>2458.4929756944443</v>
      </c>
      <c r="M548" s="29">
        <v>12292.464878472221</v>
      </c>
      <c r="N548" s="15">
        <v>45778</v>
      </c>
    </row>
    <row r="549" spans="1:14" x14ac:dyDescent="0.25">
      <c r="A549">
        <v>423875</v>
      </c>
      <c r="B549" t="s">
        <v>24</v>
      </c>
      <c r="C549">
        <v>54431</v>
      </c>
      <c r="D549" t="s">
        <v>32</v>
      </c>
      <c r="E549" t="s">
        <v>22</v>
      </c>
      <c r="F549" s="27">
        <v>45797</v>
      </c>
      <c r="G549">
        <v>32</v>
      </c>
      <c r="H549">
        <v>32</v>
      </c>
      <c r="I549" t="s">
        <v>337</v>
      </c>
      <c r="J549" s="27">
        <v>45810</v>
      </c>
      <c r="L549" s="29">
        <v>2634.0996166666669</v>
      </c>
      <c r="M549" s="29">
        <v>84291.18773333334</v>
      </c>
      <c r="N549" s="15">
        <v>45778</v>
      </c>
    </row>
    <row r="550" spans="1:14" x14ac:dyDescent="0.25">
      <c r="A550">
        <v>419807</v>
      </c>
      <c r="B550" t="s">
        <v>31</v>
      </c>
      <c r="C550">
        <v>13970</v>
      </c>
      <c r="D550" t="s">
        <v>36</v>
      </c>
      <c r="E550" t="s">
        <v>19</v>
      </c>
      <c r="F550" s="27">
        <v>45797</v>
      </c>
      <c r="G550">
        <v>8</v>
      </c>
      <c r="H550">
        <v>8</v>
      </c>
      <c r="I550" t="s">
        <v>454</v>
      </c>
      <c r="J550" s="27">
        <v>45800</v>
      </c>
      <c r="L550" s="29">
        <v>2107.2796937500002</v>
      </c>
      <c r="M550" s="29">
        <v>16858.237550000002</v>
      </c>
      <c r="N550" s="15">
        <v>45778</v>
      </c>
    </row>
    <row r="551" spans="1:14" x14ac:dyDescent="0.25">
      <c r="A551">
        <v>418337</v>
      </c>
      <c r="B551" t="s">
        <v>31</v>
      </c>
      <c r="C551">
        <v>13969</v>
      </c>
      <c r="D551" t="s">
        <v>46</v>
      </c>
      <c r="E551" t="s">
        <v>19</v>
      </c>
      <c r="F551" s="27">
        <v>45796</v>
      </c>
      <c r="G551">
        <v>8.5</v>
      </c>
      <c r="H551">
        <v>8.5</v>
      </c>
      <c r="I551" t="s">
        <v>331</v>
      </c>
      <c r="J551" s="27">
        <v>45796</v>
      </c>
      <c r="L551" s="29">
        <v>1317.0498083333334</v>
      </c>
      <c r="M551" s="29">
        <v>11194.923370833334</v>
      </c>
      <c r="N551" s="15">
        <v>45778</v>
      </c>
    </row>
    <row r="552" spans="1:14" x14ac:dyDescent="0.25">
      <c r="A552">
        <v>418338</v>
      </c>
      <c r="B552" t="s">
        <v>31</v>
      </c>
      <c r="C552">
        <v>13969</v>
      </c>
      <c r="D552" t="s">
        <v>46</v>
      </c>
      <c r="E552" t="s">
        <v>19</v>
      </c>
      <c r="F552" s="27">
        <v>45796</v>
      </c>
      <c r="G552">
        <v>5</v>
      </c>
      <c r="H552">
        <v>5</v>
      </c>
      <c r="I552" t="s">
        <v>455</v>
      </c>
      <c r="J552" s="27">
        <v>45796</v>
      </c>
      <c r="L552" s="29">
        <v>1317.0498083333334</v>
      </c>
      <c r="M552" s="29">
        <v>6585.2490416666669</v>
      </c>
      <c r="N552" s="15">
        <v>45778</v>
      </c>
    </row>
    <row r="553" spans="1:14" x14ac:dyDescent="0.25">
      <c r="A553">
        <v>418339</v>
      </c>
      <c r="B553" t="s">
        <v>31</v>
      </c>
      <c r="C553">
        <v>13969</v>
      </c>
      <c r="D553" t="s">
        <v>46</v>
      </c>
      <c r="E553" t="s">
        <v>19</v>
      </c>
      <c r="F553" s="27">
        <v>45796</v>
      </c>
      <c r="G553">
        <v>17</v>
      </c>
      <c r="H553">
        <v>17</v>
      </c>
      <c r="I553" t="s">
        <v>456</v>
      </c>
      <c r="J553" s="27">
        <v>45796</v>
      </c>
      <c r="L553" s="29">
        <v>1317.0498083333334</v>
      </c>
      <c r="M553" s="29">
        <v>22389.846741666668</v>
      </c>
      <c r="N553" s="15">
        <v>45778</v>
      </c>
    </row>
    <row r="554" spans="1:14" x14ac:dyDescent="0.25">
      <c r="A554">
        <v>418372</v>
      </c>
      <c r="B554" t="s">
        <v>28</v>
      </c>
      <c r="C554">
        <v>51263</v>
      </c>
      <c r="D554" t="s">
        <v>27</v>
      </c>
      <c r="E554" t="s">
        <v>22</v>
      </c>
      <c r="F554" s="27">
        <v>45796</v>
      </c>
      <c r="G554">
        <v>4</v>
      </c>
      <c r="H554">
        <v>4</v>
      </c>
      <c r="I554" t="s">
        <v>457</v>
      </c>
      <c r="J554" s="27">
        <v>45796</v>
      </c>
      <c r="L554" s="29">
        <v>702.4265645833334</v>
      </c>
      <c r="M554" s="29">
        <v>2809.7062583333336</v>
      </c>
      <c r="N554" s="15">
        <v>45778</v>
      </c>
    </row>
    <row r="555" spans="1:14" x14ac:dyDescent="0.25">
      <c r="A555">
        <v>421980</v>
      </c>
      <c r="B555" t="s">
        <v>18</v>
      </c>
      <c r="C555">
        <v>32</v>
      </c>
      <c r="D555" t="s">
        <v>27</v>
      </c>
      <c r="E555" t="s">
        <v>19</v>
      </c>
      <c r="F555" s="27">
        <v>45796</v>
      </c>
      <c r="G555">
        <v>0.5</v>
      </c>
      <c r="H555">
        <v>0.5</v>
      </c>
      <c r="I555" t="s">
        <v>411</v>
      </c>
      <c r="J555" s="27">
        <v>45806</v>
      </c>
      <c r="L555" s="29">
        <v>702.4265645833334</v>
      </c>
      <c r="M555" s="29">
        <v>351.2132822916667</v>
      </c>
      <c r="N555" s="15">
        <v>45778</v>
      </c>
    </row>
    <row r="556" spans="1:14" x14ac:dyDescent="0.25">
      <c r="A556">
        <v>419702</v>
      </c>
      <c r="B556" t="s">
        <v>24</v>
      </c>
      <c r="C556">
        <v>54431</v>
      </c>
      <c r="D556" t="s">
        <v>39</v>
      </c>
      <c r="E556" t="s">
        <v>22</v>
      </c>
      <c r="F556" s="27">
        <v>45796</v>
      </c>
      <c r="G556">
        <v>2</v>
      </c>
      <c r="H556">
        <v>2</v>
      </c>
      <c r="I556" t="s">
        <v>361</v>
      </c>
      <c r="J556" s="27">
        <v>45800</v>
      </c>
      <c r="L556" s="29">
        <v>878.03320555555558</v>
      </c>
      <c r="M556" s="29">
        <v>1756.0664111111112</v>
      </c>
      <c r="N556" s="15">
        <v>45778</v>
      </c>
    </row>
    <row r="557" spans="1:14" x14ac:dyDescent="0.25">
      <c r="A557">
        <v>419717</v>
      </c>
      <c r="B557" t="s">
        <v>24</v>
      </c>
      <c r="C557">
        <v>54164</v>
      </c>
      <c r="D557" t="s">
        <v>39</v>
      </c>
      <c r="E557" t="s">
        <v>22</v>
      </c>
      <c r="F557" s="27">
        <v>45796</v>
      </c>
      <c r="G557">
        <v>4</v>
      </c>
      <c r="H557">
        <v>4</v>
      </c>
      <c r="I557" t="s">
        <v>361</v>
      </c>
      <c r="J557" s="27">
        <v>45800</v>
      </c>
      <c r="L557" s="29">
        <v>878.03320555555558</v>
      </c>
      <c r="M557" s="29">
        <v>3512.1328222222223</v>
      </c>
      <c r="N557" s="15">
        <v>45778</v>
      </c>
    </row>
    <row r="558" spans="1:14" x14ac:dyDescent="0.25">
      <c r="A558">
        <v>419213</v>
      </c>
      <c r="B558" t="s">
        <v>29</v>
      </c>
      <c r="C558">
        <v>53433</v>
      </c>
      <c r="D558" t="s">
        <v>30</v>
      </c>
      <c r="E558" t="s">
        <v>22</v>
      </c>
      <c r="F558" s="27">
        <v>45796</v>
      </c>
      <c r="G558">
        <v>8</v>
      </c>
      <c r="H558">
        <v>8</v>
      </c>
      <c r="I558" t="s">
        <v>448</v>
      </c>
      <c r="J558" s="27">
        <v>45799</v>
      </c>
      <c r="L558" s="29">
        <v>1053.6398465277778</v>
      </c>
      <c r="M558" s="29">
        <v>8429.1187722222221</v>
      </c>
      <c r="N558" s="15">
        <v>45778</v>
      </c>
    </row>
    <row r="559" spans="1:14" x14ac:dyDescent="0.25">
      <c r="A559">
        <v>423566</v>
      </c>
      <c r="B559" t="s">
        <v>20</v>
      </c>
      <c r="C559">
        <v>52828</v>
      </c>
      <c r="D559" t="s">
        <v>21</v>
      </c>
      <c r="E559" t="s">
        <v>22</v>
      </c>
      <c r="F559" s="27">
        <v>45796</v>
      </c>
      <c r="G559">
        <v>7.5</v>
      </c>
      <c r="H559">
        <v>7.5</v>
      </c>
      <c r="I559" t="s">
        <v>458</v>
      </c>
      <c r="J559" s="27">
        <v>45810</v>
      </c>
      <c r="L559" s="29">
        <v>1975.5747125</v>
      </c>
      <c r="M559" s="29">
        <v>14816.810343749999</v>
      </c>
      <c r="N559" s="15">
        <v>45778</v>
      </c>
    </row>
    <row r="560" spans="1:14" x14ac:dyDescent="0.25">
      <c r="A560">
        <v>423569</v>
      </c>
      <c r="B560" t="s">
        <v>20</v>
      </c>
      <c r="C560">
        <v>46185</v>
      </c>
      <c r="D560" t="s">
        <v>21</v>
      </c>
      <c r="E560" t="s">
        <v>22</v>
      </c>
      <c r="F560" s="27">
        <v>45796</v>
      </c>
      <c r="G560">
        <v>0.5</v>
      </c>
      <c r="H560">
        <v>0.5</v>
      </c>
      <c r="I560" t="s">
        <v>459</v>
      </c>
      <c r="J560" s="27">
        <v>45810</v>
      </c>
      <c r="L560" s="29">
        <v>1975.5747125</v>
      </c>
      <c r="M560" s="29">
        <v>987.78735625000002</v>
      </c>
      <c r="N560" s="15">
        <v>45778</v>
      </c>
    </row>
    <row r="561" spans="1:14" x14ac:dyDescent="0.25">
      <c r="A561">
        <v>418972</v>
      </c>
      <c r="B561" t="s">
        <v>29</v>
      </c>
      <c r="C561">
        <v>53333</v>
      </c>
      <c r="D561" t="s">
        <v>39</v>
      </c>
      <c r="E561" t="s">
        <v>22</v>
      </c>
      <c r="F561" s="27">
        <v>45796</v>
      </c>
      <c r="G561">
        <v>8</v>
      </c>
      <c r="H561">
        <v>8</v>
      </c>
      <c r="I561" t="s">
        <v>449</v>
      </c>
      <c r="J561" s="27">
        <v>45798</v>
      </c>
      <c r="L561" s="29">
        <v>878.03320555555558</v>
      </c>
      <c r="M561" s="29">
        <v>7024.2656444444447</v>
      </c>
      <c r="N561" s="15">
        <v>45778</v>
      </c>
    </row>
    <row r="562" spans="1:14" x14ac:dyDescent="0.25">
      <c r="A562">
        <v>427177</v>
      </c>
      <c r="B562" t="s">
        <v>270</v>
      </c>
      <c r="C562">
        <v>53948</v>
      </c>
      <c r="D562" t="s">
        <v>41</v>
      </c>
      <c r="E562" t="s">
        <v>22</v>
      </c>
      <c r="F562" s="27">
        <v>45796</v>
      </c>
      <c r="G562">
        <v>8</v>
      </c>
      <c r="H562">
        <v>8</v>
      </c>
      <c r="I562" t="s">
        <v>460</v>
      </c>
      <c r="J562" s="27">
        <v>45819</v>
      </c>
      <c r="L562" s="29">
        <v>1756.0664111111112</v>
      </c>
      <c r="M562" s="29">
        <v>14048.531288888889</v>
      </c>
      <c r="N562" s="15">
        <v>45778</v>
      </c>
    </row>
    <row r="563" spans="1:14" x14ac:dyDescent="0.25">
      <c r="A563">
        <v>420273</v>
      </c>
      <c r="B563" t="s">
        <v>23</v>
      </c>
      <c r="C563">
        <v>54460</v>
      </c>
      <c r="D563" t="s">
        <v>33</v>
      </c>
      <c r="E563" t="s">
        <v>22</v>
      </c>
      <c r="F563" s="27">
        <v>45796</v>
      </c>
      <c r="G563">
        <v>22.5</v>
      </c>
      <c r="H563">
        <v>22.5</v>
      </c>
      <c r="I563" t="s">
        <v>461</v>
      </c>
      <c r="J563" s="27">
        <v>45803</v>
      </c>
      <c r="L563" s="29">
        <v>2195.0830138888891</v>
      </c>
      <c r="M563" s="29">
        <v>49389.367812500008</v>
      </c>
      <c r="N563" s="15">
        <v>45778</v>
      </c>
    </row>
    <row r="564" spans="1:14" x14ac:dyDescent="0.25">
      <c r="A564">
        <v>419262</v>
      </c>
      <c r="B564" t="s">
        <v>28</v>
      </c>
      <c r="C564">
        <v>51262</v>
      </c>
      <c r="D564" t="s">
        <v>44</v>
      </c>
      <c r="E564" t="s">
        <v>22</v>
      </c>
      <c r="F564" s="27">
        <v>45796</v>
      </c>
      <c r="G564">
        <v>3</v>
      </c>
      <c r="H564">
        <v>3</v>
      </c>
      <c r="I564" t="s">
        <v>445</v>
      </c>
      <c r="J564" s="27">
        <v>45799</v>
      </c>
      <c r="L564" s="29">
        <v>2458.4929756944443</v>
      </c>
      <c r="M564" s="29">
        <v>7375.4789270833335</v>
      </c>
      <c r="N564" s="15">
        <v>45778</v>
      </c>
    </row>
    <row r="565" spans="1:14" x14ac:dyDescent="0.25">
      <c r="A565">
        <v>419804</v>
      </c>
      <c r="B565" t="s">
        <v>31</v>
      </c>
      <c r="C565">
        <v>13970</v>
      </c>
      <c r="D565" t="s">
        <v>36</v>
      </c>
      <c r="E565" t="s">
        <v>19</v>
      </c>
      <c r="F565" s="27">
        <v>45796</v>
      </c>
      <c r="G565">
        <v>8</v>
      </c>
      <c r="H565">
        <v>8</v>
      </c>
      <c r="I565" t="s">
        <v>450</v>
      </c>
      <c r="J565" s="27">
        <v>45800</v>
      </c>
      <c r="L565" s="29">
        <v>2107.2796937500002</v>
      </c>
      <c r="M565" s="29">
        <v>16858.237550000002</v>
      </c>
      <c r="N565" s="15">
        <v>45778</v>
      </c>
    </row>
    <row r="566" spans="1:14" x14ac:dyDescent="0.25">
      <c r="A566">
        <v>418370</v>
      </c>
      <c r="B566" t="s">
        <v>28</v>
      </c>
      <c r="C566">
        <v>51263</v>
      </c>
      <c r="D566" t="s">
        <v>27</v>
      </c>
      <c r="E566" t="s">
        <v>22</v>
      </c>
      <c r="F566" s="27">
        <v>45793</v>
      </c>
      <c r="G566">
        <v>5</v>
      </c>
      <c r="H566">
        <v>5</v>
      </c>
      <c r="I566" t="s">
        <v>462</v>
      </c>
      <c r="J566" s="27">
        <v>45796</v>
      </c>
      <c r="L566" s="29">
        <v>702.4265645833334</v>
      </c>
      <c r="M566" s="29">
        <v>3512.132822916667</v>
      </c>
      <c r="N566" s="15">
        <v>45778</v>
      </c>
    </row>
    <row r="567" spans="1:14" x14ac:dyDescent="0.25">
      <c r="A567">
        <v>417608</v>
      </c>
      <c r="B567" t="s">
        <v>31</v>
      </c>
      <c r="C567">
        <v>13969</v>
      </c>
      <c r="D567" t="s">
        <v>46</v>
      </c>
      <c r="E567" t="s">
        <v>19</v>
      </c>
      <c r="F567" s="27">
        <v>45793</v>
      </c>
      <c r="G567">
        <v>0.5</v>
      </c>
      <c r="H567">
        <v>0.5</v>
      </c>
      <c r="I567" t="s">
        <v>331</v>
      </c>
      <c r="J567" s="27">
        <v>45793</v>
      </c>
      <c r="L567" s="29">
        <v>1317.0498083333334</v>
      </c>
      <c r="M567" s="29">
        <v>658.52490416666672</v>
      </c>
      <c r="N567" s="15">
        <v>45778</v>
      </c>
    </row>
    <row r="568" spans="1:14" x14ac:dyDescent="0.25">
      <c r="A568">
        <v>417610</v>
      </c>
      <c r="B568" t="s">
        <v>31</v>
      </c>
      <c r="C568">
        <v>13969</v>
      </c>
      <c r="D568" t="s">
        <v>46</v>
      </c>
      <c r="E568" t="s">
        <v>19</v>
      </c>
      <c r="F568" s="27">
        <v>45793</v>
      </c>
      <c r="G568">
        <v>7.5</v>
      </c>
      <c r="H568">
        <v>7.5</v>
      </c>
      <c r="I568" t="s">
        <v>362</v>
      </c>
      <c r="J568" s="27">
        <v>45793</v>
      </c>
      <c r="L568" s="29">
        <v>1317.0498083333334</v>
      </c>
      <c r="M568" s="29">
        <v>9877.8735625000008</v>
      </c>
      <c r="N568" s="15">
        <v>45778</v>
      </c>
    </row>
    <row r="569" spans="1:14" x14ac:dyDescent="0.25">
      <c r="A569">
        <v>421205</v>
      </c>
      <c r="B569" t="s">
        <v>18</v>
      </c>
      <c r="C569">
        <v>17</v>
      </c>
      <c r="D569" t="s">
        <v>21</v>
      </c>
      <c r="E569" t="s">
        <v>19</v>
      </c>
      <c r="F569" s="27">
        <v>45793</v>
      </c>
      <c r="G569">
        <v>8</v>
      </c>
      <c r="H569">
        <v>8</v>
      </c>
      <c r="I569" t="s">
        <v>463</v>
      </c>
      <c r="J569" s="27">
        <v>45805</v>
      </c>
      <c r="L569" s="29">
        <v>1975.5747125</v>
      </c>
      <c r="M569" s="29">
        <v>15804.5977</v>
      </c>
      <c r="N569" s="15">
        <v>45778</v>
      </c>
    </row>
    <row r="570" spans="1:14" x14ac:dyDescent="0.25">
      <c r="A570">
        <v>421981</v>
      </c>
      <c r="B570" t="s">
        <v>18</v>
      </c>
      <c r="C570">
        <v>32</v>
      </c>
      <c r="D570" t="s">
        <v>27</v>
      </c>
      <c r="E570" t="s">
        <v>19</v>
      </c>
      <c r="F570" s="27">
        <v>45793</v>
      </c>
      <c r="G570">
        <v>0.5</v>
      </c>
      <c r="H570">
        <v>0.5</v>
      </c>
      <c r="I570" t="s">
        <v>411</v>
      </c>
      <c r="J570" s="27">
        <v>45806</v>
      </c>
      <c r="L570" s="29">
        <v>702.4265645833334</v>
      </c>
      <c r="M570" s="29">
        <v>351.2132822916667</v>
      </c>
      <c r="N570" s="15">
        <v>45778</v>
      </c>
    </row>
    <row r="571" spans="1:14" x14ac:dyDescent="0.25">
      <c r="A571">
        <v>419691</v>
      </c>
      <c r="B571" t="s">
        <v>31</v>
      </c>
      <c r="C571">
        <v>13969</v>
      </c>
      <c r="D571" t="s">
        <v>42</v>
      </c>
      <c r="E571" t="s">
        <v>19</v>
      </c>
      <c r="F571" s="27">
        <v>45793</v>
      </c>
      <c r="G571">
        <v>0.5</v>
      </c>
      <c r="H571">
        <v>0.5</v>
      </c>
      <c r="I571" t="s">
        <v>464</v>
      </c>
      <c r="J571" s="27">
        <v>45800</v>
      </c>
      <c r="L571" s="29">
        <v>1418</v>
      </c>
      <c r="M571" s="29">
        <v>709</v>
      </c>
      <c r="N571" s="15">
        <v>45778</v>
      </c>
    </row>
    <row r="572" spans="1:14" x14ac:dyDescent="0.25">
      <c r="A572">
        <v>417391</v>
      </c>
      <c r="B572" t="s">
        <v>29</v>
      </c>
      <c r="C572">
        <v>53425</v>
      </c>
      <c r="D572" t="s">
        <v>39</v>
      </c>
      <c r="E572" t="s">
        <v>22</v>
      </c>
      <c r="F572" s="27">
        <v>45793</v>
      </c>
      <c r="G572">
        <v>4</v>
      </c>
      <c r="H572">
        <v>4</v>
      </c>
      <c r="I572" t="s">
        <v>465</v>
      </c>
      <c r="J572" s="27">
        <v>45793</v>
      </c>
      <c r="L572" s="29">
        <v>878.03320555555558</v>
      </c>
      <c r="M572" s="29">
        <v>3512.1328222222223</v>
      </c>
      <c r="N572" s="15">
        <v>45778</v>
      </c>
    </row>
    <row r="573" spans="1:14" x14ac:dyDescent="0.25">
      <c r="A573">
        <v>417417</v>
      </c>
      <c r="B573" t="s">
        <v>18</v>
      </c>
      <c r="C573">
        <v>31</v>
      </c>
      <c r="D573" t="s">
        <v>39</v>
      </c>
      <c r="E573" t="s">
        <v>19</v>
      </c>
      <c r="F573" s="27">
        <v>45793</v>
      </c>
      <c r="G573">
        <v>12</v>
      </c>
      <c r="H573">
        <v>12</v>
      </c>
      <c r="I573" t="s">
        <v>449</v>
      </c>
      <c r="J573" s="27">
        <v>45793</v>
      </c>
      <c r="L573" s="29">
        <v>878.03320555555558</v>
      </c>
      <c r="M573" s="29">
        <v>10536.398466666667</v>
      </c>
      <c r="N573" s="15">
        <v>45778</v>
      </c>
    </row>
    <row r="574" spans="1:14" x14ac:dyDescent="0.25">
      <c r="A574">
        <v>419212</v>
      </c>
      <c r="B574" t="s">
        <v>29</v>
      </c>
      <c r="C574">
        <v>53433</v>
      </c>
      <c r="D574" t="s">
        <v>30</v>
      </c>
      <c r="E574" t="s">
        <v>22</v>
      </c>
      <c r="F574" s="27">
        <v>45793</v>
      </c>
      <c r="G574">
        <v>8</v>
      </c>
      <c r="H574">
        <v>8</v>
      </c>
      <c r="I574" t="s">
        <v>448</v>
      </c>
      <c r="J574" s="27">
        <v>45799</v>
      </c>
      <c r="L574" s="29">
        <v>1053.6398465277778</v>
      </c>
      <c r="M574" s="29">
        <v>8429.1187722222221</v>
      </c>
      <c r="N574" s="15">
        <v>45778</v>
      </c>
    </row>
    <row r="575" spans="1:14" x14ac:dyDescent="0.25">
      <c r="A575">
        <v>427175</v>
      </c>
      <c r="B575" t="s">
        <v>270</v>
      </c>
      <c r="C575">
        <v>53949</v>
      </c>
      <c r="D575" t="s">
        <v>41</v>
      </c>
      <c r="E575" t="s">
        <v>22</v>
      </c>
      <c r="F575" s="27">
        <v>45793</v>
      </c>
      <c r="G575">
        <v>8</v>
      </c>
      <c r="H575">
        <v>8</v>
      </c>
      <c r="I575" t="s">
        <v>466</v>
      </c>
      <c r="J575" s="27">
        <v>45819</v>
      </c>
      <c r="L575" s="29">
        <v>1756.0664111111112</v>
      </c>
      <c r="M575" s="29">
        <v>14048.531288888889</v>
      </c>
      <c r="N575" s="15">
        <v>45778</v>
      </c>
    </row>
    <row r="576" spans="1:14" x14ac:dyDescent="0.25">
      <c r="A576">
        <v>417293</v>
      </c>
      <c r="B576" t="s">
        <v>31</v>
      </c>
      <c r="C576">
        <v>13969</v>
      </c>
      <c r="D576" t="s">
        <v>46</v>
      </c>
      <c r="E576" t="s">
        <v>19</v>
      </c>
      <c r="F576" s="27">
        <v>45792</v>
      </c>
      <c r="G576">
        <v>0.5</v>
      </c>
      <c r="H576">
        <v>0.5</v>
      </c>
      <c r="I576" t="s">
        <v>331</v>
      </c>
      <c r="J576" s="27">
        <v>45793</v>
      </c>
      <c r="L576" s="29">
        <v>1317.0498083333334</v>
      </c>
      <c r="M576" s="29">
        <v>658.52490416666672</v>
      </c>
      <c r="N576" s="15">
        <v>45778</v>
      </c>
    </row>
    <row r="577" spans="1:14" x14ac:dyDescent="0.25">
      <c r="A577">
        <v>417296</v>
      </c>
      <c r="B577" t="s">
        <v>31</v>
      </c>
      <c r="C577">
        <v>13969</v>
      </c>
      <c r="D577" t="s">
        <v>46</v>
      </c>
      <c r="E577" t="s">
        <v>19</v>
      </c>
      <c r="F577" s="27">
        <v>45792</v>
      </c>
      <c r="G577">
        <v>7.5</v>
      </c>
      <c r="H577">
        <v>7.5</v>
      </c>
      <c r="I577" t="s">
        <v>362</v>
      </c>
      <c r="J577" s="27">
        <v>45793</v>
      </c>
      <c r="L577" s="29">
        <v>1317.0498083333334</v>
      </c>
      <c r="M577" s="29">
        <v>9877.8735625000008</v>
      </c>
      <c r="N577" s="15">
        <v>45778</v>
      </c>
    </row>
    <row r="578" spans="1:14" x14ac:dyDescent="0.25">
      <c r="A578">
        <v>431933</v>
      </c>
      <c r="B578" t="s">
        <v>20</v>
      </c>
      <c r="C578">
        <v>52830</v>
      </c>
      <c r="D578" t="s">
        <v>32</v>
      </c>
      <c r="E578" t="s">
        <v>22</v>
      </c>
      <c r="F578" s="27">
        <v>45792</v>
      </c>
      <c r="G578">
        <v>7</v>
      </c>
      <c r="H578">
        <v>7</v>
      </c>
      <c r="I578" t="s">
        <v>467</v>
      </c>
      <c r="J578" s="27">
        <v>45835</v>
      </c>
      <c r="L578" s="29">
        <v>2634.0996166666669</v>
      </c>
      <c r="M578" s="29">
        <v>18438.697316666668</v>
      </c>
      <c r="N578" s="15">
        <v>45778</v>
      </c>
    </row>
    <row r="579" spans="1:14" x14ac:dyDescent="0.25">
      <c r="A579">
        <v>418368</v>
      </c>
      <c r="B579" t="s">
        <v>28</v>
      </c>
      <c r="C579">
        <v>51263</v>
      </c>
      <c r="D579" t="s">
        <v>27</v>
      </c>
      <c r="E579" t="s">
        <v>22</v>
      </c>
      <c r="F579" s="27">
        <v>45792</v>
      </c>
      <c r="G579">
        <v>7.5</v>
      </c>
      <c r="H579">
        <v>7.5</v>
      </c>
      <c r="I579" t="s">
        <v>468</v>
      </c>
      <c r="J579" s="27">
        <v>45796</v>
      </c>
      <c r="L579" s="29">
        <v>702.4265645833334</v>
      </c>
      <c r="M579" s="29">
        <v>5268.1992343750007</v>
      </c>
      <c r="N579" s="15">
        <v>45778</v>
      </c>
    </row>
    <row r="580" spans="1:14" x14ac:dyDescent="0.25">
      <c r="A580">
        <v>442443</v>
      </c>
      <c r="B580" t="s">
        <v>1011</v>
      </c>
      <c r="C580">
        <v>54696</v>
      </c>
      <c r="D580" t="s">
        <v>33</v>
      </c>
      <c r="E580" t="s">
        <v>22</v>
      </c>
      <c r="F580" s="27">
        <v>45792</v>
      </c>
      <c r="G580">
        <v>1</v>
      </c>
      <c r="H580">
        <v>1</v>
      </c>
      <c r="I580" t="s">
        <v>1059</v>
      </c>
      <c r="J580" s="27">
        <v>45862</v>
      </c>
      <c r="L580" s="29">
        <v>2195.0830138888891</v>
      </c>
      <c r="M580" s="29">
        <v>2195.0830138888891</v>
      </c>
      <c r="N580" s="15">
        <v>45778</v>
      </c>
    </row>
    <row r="581" spans="1:14" x14ac:dyDescent="0.25">
      <c r="A581">
        <v>442444</v>
      </c>
      <c r="B581" t="s">
        <v>1011</v>
      </c>
      <c r="C581">
        <v>54696</v>
      </c>
      <c r="D581" t="s">
        <v>33</v>
      </c>
      <c r="E581" t="s">
        <v>22</v>
      </c>
      <c r="F581" s="27">
        <v>45792</v>
      </c>
      <c r="G581">
        <v>1</v>
      </c>
      <c r="H581">
        <v>1</v>
      </c>
      <c r="I581" t="s">
        <v>1060</v>
      </c>
      <c r="J581" s="27">
        <v>45862</v>
      </c>
      <c r="L581" s="29">
        <v>2195.0830138888891</v>
      </c>
      <c r="M581" s="29">
        <v>2195.0830138888891</v>
      </c>
      <c r="N581" s="15">
        <v>45778</v>
      </c>
    </row>
    <row r="582" spans="1:14" x14ac:dyDescent="0.25">
      <c r="A582">
        <v>442445</v>
      </c>
      <c r="B582" t="s">
        <v>1011</v>
      </c>
      <c r="C582">
        <v>54696</v>
      </c>
      <c r="D582" t="s">
        <v>33</v>
      </c>
      <c r="E582" t="s">
        <v>22</v>
      </c>
      <c r="F582" s="27">
        <v>45792</v>
      </c>
      <c r="G582">
        <v>1</v>
      </c>
      <c r="H582">
        <v>1</v>
      </c>
      <c r="I582" t="s">
        <v>1061</v>
      </c>
      <c r="J582" s="27">
        <v>45862</v>
      </c>
      <c r="L582" s="29">
        <v>2195.0830138888891</v>
      </c>
      <c r="M582" s="29">
        <v>2195.0830138888891</v>
      </c>
      <c r="N582" s="15">
        <v>45778</v>
      </c>
    </row>
    <row r="583" spans="1:14" x14ac:dyDescent="0.25">
      <c r="A583">
        <v>421204</v>
      </c>
      <c r="B583" t="s">
        <v>18</v>
      </c>
      <c r="C583">
        <v>17</v>
      </c>
      <c r="D583" t="s">
        <v>21</v>
      </c>
      <c r="E583" t="s">
        <v>19</v>
      </c>
      <c r="F583" s="27">
        <v>45792</v>
      </c>
      <c r="G583">
        <v>8</v>
      </c>
      <c r="H583">
        <v>8</v>
      </c>
      <c r="I583" t="s">
        <v>463</v>
      </c>
      <c r="J583" s="27">
        <v>45805</v>
      </c>
      <c r="L583" s="29">
        <v>1975.5747125</v>
      </c>
      <c r="M583" s="29">
        <v>15804.5977</v>
      </c>
      <c r="N583" s="15">
        <v>45778</v>
      </c>
    </row>
    <row r="584" spans="1:14" x14ac:dyDescent="0.25">
      <c r="A584">
        <v>421982</v>
      </c>
      <c r="B584" t="s">
        <v>18</v>
      </c>
      <c r="C584">
        <v>32</v>
      </c>
      <c r="D584" t="s">
        <v>27</v>
      </c>
      <c r="E584" t="s">
        <v>19</v>
      </c>
      <c r="F584" s="27">
        <v>45792</v>
      </c>
      <c r="G584">
        <v>0.5</v>
      </c>
      <c r="H584">
        <v>0.5</v>
      </c>
      <c r="I584" t="s">
        <v>411</v>
      </c>
      <c r="J584" s="27">
        <v>45806</v>
      </c>
      <c r="L584" s="29">
        <v>702.4265645833334</v>
      </c>
      <c r="M584" s="29">
        <v>351.2132822916667</v>
      </c>
      <c r="N584" s="15">
        <v>45778</v>
      </c>
    </row>
    <row r="585" spans="1:14" x14ac:dyDescent="0.25">
      <c r="A585">
        <v>432244</v>
      </c>
      <c r="B585" t="s">
        <v>23</v>
      </c>
      <c r="C585">
        <v>54720</v>
      </c>
      <c r="D585" t="s">
        <v>25</v>
      </c>
      <c r="E585" t="s">
        <v>22</v>
      </c>
      <c r="F585" s="27">
        <v>45792</v>
      </c>
      <c r="G585">
        <v>25</v>
      </c>
      <c r="H585">
        <v>25</v>
      </c>
      <c r="I585" t="s">
        <v>294</v>
      </c>
      <c r="J585" s="27">
        <v>45836</v>
      </c>
      <c r="L585" s="29">
        <v>1317.0498083333334</v>
      </c>
      <c r="M585" s="29">
        <v>32926.245208333334</v>
      </c>
      <c r="N585" s="15">
        <v>45778</v>
      </c>
    </row>
    <row r="586" spans="1:14" x14ac:dyDescent="0.25">
      <c r="A586">
        <v>417409</v>
      </c>
      <c r="B586" t="s">
        <v>24</v>
      </c>
      <c r="C586">
        <v>54166</v>
      </c>
      <c r="D586" t="s">
        <v>39</v>
      </c>
      <c r="E586" t="s">
        <v>22</v>
      </c>
      <c r="F586" s="27">
        <v>45792</v>
      </c>
      <c r="G586">
        <v>2</v>
      </c>
      <c r="H586">
        <v>2</v>
      </c>
      <c r="I586" t="s">
        <v>361</v>
      </c>
      <c r="J586" s="27">
        <v>45793</v>
      </c>
      <c r="L586" s="29">
        <v>878.03320555555558</v>
      </c>
      <c r="M586" s="29">
        <v>1756.0664111111112</v>
      </c>
      <c r="N586" s="15">
        <v>45778</v>
      </c>
    </row>
    <row r="587" spans="1:14" x14ac:dyDescent="0.25">
      <c r="A587">
        <v>417410</v>
      </c>
      <c r="B587" t="s">
        <v>24</v>
      </c>
      <c r="C587">
        <v>54165</v>
      </c>
      <c r="D587" t="s">
        <v>39</v>
      </c>
      <c r="E587" t="s">
        <v>22</v>
      </c>
      <c r="F587" s="27">
        <v>45792</v>
      </c>
      <c r="G587">
        <v>2</v>
      </c>
      <c r="H587">
        <v>2</v>
      </c>
      <c r="I587" t="s">
        <v>361</v>
      </c>
      <c r="J587" s="27">
        <v>45793</v>
      </c>
      <c r="L587" s="29">
        <v>878.03320555555558</v>
      </c>
      <c r="M587" s="29">
        <v>1756.0664111111112</v>
      </c>
      <c r="N587" s="15">
        <v>45778</v>
      </c>
    </row>
    <row r="588" spans="1:14" x14ac:dyDescent="0.25">
      <c r="A588">
        <v>417411</v>
      </c>
      <c r="B588" t="s">
        <v>29</v>
      </c>
      <c r="C588">
        <v>44211</v>
      </c>
      <c r="D588" t="s">
        <v>39</v>
      </c>
      <c r="E588" t="s">
        <v>22</v>
      </c>
      <c r="F588" s="27">
        <v>45792</v>
      </c>
      <c r="G588">
        <v>4</v>
      </c>
      <c r="H588">
        <v>4</v>
      </c>
      <c r="I588" t="s">
        <v>436</v>
      </c>
      <c r="J588" s="27">
        <v>45793</v>
      </c>
      <c r="L588" s="29">
        <v>878.03320555555558</v>
      </c>
      <c r="M588" s="29">
        <v>3512.1328222222223</v>
      </c>
      <c r="N588" s="15">
        <v>45778</v>
      </c>
    </row>
    <row r="589" spans="1:14" x14ac:dyDescent="0.25">
      <c r="A589">
        <v>417416</v>
      </c>
      <c r="B589" t="s">
        <v>18</v>
      </c>
      <c r="C589">
        <v>31</v>
      </c>
      <c r="D589" t="s">
        <v>39</v>
      </c>
      <c r="E589" t="s">
        <v>19</v>
      </c>
      <c r="F589" s="27">
        <v>45792</v>
      </c>
      <c r="G589">
        <v>1</v>
      </c>
      <c r="H589">
        <v>1</v>
      </c>
      <c r="I589" t="s">
        <v>449</v>
      </c>
      <c r="J589" s="27">
        <v>45793</v>
      </c>
      <c r="L589" s="29">
        <v>878.03320555555558</v>
      </c>
      <c r="M589" s="29">
        <v>878.03320555555558</v>
      </c>
      <c r="N589" s="15">
        <v>45778</v>
      </c>
    </row>
    <row r="590" spans="1:14" x14ac:dyDescent="0.25">
      <c r="A590">
        <v>419211</v>
      </c>
      <c r="B590" t="s">
        <v>29</v>
      </c>
      <c r="C590">
        <v>53433</v>
      </c>
      <c r="D590" t="s">
        <v>30</v>
      </c>
      <c r="E590" t="s">
        <v>22</v>
      </c>
      <c r="F590" s="27">
        <v>45792</v>
      </c>
      <c r="G590">
        <v>8</v>
      </c>
      <c r="H590">
        <v>8</v>
      </c>
      <c r="I590" t="s">
        <v>448</v>
      </c>
      <c r="J590" s="27">
        <v>45799</v>
      </c>
      <c r="L590" s="29">
        <v>1053.6398465277778</v>
      </c>
      <c r="M590" s="29">
        <v>8429.1187722222221</v>
      </c>
      <c r="N590" s="15">
        <v>45778</v>
      </c>
    </row>
    <row r="591" spans="1:14" x14ac:dyDescent="0.25">
      <c r="A591">
        <v>427174</v>
      </c>
      <c r="B591" t="s">
        <v>270</v>
      </c>
      <c r="C591">
        <v>53943</v>
      </c>
      <c r="D591" t="s">
        <v>41</v>
      </c>
      <c r="E591" t="s">
        <v>22</v>
      </c>
      <c r="F591" s="27">
        <v>45792</v>
      </c>
      <c r="G591">
        <v>8</v>
      </c>
      <c r="H591">
        <v>8</v>
      </c>
      <c r="I591" t="s">
        <v>469</v>
      </c>
      <c r="J591" s="27">
        <v>45819</v>
      </c>
      <c r="L591" s="29">
        <v>1756.0664111111112</v>
      </c>
      <c r="M591" s="29">
        <v>14048.531288888889</v>
      </c>
      <c r="N591" s="15">
        <v>45778</v>
      </c>
    </row>
    <row r="592" spans="1:14" x14ac:dyDescent="0.25">
      <c r="A592">
        <v>419257</v>
      </c>
      <c r="B592" t="s">
        <v>29</v>
      </c>
      <c r="C592">
        <v>54373</v>
      </c>
      <c r="D592" t="s">
        <v>44</v>
      </c>
      <c r="E592" t="s">
        <v>22</v>
      </c>
      <c r="F592" s="27">
        <v>45792</v>
      </c>
      <c r="G592">
        <v>8</v>
      </c>
      <c r="H592">
        <v>8</v>
      </c>
      <c r="I592" t="s">
        <v>470</v>
      </c>
      <c r="J592" s="27">
        <v>45799</v>
      </c>
      <c r="L592" s="29">
        <v>2458.4929756944443</v>
      </c>
      <c r="M592" s="29">
        <v>19667.943805555555</v>
      </c>
      <c r="N592" s="15">
        <v>45778</v>
      </c>
    </row>
    <row r="593" spans="1:14" x14ac:dyDescent="0.25">
      <c r="A593">
        <v>417292</v>
      </c>
      <c r="B593" t="s">
        <v>31</v>
      </c>
      <c r="C593">
        <v>13969</v>
      </c>
      <c r="D593" t="s">
        <v>46</v>
      </c>
      <c r="E593" t="s">
        <v>19</v>
      </c>
      <c r="F593" s="27">
        <v>45791</v>
      </c>
      <c r="G593">
        <v>0.5</v>
      </c>
      <c r="H593">
        <v>0.5</v>
      </c>
      <c r="I593" t="s">
        <v>331</v>
      </c>
      <c r="J593" s="27">
        <v>45793</v>
      </c>
      <c r="L593" s="29">
        <v>1317.0498083333334</v>
      </c>
      <c r="M593" s="29">
        <v>658.52490416666672</v>
      </c>
      <c r="N593" s="15">
        <v>45778</v>
      </c>
    </row>
    <row r="594" spans="1:14" x14ac:dyDescent="0.25">
      <c r="A594">
        <v>417295</v>
      </c>
      <c r="B594" t="s">
        <v>31</v>
      </c>
      <c r="C594">
        <v>13969</v>
      </c>
      <c r="D594" t="s">
        <v>46</v>
      </c>
      <c r="E594" t="s">
        <v>19</v>
      </c>
      <c r="F594" s="27">
        <v>45791</v>
      </c>
      <c r="G594">
        <v>7.5</v>
      </c>
      <c r="H594">
        <v>7.5</v>
      </c>
      <c r="I594" t="s">
        <v>362</v>
      </c>
      <c r="J594" s="27">
        <v>45793</v>
      </c>
      <c r="L594" s="29">
        <v>1317.0498083333334</v>
      </c>
      <c r="M594" s="29">
        <v>9877.8735625000008</v>
      </c>
      <c r="N594" s="15">
        <v>45778</v>
      </c>
    </row>
    <row r="595" spans="1:14" x14ac:dyDescent="0.25">
      <c r="A595">
        <v>416829</v>
      </c>
      <c r="B595" t="s">
        <v>28</v>
      </c>
      <c r="C595">
        <v>51263</v>
      </c>
      <c r="D595" t="s">
        <v>27</v>
      </c>
      <c r="E595" t="s">
        <v>22</v>
      </c>
      <c r="F595" s="27">
        <v>45791</v>
      </c>
      <c r="G595">
        <v>9</v>
      </c>
      <c r="H595">
        <v>9</v>
      </c>
      <c r="I595" t="s">
        <v>471</v>
      </c>
      <c r="J595" s="27">
        <v>45791</v>
      </c>
      <c r="L595" s="29">
        <v>702.4265645833334</v>
      </c>
      <c r="M595" s="29">
        <v>6321.8390812500002</v>
      </c>
      <c r="N595" s="15">
        <v>45778</v>
      </c>
    </row>
    <row r="596" spans="1:14" x14ac:dyDescent="0.25">
      <c r="A596">
        <v>421203</v>
      </c>
      <c r="B596" t="s">
        <v>18</v>
      </c>
      <c r="C596">
        <v>17</v>
      </c>
      <c r="D596" t="s">
        <v>21</v>
      </c>
      <c r="E596" t="s">
        <v>19</v>
      </c>
      <c r="F596" s="27">
        <v>45791</v>
      </c>
      <c r="G596">
        <v>8</v>
      </c>
      <c r="H596">
        <v>8</v>
      </c>
      <c r="I596" t="s">
        <v>463</v>
      </c>
      <c r="J596" s="27">
        <v>45805</v>
      </c>
      <c r="L596" s="29">
        <v>1975.5747125</v>
      </c>
      <c r="M596" s="29">
        <v>15804.5977</v>
      </c>
      <c r="N596" s="15">
        <v>45778</v>
      </c>
    </row>
    <row r="597" spans="1:14" x14ac:dyDescent="0.25">
      <c r="A597">
        <v>421992</v>
      </c>
      <c r="B597" t="s">
        <v>18</v>
      </c>
      <c r="C597">
        <v>32</v>
      </c>
      <c r="D597" t="s">
        <v>27</v>
      </c>
      <c r="E597" t="s">
        <v>19</v>
      </c>
      <c r="F597" s="27">
        <v>45791</v>
      </c>
      <c r="G597">
        <v>0.5</v>
      </c>
      <c r="H597">
        <v>0.5</v>
      </c>
      <c r="I597" t="s">
        <v>411</v>
      </c>
      <c r="J597" s="27">
        <v>45806</v>
      </c>
      <c r="L597" s="29">
        <v>702.4265645833334</v>
      </c>
      <c r="M597" s="29">
        <v>351.2132822916667</v>
      </c>
      <c r="N597" s="15">
        <v>45778</v>
      </c>
    </row>
    <row r="598" spans="1:14" x14ac:dyDescent="0.25">
      <c r="A598">
        <v>417404</v>
      </c>
      <c r="B598" t="s">
        <v>24</v>
      </c>
      <c r="C598">
        <v>54162</v>
      </c>
      <c r="D598" t="s">
        <v>39</v>
      </c>
      <c r="E598" t="s">
        <v>22</v>
      </c>
      <c r="F598" s="27">
        <v>45791</v>
      </c>
      <c r="G598">
        <v>1</v>
      </c>
      <c r="H598">
        <v>1</v>
      </c>
      <c r="I598" t="s">
        <v>361</v>
      </c>
      <c r="J598" s="27">
        <v>45793</v>
      </c>
      <c r="L598" s="29">
        <v>878.03320555555558</v>
      </c>
      <c r="M598" s="29">
        <v>878.03320555555558</v>
      </c>
      <c r="N598" s="15">
        <v>45778</v>
      </c>
    </row>
    <row r="599" spans="1:14" x14ac:dyDescent="0.25">
      <c r="A599">
        <v>417407</v>
      </c>
      <c r="B599" t="s">
        <v>24</v>
      </c>
      <c r="C599">
        <v>54163</v>
      </c>
      <c r="D599" t="s">
        <v>39</v>
      </c>
      <c r="E599" t="s">
        <v>22</v>
      </c>
      <c r="F599" s="27">
        <v>45791</v>
      </c>
      <c r="G599">
        <v>32</v>
      </c>
      <c r="H599">
        <v>32</v>
      </c>
      <c r="I599" t="s">
        <v>361</v>
      </c>
      <c r="J599" s="27">
        <v>45793</v>
      </c>
      <c r="L599" s="29">
        <v>878.03320555555558</v>
      </c>
      <c r="M599" s="29">
        <v>28097.062577777779</v>
      </c>
      <c r="N599" s="15">
        <v>45778</v>
      </c>
    </row>
    <row r="600" spans="1:14" x14ac:dyDescent="0.25">
      <c r="A600">
        <v>417408</v>
      </c>
      <c r="B600" t="s">
        <v>24</v>
      </c>
      <c r="C600">
        <v>54164</v>
      </c>
      <c r="D600" t="s">
        <v>39</v>
      </c>
      <c r="E600" t="s">
        <v>22</v>
      </c>
      <c r="F600" s="27">
        <v>45791</v>
      </c>
      <c r="G600">
        <v>1</v>
      </c>
      <c r="H600">
        <v>1</v>
      </c>
      <c r="I600" t="s">
        <v>361</v>
      </c>
      <c r="J600" s="27">
        <v>45793</v>
      </c>
      <c r="L600" s="29">
        <v>878.03320555555558</v>
      </c>
      <c r="M600" s="29">
        <v>878.03320555555558</v>
      </c>
      <c r="N600" s="15">
        <v>45778</v>
      </c>
    </row>
    <row r="601" spans="1:14" x14ac:dyDescent="0.25">
      <c r="A601">
        <v>417414</v>
      </c>
      <c r="B601" t="s">
        <v>18</v>
      </c>
      <c r="C601">
        <v>31</v>
      </c>
      <c r="D601" t="s">
        <v>39</v>
      </c>
      <c r="E601" t="s">
        <v>19</v>
      </c>
      <c r="F601" s="27">
        <v>45791</v>
      </c>
      <c r="G601">
        <v>1</v>
      </c>
      <c r="H601">
        <v>1</v>
      </c>
      <c r="I601" t="s">
        <v>449</v>
      </c>
      <c r="J601" s="27">
        <v>45793</v>
      </c>
      <c r="L601" s="29">
        <v>878.03320555555558</v>
      </c>
      <c r="M601" s="29">
        <v>878.03320555555558</v>
      </c>
      <c r="N601" s="15">
        <v>45778</v>
      </c>
    </row>
    <row r="602" spans="1:14" x14ac:dyDescent="0.25">
      <c r="A602">
        <v>419210</v>
      </c>
      <c r="B602" t="s">
        <v>29</v>
      </c>
      <c r="C602">
        <v>53433</v>
      </c>
      <c r="D602" t="s">
        <v>30</v>
      </c>
      <c r="E602" t="s">
        <v>22</v>
      </c>
      <c r="F602" s="27">
        <v>45791</v>
      </c>
      <c r="G602">
        <v>8</v>
      </c>
      <c r="H602">
        <v>8</v>
      </c>
      <c r="I602" t="s">
        <v>448</v>
      </c>
      <c r="J602" s="27">
        <v>45799</v>
      </c>
      <c r="L602" s="29">
        <v>1053.6398465277778</v>
      </c>
      <c r="M602" s="29">
        <v>8429.1187722222221</v>
      </c>
      <c r="N602" s="15">
        <v>45778</v>
      </c>
    </row>
    <row r="603" spans="1:14" x14ac:dyDescent="0.25">
      <c r="A603">
        <v>432267</v>
      </c>
      <c r="B603" t="s">
        <v>18</v>
      </c>
      <c r="C603">
        <v>34</v>
      </c>
      <c r="D603" t="s">
        <v>26</v>
      </c>
      <c r="E603" t="s">
        <v>19</v>
      </c>
      <c r="F603" s="27">
        <v>45791</v>
      </c>
      <c r="G603">
        <v>32</v>
      </c>
      <c r="H603">
        <v>32</v>
      </c>
      <c r="I603" t="s">
        <v>472</v>
      </c>
      <c r="J603" s="27">
        <v>45836</v>
      </c>
      <c r="L603" s="29">
        <v>1141.4431673611111</v>
      </c>
      <c r="M603" s="29">
        <v>36526.181355555556</v>
      </c>
      <c r="N603" s="15">
        <v>45778</v>
      </c>
    </row>
    <row r="604" spans="1:14" x14ac:dyDescent="0.25">
      <c r="A604">
        <v>419256</v>
      </c>
      <c r="B604" t="s">
        <v>29</v>
      </c>
      <c r="C604">
        <v>54373</v>
      </c>
      <c r="D604" t="s">
        <v>44</v>
      </c>
      <c r="E604" t="s">
        <v>22</v>
      </c>
      <c r="F604" s="27">
        <v>45791</v>
      </c>
      <c r="G604">
        <v>8</v>
      </c>
      <c r="H604">
        <v>8</v>
      </c>
      <c r="I604" t="s">
        <v>470</v>
      </c>
      <c r="J604" s="27">
        <v>45799</v>
      </c>
      <c r="L604" s="29">
        <v>2458.4929756944443</v>
      </c>
      <c r="M604" s="29">
        <v>19667.943805555555</v>
      </c>
      <c r="N604" s="15">
        <v>45778</v>
      </c>
    </row>
    <row r="605" spans="1:14" x14ac:dyDescent="0.25">
      <c r="A605">
        <v>416974</v>
      </c>
      <c r="B605" t="s">
        <v>952</v>
      </c>
      <c r="C605">
        <v>53172</v>
      </c>
      <c r="D605" t="s">
        <v>41</v>
      </c>
      <c r="E605" t="s">
        <v>22</v>
      </c>
      <c r="F605" s="27">
        <v>45791</v>
      </c>
      <c r="G605">
        <v>8</v>
      </c>
      <c r="H605">
        <v>8</v>
      </c>
      <c r="I605" t="s">
        <v>997</v>
      </c>
      <c r="J605" s="27">
        <v>45792</v>
      </c>
      <c r="L605" s="29">
        <v>1756.0664111111112</v>
      </c>
      <c r="M605" s="29">
        <v>14048.531288888889</v>
      </c>
      <c r="N605" s="15">
        <v>45778</v>
      </c>
    </row>
    <row r="606" spans="1:14" x14ac:dyDescent="0.25">
      <c r="A606">
        <v>417291</v>
      </c>
      <c r="B606" t="s">
        <v>31</v>
      </c>
      <c r="C606">
        <v>13969</v>
      </c>
      <c r="D606" t="s">
        <v>46</v>
      </c>
      <c r="E606" t="s">
        <v>19</v>
      </c>
      <c r="F606" s="27">
        <v>45790</v>
      </c>
      <c r="G606">
        <v>0.5</v>
      </c>
      <c r="H606">
        <v>0.5</v>
      </c>
      <c r="I606" t="s">
        <v>331</v>
      </c>
      <c r="J606" s="27">
        <v>45793</v>
      </c>
      <c r="L606" s="29">
        <v>1317.0498083333334</v>
      </c>
      <c r="M606" s="29">
        <v>658.52490416666672</v>
      </c>
      <c r="N606" s="15">
        <v>45778</v>
      </c>
    </row>
    <row r="607" spans="1:14" x14ac:dyDescent="0.25">
      <c r="A607">
        <v>421202</v>
      </c>
      <c r="B607" t="s">
        <v>18</v>
      </c>
      <c r="C607">
        <v>17</v>
      </c>
      <c r="D607" t="s">
        <v>21</v>
      </c>
      <c r="E607" t="s">
        <v>19</v>
      </c>
      <c r="F607" s="27">
        <v>45790</v>
      </c>
      <c r="G607">
        <v>8</v>
      </c>
      <c r="H607">
        <v>8</v>
      </c>
      <c r="I607" t="s">
        <v>463</v>
      </c>
      <c r="J607" s="27">
        <v>45805</v>
      </c>
      <c r="L607" s="29">
        <v>1975.5747125</v>
      </c>
      <c r="M607" s="29">
        <v>15804.5977</v>
      </c>
      <c r="N607" s="15">
        <v>45778</v>
      </c>
    </row>
    <row r="608" spans="1:14" x14ac:dyDescent="0.25">
      <c r="A608">
        <v>417390</v>
      </c>
      <c r="B608" t="s">
        <v>29</v>
      </c>
      <c r="C608">
        <v>52585</v>
      </c>
      <c r="D608" t="s">
        <v>39</v>
      </c>
      <c r="E608" t="s">
        <v>22</v>
      </c>
      <c r="F608" s="27">
        <v>45790</v>
      </c>
      <c r="G608">
        <v>4</v>
      </c>
      <c r="H608">
        <v>4</v>
      </c>
      <c r="I608" t="s">
        <v>436</v>
      </c>
      <c r="J608" s="27">
        <v>45793</v>
      </c>
      <c r="L608" s="29">
        <v>878.03320555555558</v>
      </c>
      <c r="M608" s="29">
        <v>3512.1328222222223</v>
      </c>
      <c r="N608" s="15">
        <v>45778</v>
      </c>
    </row>
    <row r="609" spans="1:14" x14ac:dyDescent="0.25">
      <c r="A609">
        <v>417403</v>
      </c>
      <c r="B609" t="s">
        <v>24</v>
      </c>
      <c r="C609">
        <v>54161</v>
      </c>
      <c r="D609" t="s">
        <v>39</v>
      </c>
      <c r="E609" t="s">
        <v>22</v>
      </c>
      <c r="F609" s="27">
        <v>45790</v>
      </c>
      <c r="G609">
        <v>5</v>
      </c>
      <c r="H609">
        <v>5</v>
      </c>
      <c r="I609" t="s">
        <v>361</v>
      </c>
      <c r="J609" s="27">
        <v>45793</v>
      </c>
      <c r="L609" s="29">
        <v>878.03320555555558</v>
      </c>
      <c r="M609" s="29">
        <v>4390.1660277777783</v>
      </c>
      <c r="N609" s="15">
        <v>45778</v>
      </c>
    </row>
    <row r="610" spans="1:14" x14ac:dyDescent="0.25">
      <c r="A610">
        <v>417413</v>
      </c>
      <c r="B610" t="s">
        <v>18</v>
      </c>
      <c r="C610">
        <v>31</v>
      </c>
      <c r="D610" t="s">
        <v>39</v>
      </c>
      <c r="E610" t="s">
        <v>19</v>
      </c>
      <c r="F610" s="27">
        <v>45790</v>
      </c>
      <c r="G610">
        <v>1</v>
      </c>
      <c r="H610">
        <v>1</v>
      </c>
      <c r="I610" t="s">
        <v>449</v>
      </c>
      <c r="J610" s="27">
        <v>45793</v>
      </c>
      <c r="L610" s="29">
        <v>878.03320555555558</v>
      </c>
      <c r="M610" s="29">
        <v>878.03320555555558</v>
      </c>
      <c r="N610" s="15">
        <v>45778</v>
      </c>
    </row>
    <row r="611" spans="1:14" x14ac:dyDescent="0.25">
      <c r="A611">
        <v>419208</v>
      </c>
      <c r="B611" t="s">
        <v>29</v>
      </c>
      <c r="C611">
        <v>53433</v>
      </c>
      <c r="D611" t="s">
        <v>30</v>
      </c>
      <c r="E611" t="s">
        <v>22</v>
      </c>
      <c r="F611" s="27">
        <v>45790</v>
      </c>
      <c r="G611">
        <v>8</v>
      </c>
      <c r="H611">
        <v>8</v>
      </c>
      <c r="I611" t="s">
        <v>448</v>
      </c>
      <c r="J611" s="27">
        <v>45799</v>
      </c>
      <c r="L611" s="29">
        <v>1053.6398465277778</v>
      </c>
      <c r="M611" s="29">
        <v>8429.1187722222221</v>
      </c>
      <c r="N611" s="15">
        <v>45778</v>
      </c>
    </row>
    <row r="612" spans="1:14" x14ac:dyDescent="0.25">
      <c r="A612">
        <v>427173</v>
      </c>
      <c r="B612" t="s">
        <v>270</v>
      </c>
      <c r="C612">
        <v>53943</v>
      </c>
      <c r="D612" t="s">
        <v>41</v>
      </c>
      <c r="E612" t="s">
        <v>22</v>
      </c>
      <c r="F612" s="27">
        <v>45790</v>
      </c>
      <c r="G612">
        <v>8</v>
      </c>
      <c r="H612">
        <v>8</v>
      </c>
      <c r="I612" t="s">
        <v>473</v>
      </c>
      <c r="J612" s="27">
        <v>45819</v>
      </c>
      <c r="L612" s="29">
        <v>1756.0664111111112</v>
      </c>
      <c r="M612" s="29">
        <v>14048.531288888889</v>
      </c>
      <c r="N612" s="15">
        <v>45778</v>
      </c>
    </row>
    <row r="613" spans="1:14" x14ac:dyDescent="0.25">
      <c r="A613">
        <v>416437</v>
      </c>
      <c r="B613" t="s">
        <v>28</v>
      </c>
      <c r="C613">
        <v>51263</v>
      </c>
      <c r="D613" t="s">
        <v>27</v>
      </c>
      <c r="E613" t="s">
        <v>22</v>
      </c>
      <c r="F613" s="27">
        <v>45790</v>
      </c>
      <c r="G613">
        <v>10</v>
      </c>
      <c r="H613">
        <v>10</v>
      </c>
      <c r="I613" t="s">
        <v>474</v>
      </c>
      <c r="J613" s="27">
        <v>45790</v>
      </c>
      <c r="L613" s="29">
        <v>702.4265645833334</v>
      </c>
      <c r="M613" s="29">
        <v>7024.265645833334</v>
      </c>
      <c r="N613" s="15">
        <v>45778</v>
      </c>
    </row>
    <row r="614" spans="1:14" x14ac:dyDescent="0.25">
      <c r="A614">
        <v>419255</v>
      </c>
      <c r="B614" t="s">
        <v>29</v>
      </c>
      <c r="C614">
        <v>54373</v>
      </c>
      <c r="D614" t="s">
        <v>44</v>
      </c>
      <c r="E614" t="s">
        <v>22</v>
      </c>
      <c r="F614" s="27">
        <v>45790</v>
      </c>
      <c r="G614">
        <v>16</v>
      </c>
      <c r="H614">
        <v>16</v>
      </c>
      <c r="I614" t="s">
        <v>475</v>
      </c>
      <c r="J614" s="27">
        <v>45799</v>
      </c>
      <c r="L614" s="29">
        <v>2458.4929756944443</v>
      </c>
      <c r="M614" s="29">
        <v>39335.887611111109</v>
      </c>
      <c r="N614" s="15">
        <v>45778</v>
      </c>
    </row>
    <row r="615" spans="1:14" x14ac:dyDescent="0.25">
      <c r="A615">
        <v>421201</v>
      </c>
      <c r="B615" t="s">
        <v>18</v>
      </c>
      <c r="C615">
        <v>17</v>
      </c>
      <c r="D615" t="s">
        <v>21</v>
      </c>
      <c r="E615" t="s">
        <v>19</v>
      </c>
      <c r="F615" s="27">
        <v>45789</v>
      </c>
      <c r="G615">
        <v>8</v>
      </c>
      <c r="H615">
        <v>8</v>
      </c>
      <c r="I615" t="s">
        <v>463</v>
      </c>
      <c r="J615" s="27">
        <v>45805</v>
      </c>
      <c r="L615" s="29">
        <v>1975.5747125</v>
      </c>
      <c r="M615" s="29">
        <v>15804.5977</v>
      </c>
      <c r="N615" s="15">
        <v>45778</v>
      </c>
    </row>
    <row r="616" spans="1:14" x14ac:dyDescent="0.25">
      <c r="A616">
        <v>421984</v>
      </c>
      <c r="B616" t="s">
        <v>18</v>
      </c>
      <c r="C616">
        <v>32</v>
      </c>
      <c r="D616" t="s">
        <v>27</v>
      </c>
      <c r="E616" t="s">
        <v>19</v>
      </c>
      <c r="F616" s="27">
        <v>45789</v>
      </c>
      <c r="G616">
        <v>0.5</v>
      </c>
      <c r="H616">
        <v>0.5</v>
      </c>
      <c r="I616" t="s">
        <v>411</v>
      </c>
      <c r="J616" s="27">
        <v>45806</v>
      </c>
      <c r="L616" s="29">
        <v>702.4265645833334</v>
      </c>
      <c r="M616" s="29">
        <v>351.2132822916667</v>
      </c>
      <c r="N616" s="15">
        <v>45778</v>
      </c>
    </row>
    <row r="617" spans="1:14" x14ac:dyDescent="0.25">
      <c r="A617">
        <v>417379</v>
      </c>
      <c r="B617" t="s">
        <v>29</v>
      </c>
      <c r="C617">
        <v>52585</v>
      </c>
      <c r="D617" t="s">
        <v>39</v>
      </c>
      <c r="E617" t="s">
        <v>22</v>
      </c>
      <c r="F617" s="27">
        <v>45789</v>
      </c>
      <c r="G617">
        <v>4</v>
      </c>
      <c r="H617">
        <v>4</v>
      </c>
      <c r="I617" t="s">
        <v>436</v>
      </c>
      <c r="J617" s="27">
        <v>45793</v>
      </c>
      <c r="L617" s="29">
        <v>878.03320555555558</v>
      </c>
      <c r="M617" s="29">
        <v>3512.1328222222223</v>
      </c>
      <c r="N617" s="15">
        <v>45778</v>
      </c>
    </row>
    <row r="618" spans="1:14" x14ac:dyDescent="0.25">
      <c r="A618">
        <v>421990</v>
      </c>
      <c r="B618" t="s">
        <v>18</v>
      </c>
      <c r="C618">
        <v>34</v>
      </c>
      <c r="D618" t="s">
        <v>27</v>
      </c>
      <c r="E618" t="s">
        <v>19</v>
      </c>
      <c r="F618" s="27">
        <v>45789</v>
      </c>
      <c r="G618">
        <v>3</v>
      </c>
      <c r="H618">
        <v>3</v>
      </c>
      <c r="I618" t="s">
        <v>441</v>
      </c>
      <c r="J618" s="27">
        <v>45806</v>
      </c>
      <c r="L618" s="29">
        <v>702.4265645833334</v>
      </c>
      <c r="M618" s="29">
        <v>2107.2796937500002</v>
      </c>
      <c r="N618" s="15">
        <v>45778</v>
      </c>
    </row>
    <row r="619" spans="1:14" x14ac:dyDescent="0.25">
      <c r="A619">
        <v>417402</v>
      </c>
      <c r="B619" t="s">
        <v>24</v>
      </c>
      <c r="C619">
        <v>54160</v>
      </c>
      <c r="D619" t="s">
        <v>39</v>
      </c>
      <c r="E619" t="s">
        <v>22</v>
      </c>
      <c r="F619" s="27">
        <v>45789</v>
      </c>
      <c r="G619">
        <v>3</v>
      </c>
      <c r="H619">
        <v>3</v>
      </c>
      <c r="I619" t="s">
        <v>361</v>
      </c>
      <c r="J619" s="27">
        <v>45793</v>
      </c>
      <c r="L619" s="29">
        <v>878.03320555555558</v>
      </c>
      <c r="M619" s="29">
        <v>2634.0996166666669</v>
      </c>
      <c r="N619" s="15">
        <v>45778</v>
      </c>
    </row>
    <row r="620" spans="1:14" x14ac:dyDescent="0.25">
      <c r="A620">
        <v>417412</v>
      </c>
      <c r="B620" t="s">
        <v>18</v>
      </c>
      <c r="C620">
        <v>31</v>
      </c>
      <c r="D620" t="s">
        <v>39</v>
      </c>
      <c r="E620" t="s">
        <v>19</v>
      </c>
      <c r="F620" s="27">
        <v>45789</v>
      </c>
      <c r="G620">
        <v>1</v>
      </c>
      <c r="H620">
        <v>1</v>
      </c>
      <c r="I620" t="s">
        <v>449</v>
      </c>
      <c r="J620" s="27">
        <v>45793</v>
      </c>
      <c r="L620" s="29">
        <v>878.03320555555558</v>
      </c>
      <c r="M620" s="29">
        <v>878.03320555555558</v>
      </c>
      <c r="N620" s="15">
        <v>45778</v>
      </c>
    </row>
    <row r="621" spans="1:14" x14ac:dyDescent="0.25">
      <c r="A621">
        <v>419207</v>
      </c>
      <c r="B621" t="s">
        <v>29</v>
      </c>
      <c r="C621">
        <v>53433</v>
      </c>
      <c r="D621" t="s">
        <v>30</v>
      </c>
      <c r="E621" t="s">
        <v>22</v>
      </c>
      <c r="F621" s="27">
        <v>45789</v>
      </c>
      <c r="G621">
        <v>8</v>
      </c>
      <c r="H621">
        <v>8</v>
      </c>
      <c r="I621" t="s">
        <v>448</v>
      </c>
      <c r="J621" s="27">
        <v>45799</v>
      </c>
      <c r="L621" s="29">
        <v>1053.6398465277778</v>
      </c>
      <c r="M621" s="29">
        <v>8429.1187722222221</v>
      </c>
      <c r="N621" s="15">
        <v>45778</v>
      </c>
    </row>
    <row r="622" spans="1:14" x14ac:dyDescent="0.25">
      <c r="A622">
        <v>427172</v>
      </c>
      <c r="B622" t="s">
        <v>270</v>
      </c>
      <c r="C622">
        <v>53943</v>
      </c>
      <c r="D622" t="s">
        <v>41</v>
      </c>
      <c r="E622" t="s">
        <v>22</v>
      </c>
      <c r="F622" s="27">
        <v>45789</v>
      </c>
      <c r="G622">
        <v>8</v>
      </c>
      <c r="H622">
        <v>8</v>
      </c>
      <c r="I622" t="s">
        <v>473</v>
      </c>
      <c r="J622" s="27">
        <v>45819</v>
      </c>
      <c r="L622" s="29">
        <v>1756.0664111111112</v>
      </c>
      <c r="M622" s="29">
        <v>14048.531288888889</v>
      </c>
      <c r="N622" s="15">
        <v>45778</v>
      </c>
    </row>
    <row r="623" spans="1:14" x14ac:dyDescent="0.25">
      <c r="A623">
        <v>416438</v>
      </c>
      <c r="B623" t="s">
        <v>28</v>
      </c>
      <c r="C623">
        <v>51263</v>
      </c>
      <c r="D623" t="s">
        <v>27</v>
      </c>
      <c r="E623" t="s">
        <v>22</v>
      </c>
      <c r="F623" s="27">
        <v>45789</v>
      </c>
      <c r="G623">
        <v>3</v>
      </c>
      <c r="H623">
        <v>3</v>
      </c>
      <c r="I623" t="s">
        <v>476</v>
      </c>
      <c r="J623" s="27">
        <v>45790</v>
      </c>
      <c r="L623" s="29">
        <v>702.4265645833334</v>
      </c>
      <c r="M623" s="29">
        <v>2107.2796937500002</v>
      </c>
      <c r="N623" s="15">
        <v>45778</v>
      </c>
    </row>
    <row r="624" spans="1:14" x14ac:dyDescent="0.25">
      <c r="A624">
        <v>415561</v>
      </c>
      <c r="B624" t="s">
        <v>952</v>
      </c>
      <c r="C624">
        <v>53893</v>
      </c>
      <c r="D624" t="s">
        <v>33</v>
      </c>
      <c r="E624" t="s">
        <v>22</v>
      </c>
      <c r="F624" s="27">
        <v>45785</v>
      </c>
      <c r="G624">
        <v>19</v>
      </c>
      <c r="H624">
        <v>19</v>
      </c>
      <c r="I624" t="s">
        <v>998</v>
      </c>
      <c r="J624" s="27">
        <v>45785</v>
      </c>
      <c r="L624" s="29">
        <v>2195.0830138888891</v>
      </c>
      <c r="M624" s="29">
        <v>41706.577263888896</v>
      </c>
      <c r="N624" s="15">
        <v>45778</v>
      </c>
    </row>
    <row r="625" spans="1:14" x14ac:dyDescent="0.25">
      <c r="A625">
        <v>416271</v>
      </c>
      <c r="B625" t="s">
        <v>952</v>
      </c>
      <c r="C625">
        <v>53172</v>
      </c>
      <c r="D625" t="s">
        <v>41</v>
      </c>
      <c r="E625" t="s">
        <v>22</v>
      </c>
      <c r="F625" s="27">
        <v>45784</v>
      </c>
      <c r="G625">
        <v>4</v>
      </c>
      <c r="H625">
        <v>4</v>
      </c>
      <c r="I625" t="s">
        <v>999</v>
      </c>
      <c r="J625" s="27">
        <v>45790</v>
      </c>
      <c r="L625" s="29">
        <v>1756.0664111111112</v>
      </c>
      <c r="M625" s="29">
        <v>7024.2656444444447</v>
      </c>
      <c r="N625" s="15">
        <v>45778</v>
      </c>
    </row>
    <row r="626" spans="1:14" x14ac:dyDescent="0.25">
      <c r="A626">
        <v>415577</v>
      </c>
      <c r="B626" t="s">
        <v>952</v>
      </c>
      <c r="C626">
        <v>53893</v>
      </c>
      <c r="D626" t="s">
        <v>33</v>
      </c>
      <c r="E626" t="s">
        <v>22</v>
      </c>
      <c r="F626" s="27">
        <v>45784</v>
      </c>
      <c r="G626">
        <v>21.5</v>
      </c>
      <c r="H626">
        <v>21.5</v>
      </c>
      <c r="I626" t="s">
        <v>1000</v>
      </c>
      <c r="J626" s="27">
        <v>45786</v>
      </c>
      <c r="L626" s="29">
        <v>2195.0830138888891</v>
      </c>
      <c r="M626" s="29">
        <v>47194.284798611116</v>
      </c>
      <c r="N626" s="15">
        <v>45778</v>
      </c>
    </row>
    <row r="627" spans="1:14" x14ac:dyDescent="0.25">
      <c r="A627">
        <v>417376</v>
      </c>
      <c r="B627" t="s">
        <v>29</v>
      </c>
      <c r="C627">
        <v>53425</v>
      </c>
      <c r="D627" t="s">
        <v>39</v>
      </c>
      <c r="E627" t="s">
        <v>22</v>
      </c>
      <c r="F627" s="27">
        <v>45784</v>
      </c>
      <c r="G627">
        <v>8</v>
      </c>
      <c r="H627">
        <v>8</v>
      </c>
      <c r="I627" t="s">
        <v>465</v>
      </c>
      <c r="J627" s="27">
        <v>45793</v>
      </c>
      <c r="L627" s="29">
        <v>878.03320555555558</v>
      </c>
      <c r="M627" s="29">
        <v>7024.2656444444447</v>
      </c>
      <c r="N627" s="15">
        <v>45778</v>
      </c>
    </row>
    <row r="628" spans="1:14" x14ac:dyDescent="0.25">
      <c r="A628">
        <v>423553</v>
      </c>
      <c r="B628" t="s">
        <v>20</v>
      </c>
      <c r="C628">
        <v>52830</v>
      </c>
      <c r="D628" t="s">
        <v>21</v>
      </c>
      <c r="E628" t="s">
        <v>22</v>
      </c>
      <c r="F628" s="27">
        <v>45784</v>
      </c>
      <c r="G628">
        <v>1</v>
      </c>
      <c r="H628">
        <v>1</v>
      </c>
      <c r="I628" t="s">
        <v>477</v>
      </c>
      <c r="J628" s="27">
        <v>45810</v>
      </c>
      <c r="L628" s="29">
        <v>1975.5747125</v>
      </c>
      <c r="M628" s="29">
        <v>1975.5747125</v>
      </c>
      <c r="N628" s="15">
        <v>45778</v>
      </c>
    </row>
    <row r="629" spans="1:14" x14ac:dyDescent="0.25">
      <c r="A629">
        <v>423554</v>
      </c>
      <c r="B629" t="s">
        <v>20</v>
      </c>
      <c r="C629">
        <v>52830</v>
      </c>
      <c r="D629" t="s">
        <v>21</v>
      </c>
      <c r="E629" t="s">
        <v>22</v>
      </c>
      <c r="F629" s="27">
        <v>45784</v>
      </c>
      <c r="G629">
        <v>1</v>
      </c>
      <c r="H629">
        <v>1</v>
      </c>
      <c r="I629" t="s">
        <v>478</v>
      </c>
      <c r="J629" s="27">
        <v>45810</v>
      </c>
      <c r="L629" s="29">
        <v>1975.5747125</v>
      </c>
      <c r="M629" s="29">
        <v>1975.5747125</v>
      </c>
      <c r="N629" s="15">
        <v>45778</v>
      </c>
    </row>
    <row r="630" spans="1:14" x14ac:dyDescent="0.25">
      <c r="A630">
        <v>423557</v>
      </c>
      <c r="B630" t="s">
        <v>20</v>
      </c>
      <c r="C630">
        <v>52830</v>
      </c>
      <c r="D630" t="s">
        <v>21</v>
      </c>
      <c r="E630" t="s">
        <v>22</v>
      </c>
      <c r="F630" s="27">
        <v>45784</v>
      </c>
      <c r="G630">
        <v>3</v>
      </c>
      <c r="H630">
        <v>3</v>
      </c>
      <c r="I630" t="s">
        <v>479</v>
      </c>
      <c r="J630" s="27">
        <v>45810</v>
      </c>
      <c r="L630" s="29">
        <v>1975.5747125</v>
      </c>
      <c r="M630" s="29">
        <v>5926.7241375000003</v>
      </c>
      <c r="N630" s="15">
        <v>45778</v>
      </c>
    </row>
    <row r="631" spans="1:14" x14ac:dyDescent="0.25">
      <c r="A631">
        <v>416444</v>
      </c>
      <c r="B631" t="s">
        <v>28</v>
      </c>
      <c r="C631">
        <v>51263</v>
      </c>
      <c r="D631" t="s">
        <v>27</v>
      </c>
      <c r="E631" t="s">
        <v>22</v>
      </c>
      <c r="F631" s="27">
        <v>45784</v>
      </c>
      <c r="G631">
        <v>5</v>
      </c>
      <c r="H631">
        <v>5</v>
      </c>
      <c r="I631" t="s">
        <v>474</v>
      </c>
      <c r="J631" s="27">
        <v>45790</v>
      </c>
      <c r="L631" s="29">
        <v>702.4265645833334</v>
      </c>
      <c r="M631" s="29">
        <v>3512.132822916667</v>
      </c>
      <c r="N631" s="15">
        <v>45778</v>
      </c>
    </row>
    <row r="632" spans="1:14" x14ac:dyDescent="0.25">
      <c r="A632">
        <v>416447</v>
      </c>
      <c r="B632" t="s">
        <v>18</v>
      </c>
      <c r="C632">
        <v>34</v>
      </c>
      <c r="D632" t="s">
        <v>27</v>
      </c>
      <c r="E632" t="s">
        <v>19</v>
      </c>
      <c r="F632" s="27">
        <v>45784</v>
      </c>
      <c r="G632">
        <v>3</v>
      </c>
      <c r="H632">
        <v>3</v>
      </c>
      <c r="I632" t="s">
        <v>441</v>
      </c>
      <c r="J632" s="27">
        <v>45790</v>
      </c>
      <c r="L632" s="29">
        <v>702.4265645833334</v>
      </c>
      <c r="M632" s="29">
        <v>2107.2796937500002</v>
      </c>
      <c r="N632" s="15">
        <v>45778</v>
      </c>
    </row>
    <row r="633" spans="1:14" x14ac:dyDescent="0.25">
      <c r="A633">
        <v>423880</v>
      </c>
      <c r="B633" t="s">
        <v>29</v>
      </c>
      <c r="C633">
        <v>53333</v>
      </c>
      <c r="D633" t="s">
        <v>44</v>
      </c>
      <c r="E633" t="s">
        <v>22</v>
      </c>
      <c r="F633" s="27">
        <v>45784</v>
      </c>
      <c r="G633">
        <v>1.5</v>
      </c>
      <c r="H633">
        <v>1.5</v>
      </c>
      <c r="I633" t="s">
        <v>480</v>
      </c>
      <c r="J633" s="27">
        <v>45810</v>
      </c>
      <c r="L633" s="29">
        <v>2458.4929756944443</v>
      </c>
      <c r="M633" s="29">
        <v>3687.7394635416667</v>
      </c>
      <c r="N633" s="15">
        <v>45778</v>
      </c>
    </row>
    <row r="634" spans="1:14" x14ac:dyDescent="0.25">
      <c r="A634">
        <v>416270</v>
      </c>
      <c r="B634" t="s">
        <v>952</v>
      </c>
      <c r="C634">
        <v>53172</v>
      </c>
      <c r="D634" t="s">
        <v>41</v>
      </c>
      <c r="E634" t="s">
        <v>22</v>
      </c>
      <c r="F634" s="27">
        <v>45783</v>
      </c>
      <c r="G634">
        <v>4</v>
      </c>
      <c r="H634">
        <v>4</v>
      </c>
      <c r="I634" t="s">
        <v>1001</v>
      </c>
      <c r="J634" s="27">
        <v>45790</v>
      </c>
      <c r="L634" s="29">
        <v>1756.0664111111112</v>
      </c>
      <c r="M634" s="29">
        <v>7024.2656444444447</v>
      </c>
      <c r="N634" s="15">
        <v>45778</v>
      </c>
    </row>
    <row r="635" spans="1:14" x14ac:dyDescent="0.25">
      <c r="A635">
        <v>414518</v>
      </c>
      <c r="B635" t="s">
        <v>29</v>
      </c>
      <c r="C635">
        <v>53425</v>
      </c>
      <c r="D635" t="s">
        <v>39</v>
      </c>
      <c r="E635" t="s">
        <v>22</v>
      </c>
      <c r="F635" s="27">
        <v>45783</v>
      </c>
      <c r="G635">
        <v>8</v>
      </c>
      <c r="H635">
        <v>8</v>
      </c>
      <c r="I635" t="s">
        <v>465</v>
      </c>
      <c r="J635" s="27">
        <v>45783</v>
      </c>
      <c r="L635" s="29">
        <v>878.03320555555558</v>
      </c>
      <c r="M635" s="29">
        <v>7024.2656444444447</v>
      </c>
      <c r="N635" s="15">
        <v>45778</v>
      </c>
    </row>
    <row r="636" spans="1:14" x14ac:dyDescent="0.25">
      <c r="A636">
        <v>422998</v>
      </c>
      <c r="B636" t="s">
        <v>31</v>
      </c>
      <c r="C636">
        <v>13970</v>
      </c>
      <c r="D636" t="s">
        <v>49</v>
      </c>
      <c r="E636" t="s">
        <v>19</v>
      </c>
      <c r="F636" s="27">
        <v>45783</v>
      </c>
      <c r="G636">
        <v>12.5</v>
      </c>
      <c r="H636">
        <v>12.5</v>
      </c>
      <c r="I636" t="s">
        <v>481</v>
      </c>
      <c r="J636" s="27">
        <v>45809</v>
      </c>
      <c r="L636" s="29">
        <v>1317.0498083333334</v>
      </c>
      <c r="M636" s="29">
        <v>16463.122604166667</v>
      </c>
      <c r="N636" s="15">
        <v>45778</v>
      </c>
    </row>
    <row r="637" spans="1:14" x14ac:dyDescent="0.25">
      <c r="A637">
        <v>423550</v>
      </c>
      <c r="B637" t="s">
        <v>20</v>
      </c>
      <c r="C637">
        <v>52830</v>
      </c>
      <c r="D637" t="s">
        <v>21</v>
      </c>
      <c r="E637" t="s">
        <v>22</v>
      </c>
      <c r="F637" s="27">
        <v>45783</v>
      </c>
      <c r="G637">
        <v>7</v>
      </c>
      <c r="H637">
        <v>7</v>
      </c>
      <c r="I637" t="s">
        <v>482</v>
      </c>
      <c r="J637" s="27">
        <v>45810</v>
      </c>
      <c r="L637" s="29">
        <v>1975.5747125</v>
      </c>
      <c r="M637" s="29">
        <v>13829.0229875</v>
      </c>
      <c r="N637" s="15">
        <v>45778</v>
      </c>
    </row>
    <row r="638" spans="1:14" x14ac:dyDescent="0.25">
      <c r="A638">
        <v>415127</v>
      </c>
      <c r="B638" t="s">
        <v>29</v>
      </c>
      <c r="C638">
        <v>53433</v>
      </c>
      <c r="D638" t="s">
        <v>30</v>
      </c>
      <c r="E638" t="s">
        <v>22</v>
      </c>
      <c r="F638" s="27">
        <v>45783</v>
      </c>
      <c r="G638">
        <v>6</v>
      </c>
      <c r="H638">
        <v>6</v>
      </c>
      <c r="I638" t="s">
        <v>448</v>
      </c>
      <c r="J638" s="27">
        <v>45784</v>
      </c>
      <c r="L638" s="29">
        <v>1053.6398465277778</v>
      </c>
      <c r="M638" s="29">
        <v>6321.8390791666661</v>
      </c>
      <c r="N638" s="15">
        <v>45778</v>
      </c>
    </row>
    <row r="639" spans="1:14" x14ac:dyDescent="0.25">
      <c r="A639">
        <v>416450</v>
      </c>
      <c r="B639" t="s">
        <v>28</v>
      </c>
      <c r="C639">
        <v>51263</v>
      </c>
      <c r="D639" t="s">
        <v>27</v>
      </c>
      <c r="E639" t="s">
        <v>22</v>
      </c>
      <c r="F639" s="27">
        <v>45783</v>
      </c>
      <c r="G639">
        <v>5</v>
      </c>
      <c r="H639">
        <v>5</v>
      </c>
      <c r="I639" t="s">
        <v>474</v>
      </c>
      <c r="J639" s="27">
        <v>45790</v>
      </c>
      <c r="L639" s="29">
        <v>702.4265645833334</v>
      </c>
      <c r="M639" s="29">
        <v>3512.132822916667</v>
      </c>
      <c r="N639" s="15">
        <v>45778</v>
      </c>
    </row>
    <row r="640" spans="1:14" x14ac:dyDescent="0.25">
      <c r="A640">
        <v>423879</v>
      </c>
      <c r="B640" t="s">
        <v>29</v>
      </c>
      <c r="C640">
        <v>53333</v>
      </c>
      <c r="D640" t="s">
        <v>44</v>
      </c>
      <c r="E640" t="s">
        <v>22</v>
      </c>
      <c r="F640" s="27">
        <v>45783</v>
      </c>
      <c r="G640">
        <v>1.5</v>
      </c>
      <c r="H640">
        <v>1.5</v>
      </c>
      <c r="I640" t="s">
        <v>480</v>
      </c>
      <c r="J640" s="27">
        <v>45810</v>
      </c>
      <c r="L640" s="29">
        <v>2458.4929756944443</v>
      </c>
      <c r="M640" s="29">
        <v>3687.7394635416667</v>
      </c>
      <c r="N640" s="15">
        <v>45778</v>
      </c>
    </row>
    <row r="641" spans="1:14" x14ac:dyDescent="0.25">
      <c r="A641">
        <v>414516</v>
      </c>
      <c r="B641" t="s">
        <v>29</v>
      </c>
      <c r="C641">
        <v>52508</v>
      </c>
      <c r="D641" t="s">
        <v>39</v>
      </c>
      <c r="E641" t="s">
        <v>22</v>
      </c>
      <c r="F641" s="27">
        <v>45782</v>
      </c>
      <c r="G641">
        <v>4</v>
      </c>
      <c r="H641">
        <v>4</v>
      </c>
      <c r="I641" t="s">
        <v>436</v>
      </c>
      <c r="J641" s="27">
        <v>45783</v>
      </c>
      <c r="L641" s="29">
        <v>878.03320555555558</v>
      </c>
      <c r="M641" s="29">
        <v>3512.1328222222223</v>
      </c>
      <c r="N641" s="15">
        <v>45778</v>
      </c>
    </row>
    <row r="642" spans="1:14" x14ac:dyDescent="0.25">
      <c r="A642">
        <v>422997</v>
      </c>
      <c r="B642" t="s">
        <v>31</v>
      </c>
      <c r="C642">
        <v>13970</v>
      </c>
      <c r="D642" t="s">
        <v>49</v>
      </c>
      <c r="E642" t="s">
        <v>19</v>
      </c>
      <c r="F642" s="27">
        <v>45782</v>
      </c>
      <c r="G642">
        <v>3.5</v>
      </c>
      <c r="H642">
        <v>3.5</v>
      </c>
      <c r="I642" t="s">
        <v>481</v>
      </c>
      <c r="J642" s="27">
        <v>45809</v>
      </c>
      <c r="L642" s="29">
        <v>1317.0498083333334</v>
      </c>
      <c r="M642" s="29">
        <v>4609.6743291666671</v>
      </c>
      <c r="N642" s="15">
        <v>45778</v>
      </c>
    </row>
    <row r="643" spans="1:14" x14ac:dyDescent="0.25">
      <c r="A643">
        <v>421983</v>
      </c>
      <c r="B643" t="s">
        <v>18</v>
      </c>
      <c r="C643">
        <v>32</v>
      </c>
      <c r="D643" t="s">
        <v>27</v>
      </c>
      <c r="E643" t="s">
        <v>19</v>
      </c>
      <c r="F643" s="27">
        <v>45782</v>
      </c>
      <c r="G643">
        <v>0.5</v>
      </c>
      <c r="H643">
        <v>0.5</v>
      </c>
      <c r="I643" t="s">
        <v>411</v>
      </c>
      <c r="J643" s="27">
        <v>45806</v>
      </c>
      <c r="L643" s="29">
        <v>702.4265645833334</v>
      </c>
      <c r="M643" s="29">
        <v>351.2132822916667</v>
      </c>
      <c r="N643" s="15">
        <v>45778</v>
      </c>
    </row>
    <row r="644" spans="1:14" x14ac:dyDescent="0.25">
      <c r="A644">
        <v>423543</v>
      </c>
      <c r="B644" t="s">
        <v>20</v>
      </c>
      <c r="C644">
        <v>52830</v>
      </c>
      <c r="D644" t="s">
        <v>21</v>
      </c>
      <c r="E644" t="s">
        <v>22</v>
      </c>
      <c r="F644" s="27">
        <v>45782</v>
      </c>
      <c r="G644">
        <v>5.5</v>
      </c>
      <c r="H644">
        <v>5.5</v>
      </c>
      <c r="I644" t="s">
        <v>483</v>
      </c>
      <c r="J644" s="27">
        <v>45810</v>
      </c>
      <c r="L644" s="29">
        <v>1975.5747125</v>
      </c>
      <c r="M644" s="29">
        <v>10865.66091875</v>
      </c>
      <c r="N644" s="15">
        <v>45778</v>
      </c>
    </row>
    <row r="645" spans="1:14" x14ac:dyDescent="0.25">
      <c r="A645">
        <v>420219</v>
      </c>
      <c r="B645" t="s">
        <v>28</v>
      </c>
      <c r="C645">
        <v>53305</v>
      </c>
      <c r="D645" t="s">
        <v>33</v>
      </c>
      <c r="E645" t="s">
        <v>22</v>
      </c>
      <c r="F645" s="27">
        <v>45782</v>
      </c>
      <c r="G645">
        <v>1</v>
      </c>
      <c r="H645">
        <v>1</v>
      </c>
      <c r="I645" t="s">
        <v>484</v>
      </c>
      <c r="J645" s="27">
        <v>45803</v>
      </c>
      <c r="L645" s="29">
        <v>2195.0830138888891</v>
      </c>
      <c r="M645" s="29">
        <v>2195.0830138888891</v>
      </c>
      <c r="N645" s="15">
        <v>45778</v>
      </c>
    </row>
    <row r="646" spans="1:14" x14ac:dyDescent="0.25">
      <c r="A646">
        <v>415125</v>
      </c>
      <c r="B646" t="s">
        <v>29</v>
      </c>
      <c r="C646">
        <v>53433</v>
      </c>
      <c r="D646" t="s">
        <v>30</v>
      </c>
      <c r="E646" t="s">
        <v>22</v>
      </c>
      <c r="F646" s="27">
        <v>45782</v>
      </c>
      <c r="G646">
        <v>8</v>
      </c>
      <c r="H646">
        <v>8</v>
      </c>
      <c r="I646" t="s">
        <v>448</v>
      </c>
      <c r="J646" s="27">
        <v>45784</v>
      </c>
      <c r="L646" s="29">
        <v>1053.6398465277778</v>
      </c>
      <c r="M646" s="29">
        <v>8429.1187722222221</v>
      </c>
      <c r="N646" s="15">
        <v>45778</v>
      </c>
    </row>
    <row r="647" spans="1:14" x14ac:dyDescent="0.25">
      <c r="A647">
        <v>423878</v>
      </c>
      <c r="B647" t="s">
        <v>29</v>
      </c>
      <c r="C647">
        <v>53333</v>
      </c>
      <c r="D647" t="s">
        <v>44</v>
      </c>
      <c r="E647" t="s">
        <v>22</v>
      </c>
      <c r="F647" s="27">
        <v>45782</v>
      </c>
      <c r="G647">
        <v>1.5</v>
      </c>
      <c r="H647">
        <v>1.5</v>
      </c>
      <c r="I647" t="s">
        <v>480</v>
      </c>
      <c r="J647" s="27">
        <v>45810</v>
      </c>
      <c r="L647" s="29">
        <v>2458.4929756944443</v>
      </c>
      <c r="M647" s="29">
        <v>3687.7394635416667</v>
      </c>
      <c r="N647" s="15">
        <v>45778</v>
      </c>
    </row>
    <row r="648" spans="1:14" x14ac:dyDescent="0.25">
      <c r="A648">
        <v>416456</v>
      </c>
      <c r="B648" t="s">
        <v>18</v>
      </c>
      <c r="C648">
        <v>34</v>
      </c>
      <c r="D648" t="s">
        <v>27</v>
      </c>
      <c r="E648" t="s">
        <v>19</v>
      </c>
      <c r="F648" s="27">
        <v>45782</v>
      </c>
      <c r="G648">
        <v>4</v>
      </c>
      <c r="H648">
        <v>4</v>
      </c>
      <c r="I648" t="s">
        <v>441</v>
      </c>
      <c r="J648" s="27">
        <v>45790</v>
      </c>
      <c r="L648" s="29">
        <v>702.4265645833334</v>
      </c>
      <c r="M648" s="29">
        <v>2809.7062583333336</v>
      </c>
      <c r="N648" s="15">
        <v>45778</v>
      </c>
    </row>
    <row r="649" spans="1:14" x14ac:dyDescent="0.25">
      <c r="A649">
        <v>432078</v>
      </c>
      <c r="B649" t="s">
        <v>31</v>
      </c>
      <c r="C649">
        <v>13969</v>
      </c>
      <c r="D649" t="s">
        <v>30</v>
      </c>
      <c r="E649" t="s">
        <v>19</v>
      </c>
      <c r="F649" s="27">
        <v>45782</v>
      </c>
      <c r="G649">
        <v>16</v>
      </c>
      <c r="H649">
        <v>16</v>
      </c>
      <c r="I649" t="s">
        <v>380</v>
      </c>
      <c r="J649" s="27">
        <v>45835</v>
      </c>
      <c r="L649" s="29">
        <v>1053.6398465277778</v>
      </c>
      <c r="M649" s="29">
        <v>16858.237544444444</v>
      </c>
      <c r="N649" s="15">
        <v>45778</v>
      </c>
    </row>
    <row r="650" spans="1:14" x14ac:dyDescent="0.25">
      <c r="A650">
        <v>414018</v>
      </c>
      <c r="B650" t="s">
        <v>18</v>
      </c>
      <c r="C650">
        <v>17</v>
      </c>
      <c r="D650" t="s">
        <v>43</v>
      </c>
      <c r="E650" t="s">
        <v>19</v>
      </c>
      <c r="F650" s="27">
        <v>45779</v>
      </c>
      <c r="G650">
        <v>8</v>
      </c>
      <c r="H650">
        <v>8</v>
      </c>
      <c r="I650" t="s">
        <v>485</v>
      </c>
      <c r="J650" s="27">
        <v>45782</v>
      </c>
      <c r="L650" s="29">
        <v>439.01660277777779</v>
      </c>
      <c r="M650" s="29">
        <v>3512.1328222222223</v>
      </c>
      <c r="N650" s="15">
        <v>45778</v>
      </c>
    </row>
    <row r="651" spans="1:14" x14ac:dyDescent="0.25">
      <c r="A651">
        <v>432264</v>
      </c>
      <c r="B651" t="s">
        <v>250</v>
      </c>
      <c r="C651">
        <v>7176</v>
      </c>
      <c r="D651" t="s">
        <v>26</v>
      </c>
      <c r="E651" t="s">
        <v>22</v>
      </c>
      <c r="F651" s="27">
        <v>45779</v>
      </c>
      <c r="G651">
        <v>6</v>
      </c>
      <c r="H651">
        <v>6</v>
      </c>
      <c r="I651" t="s">
        <v>292</v>
      </c>
      <c r="J651" s="27">
        <v>45836</v>
      </c>
      <c r="L651" s="29">
        <v>1141.4431673611111</v>
      </c>
      <c r="M651" s="29">
        <v>6848.6590041666668</v>
      </c>
      <c r="N651" s="15">
        <v>45778</v>
      </c>
    </row>
    <row r="652" spans="1:14" x14ac:dyDescent="0.25">
      <c r="A652">
        <v>414017</v>
      </c>
      <c r="B652" t="s">
        <v>18</v>
      </c>
      <c r="C652">
        <v>17</v>
      </c>
      <c r="D652" t="s">
        <v>43</v>
      </c>
      <c r="E652" t="s">
        <v>19</v>
      </c>
      <c r="F652" s="27">
        <v>45778</v>
      </c>
      <c r="G652">
        <v>8</v>
      </c>
      <c r="H652">
        <v>8</v>
      </c>
      <c r="I652" t="s">
        <v>485</v>
      </c>
      <c r="J652" s="27">
        <v>45782</v>
      </c>
      <c r="L652" s="29">
        <v>439.01660277777779</v>
      </c>
      <c r="M652" s="29">
        <v>3512.1328222222223</v>
      </c>
      <c r="N652" s="15">
        <v>45778</v>
      </c>
    </row>
    <row r="653" spans="1:14" x14ac:dyDescent="0.25">
      <c r="A653">
        <v>412996</v>
      </c>
      <c r="B653" t="s">
        <v>34</v>
      </c>
      <c r="C653">
        <v>21152</v>
      </c>
      <c r="D653" t="s">
        <v>32</v>
      </c>
      <c r="E653" t="s">
        <v>19</v>
      </c>
      <c r="F653" s="27">
        <v>45777</v>
      </c>
      <c r="G653">
        <v>53</v>
      </c>
      <c r="H653">
        <v>53</v>
      </c>
      <c r="I653" t="s">
        <v>487</v>
      </c>
      <c r="J653" s="27">
        <v>45777</v>
      </c>
      <c r="L653" s="29">
        <v>2155.1724136363637</v>
      </c>
      <c r="M653" s="29">
        <v>114224.13792272727</v>
      </c>
      <c r="N653" s="15">
        <v>45748</v>
      </c>
    </row>
    <row r="654" spans="1:14" x14ac:dyDescent="0.25">
      <c r="A654">
        <v>412240</v>
      </c>
      <c r="B654" t="s">
        <v>20</v>
      </c>
      <c r="C654">
        <v>52830</v>
      </c>
      <c r="D654" t="s">
        <v>21</v>
      </c>
      <c r="E654" t="s">
        <v>22</v>
      </c>
      <c r="F654" s="27">
        <v>45777</v>
      </c>
      <c r="G654">
        <v>2</v>
      </c>
      <c r="H654">
        <v>2</v>
      </c>
      <c r="I654" t="s">
        <v>488</v>
      </c>
      <c r="J654" s="27">
        <v>45777</v>
      </c>
      <c r="L654" s="29">
        <v>1616.3793102272728</v>
      </c>
      <c r="M654" s="29">
        <v>3232.7586204545455</v>
      </c>
      <c r="N654" s="15">
        <v>45748</v>
      </c>
    </row>
    <row r="655" spans="1:14" x14ac:dyDescent="0.25">
      <c r="A655">
        <v>413024</v>
      </c>
      <c r="B655" t="s">
        <v>35</v>
      </c>
      <c r="C655">
        <v>47572</v>
      </c>
      <c r="D655" t="s">
        <v>46</v>
      </c>
      <c r="E655" t="s">
        <v>22</v>
      </c>
      <c r="F655" s="27">
        <v>45777</v>
      </c>
      <c r="G655">
        <v>0.5</v>
      </c>
      <c r="H655">
        <v>0.5</v>
      </c>
      <c r="I655" t="s">
        <v>331</v>
      </c>
      <c r="J655" s="27">
        <v>45777</v>
      </c>
      <c r="L655" s="29">
        <v>1077.5862068181818</v>
      </c>
      <c r="M655" s="29">
        <v>538.79310340909092</v>
      </c>
      <c r="N655" s="15">
        <v>45748</v>
      </c>
    </row>
    <row r="656" spans="1:14" x14ac:dyDescent="0.25">
      <c r="A656">
        <v>413026</v>
      </c>
      <c r="B656" t="s">
        <v>35</v>
      </c>
      <c r="C656">
        <v>47569</v>
      </c>
      <c r="D656" t="s">
        <v>46</v>
      </c>
      <c r="E656" t="s">
        <v>22</v>
      </c>
      <c r="F656" s="27">
        <v>45777</v>
      </c>
      <c r="G656">
        <v>3.5</v>
      </c>
      <c r="H656">
        <v>3.5</v>
      </c>
      <c r="I656" t="s">
        <v>489</v>
      </c>
      <c r="J656" s="27">
        <v>45777</v>
      </c>
      <c r="L656" s="29">
        <v>1077.5862068181818</v>
      </c>
      <c r="M656" s="29">
        <v>3771.5517238636367</v>
      </c>
      <c r="N656" s="15">
        <v>45748</v>
      </c>
    </row>
    <row r="657" spans="1:14" x14ac:dyDescent="0.25">
      <c r="A657">
        <v>412785</v>
      </c>
      <c r="B657" t="s">
        <v>48</v>
      </c>
      <c r="C657">
        <v>53043</v>
      </c>
      <c r="D657" t="s">
        <v>32</v>
      </c>
      <c r="E657" t="s">
        <v>22</v>
      </c>
      <c r="F657" s="27">
        <v>45777</v>
      </c>
      <c r="G657">
        <v>25</v>
      </c>
      <c r="H657">
        <v>25</v>
      </c>
      <c r="I657" t="s">
        <v>467</v>
      </c>
      <c r="J657" s="27">
        <v>45777</v>
      </c>
      <c r="L657" s="29">
        <v>2155.1724136363637</v>
      </c>
      <c r="M657" s="29">
        <v>53879.310340909091</v>
      </c>
      <c r="N657" s="15">
        <v>45748</v>
      </c>
    </row>
    <row r="658" spans="1:14" x14ac:dyDescent="0.25">
      <c r="A658">
        <v>412789</v>
      </c>
      <c r="B658" t="s">
        <v>48</v>
      </c>
      <c r="C658">
        <v>53039</v>
      </c>
      <c r="D658" t="s">
        <v>32</v>
      </c>
      <c r="E658" t="s">
        <v>22</v>
      </c>
      <c r="F658" s="27">
        <v>45777</v>
      </c>
      <c r="G658">
        <v>25</v>
      </c>
      <c r="H658">
        <v>25</v>
      </c>
      <c r="I658" t="s">
        <v>294</v>
      </c>
      <c r="J658" s="27">
        <v>45777</v>
      </c>
      <c r="L658" s="29">
        <v>2155.1724136363637</v>
      </c>
      <c r="M658" s="29">
        <v>53879.310340909091</v>
      </c>
      <c r="N658" s="15">
        <v>45748</v>
      </c>
    </row>
    <row r="659" spans="1:14" x14ac:dyDescent="0.25">
      <c r="A659">
        <v>412792</v>
      </c>
      <c r="B659" t="s">
        <v>29</v>
      </c>
      <c r="C659">
        <v>52508</v>
      </c>
      <c r="D659" t="s">
        <v>39</v>
      </c>
      <c r="E659" t="s">
        <v>22</v>
      </c>
      <c r="F659" s="27">
        <v>45777</v>
      </c>
      <c r="G659">
        <v>8</v>
      </c>
      <c r="H659">
        <v>8</v>
      </c>
      <c r="I659" t="s">
        <v>436</v>
      </c>
      <c r="J659" s="27">
        <v>45777</v>
      </c>
      <c r="L659" s="29">
        <v>718.39080454545456</v>
      </c>
      <c r="M659" s="29">
        <v>5747.1264363636365</v>
      </c>
      <c r="N659" s="15">
        <v>45748</v>
      </c>
    </row>
    <row r="660" spans="1:14" x14ac:dyDescent="0.25">
      <c r="A660">
        <v>432258</v>
      </c>
      <c r="B660" t="s">
        <v>34</v>
      </c>
      <c r="C660">
        <v>21152</v>
      </c>
      <c r="D660" t="s">
        <v>36</v>
      </c>
      <c r="E660" t="s">
        <v>19</v>
      </c>
      <c r="F660" s="27">
        <v>45777</v>
      </c>
      <c r="G660">
        <v>76</v>
      </c>
      <c r="H660">
        <v>76</v>
      </c>
      <c r="I660" t="s">
        <v>294</v>
      </c>
      <c r="J660" s="27">
        <v>45836</v>
      </c>
      <c r="L660" s="29">
        <v>1724.1379312500001</v>
      </c>
      <c r="M660" s="29">
        <v>131034.48277500001</v>
      </c>
      <c r="N660" s="15">
        <v>45748</v>
      </c>
    </row>
    <row r="661" spans="1:14" x14ac:dyDescent="0.25">
      <c r="A661">
        <v>413317</v>
      </c>
      <c r="B661" t="s">
        <v>35</v>
      </c>
      <c r="C661">
        <v>47614</v>
      </c>
      <c r="D661" t="s">
        <v>42</v>
      </c>
      <c r="E661" t="s">
        <v>22</v>
      </c>
      <c r="F661" s="27">
        <v>45777</v>
      </c>
      <c r="G661">
        <v>10</v>
      </c>
      <c r="H661">
        <v>10</v>
      </c>
      <c r="I661">
        <v>1839</v>
      </c>
      <c r="J661" s="27">
        <v>45777</v>
      </c>
      <c r="L661" s="29">
        <v>1418</v>
      </c>
      <c r="M661" s="29">
        <v>14180</v>
      </c>
      <c r="N661" s="15">
        <v>45748</v>
      </c>
    </row>
    <row r="662" spans="1:14" x14ac:dyDescent="0.25">
      <c r="A662">
        <v>413322</v>
      </c>
      <c r="B662" t="s">
        <v>35</v>
      </c>
      <c r="C662">
        <v>47572</v>
      </c>
      <c r="D662" t="s">
        <v>42</v>
      </c>
      <c r="E662" t="s">
        <v>22</v>
      </c>
      <c r="F662" s="27">
        <v>45777</v>
      </c>
      <c r="G662">
        <v>0.5</v>
      </c>
      <c r="H662">
        <v>0.5</v>
      </c>
      <c r="I662" t="s">
        <v>295</v>
      </c>
      <c r="J662" s="27">
        <v>45777</v>
      </c>
      <c r="L662" s="29">
        <v>1418</v>
      </c>
      <c r="M662" s="29">
        <v>709</v>
      </c>
      <c r="N662" s="15">
        <v>45748</v>
      </c>
    </row>
    <row r="663" spans="1:14" x14ac:dyDescent="0.25">
      <c r="A663">
        <v>432277</v>
      </c>
      <c r="B663" t="s">
        <v>35</v>
      </c>
      <c r="C663">
        <v>47614</v>
      </c>
      <c r="D663" t="s">
        <v>252</v>
      </c>
      <c r="E663" t="s">
        <v>22</v>
      </c>
      <c r="F663" s="27">
        <v>45777</v>
      </c>
      <c r="G663">
        <v>153</v>
      </c>
      <c r="H663">
        <v>153</v>
      </c>
      <c r="I663" t="s">
        <v>294</v>
      </c>
      <c r="J663" s="27">
        <v>45836</v>
      </c>
      <c r="L663" s="29">
        <v>1380</v>
      </c>
      <c r="M663" s="29">
        <v>211140</v>
      </c>
      <c r="N663" s="15">
        <v>45748</v>
      </c>
    </row>
    <row r="664" spans="1:14" x14ac:dyDescent="0.25">
      <c r="A664">
        <v>412088</v>
      </c>
      <c r="B664" t="s">
        <v>35</v>
      </c>
      <c r="C664">
        <v>47568</v>
      </c>
      <c r="D664" t="s">
        <v>46</v>
      </c>
      <c r="E664" t="s">
        <v>22</v>
      </c>
      <c r="F664" s="27">
        <v>45777</v>
      </c>
      <c r="G664">
        <v>4</v>
      </c>
      <c r="H664">
        <v>4</v>
      </c>
      <c r="I664" t="s">
        <v>490</v>
      </c>
      <c r="J664" s="27">
        <v>45777</v>
      </c>
      <c r="L664" s="29">
        <v>1077.5862068181818</v>
      </c>
      <c r="M664" s="29">
        <v>4310.3448272727273</v>
      </c>
      <c r="N664" s="15">
        <v>45748</v>
      </c>
    </row>
    <row r="665" spans="1:14" x14ac:dyDescent="0.25">
      <c r="A665">
        <v>413884</v>
      </c>
      <c r="B665" t="s">
        <v>28</v>
      </c>
      <c r="C665">
        <v>51263</v>
      </c>
      <c r="D665" t="s">
        <v>27</v>
      </c>
      <c r="E665" t="s">
        <v>22</v>
      </c>
      <c r="F665" s="27">
        <v>45777</v>
      </c>
      <c r="G665">
        <v>10</v>
      </c>
      <c r="H665">
        <v>10</v>
      </c>
      <c r="I665" t="s">
        <v>491</v>
      </c>
      <c r="J665" s="27">
        <v>45782</v>
      </c>
      <c r="L665" s="29">
        <v>574.71264374999998</v>
      </c>
      <c r="M665" s="29">
        <v>5747.1264375000001</v>
      </c>
      <c r="N665" s="15">
        <v>45748</v>
      </c>
    </row>
    <row r="666" spans="1:14" x14ac:dyDescent="0.25">
      <c r="A666">
        <v>436679</v>
      </c>
      <c r="B666" t="s">
        <v>270</v>
      </c>
      <c r="C666">
        <v>53766</v>
      </c>
      <c r="D666" t="s">
        <v>41</v>
      </c>
      <c r="E666" t="s">
        <v>22</v>
      </c>
      <c r="F666" s="27">
        <v>45777</v>
      </c>
      <c r="G666">
        <v>16</v>
      </c>
      <c r="H666">
        <v>16</v>
      </c>
      <c r="I666" t="s">
        <v>255</v>
      </c>
      <c r="J666" s="27">
        <v>45846</v>
      </c>
      <c r="L666" s="29">
        <v>1436.7816090909091</v>
      </c>
      <c r="M666" s="29">
        <v>22988.505745454546</v>
      </c>
      <c r="N666" s="15">
        <v>45748</v>
      </c>
    </row>
    <row r="667" spans="1:14" x14ac:dyDescent="0.25">
      <c r="A667">
        <v>413930</v>
      </c>
      <c r="B667" t="s">
        <v>31</v>
      </c>
      <c r="C667">
        <v>13970</v>
      </c>
      <c r="D667" t="s">
        <v>49</v>
      </c>
      <c r="E667" t="s">
        <v>19</v>
      </c>
      <c r="F667" s="27">
        <v>45777</v>
      </c>
      <c r="G667">
        <v>5.5</v>
      </c>
      <c r="H667">
        <v>5.5</v>
      </c>
      <c r="I667" t="s">
        <v>492</v>
      </c>
      <c r="J667" s="27">
        <v>45782</v>
      </c>
      <c r="L667" s="29">
        <v>1077.5862068181818</v>
      </c>
      <c r="M667" s="29">
        <v>5926.7241375000003</v>
      </c>
      <c r="N667" s="15">
        <v>45748</v>
      </c>
    </row>
    <row r="668" spans="1:14" x14ac:dyDescent="0.25">
      <c r="A668">
        <v>413421</v>
      </c>
      <c r="B668" t="s">
        <v>35</v>
      </c>
      <c r="C668">
        <v>52114</v>
      </c>
      <c r="D668" t="s">
        <v>37</v>
      </c>
      <c r="E668" t="s">
        <v>22</v>
      </c>
      <c r="F668" s="27">
        <v>45777</v>
      </c>
      <c r="G668">
        <v>8</v>
      </c>
      <c r="H668">
        <v>8</v>
      </c>
      <c r="I668" t="s">
        <v>493</v>
      </c>
      <c r="J668" s="27">
        <v>45778</v>
      </c>
      <c r="L668" s="29">
        <v>431.03448295454547</v>
      </c>
      <c r="M668" s="29">
        <v>3448.2758636363637</v>
      </c>
      <c r="N668" s="15">
        <v>45748</v>
      </c>
    </row>
    <row r="669" spans="1:14" x14ac:dyDescent="0.25">
      <c r="A669">
        <v>426487</v>
      </c>
      <c r="B669" t="s">
        <v>29</v>
      </c>
      <c r="C669">
        <v>53433</v>
      </c>
      <c r="D669" t="s">
        <v>30</v>
      </c>
      <c r="E669" t="s">
        <v>22</v>
      </c>
      <c r="F669" s="27">
        <v>45777</v>
      </c>
      <c r="G669">
        <v>8</v>
      </c>
      <c r="H669">
        <v>8</v>
      </c>
      <c r="I669" t="s">
        <v>494</v>
      </c>
      <c r="J669" s="27">
        <v>45817</v>
      </c>
      <c r="L669" s="29">
        <v>574.71264374999998</v>
      </c>
      <c r="M669" s="29">
        <v>4597.7011499999999</v>
      </c>
      <c r="N669" s="15">
        <v>45748</v>
      </c>
    </row>
    <row r="670" spans="1:14" x14ac:dyDescent="0.25">
      <c r="A670">
        <v>411945</v>
      </c>
      <c r="B670" t="s">
        <v>34</v>
      </c>
      <c r="C670">
        <v>21152</v>
      </c>
      <c r="D670" t="s">
        <v>25</v>
      </c>
      <c r="E670" t="s">
        <v>19</v>
      </c>
      <c r="F670" s="27">
        <v>45776</v>
      </c>
      <c r="G670">
        <v>5</v>
      </c>
      <c r="H670">
        <v>5</v>
      </c>
      <c r="I670" t="s">
        <v>495</v>
      </c>
      <c r="J670" s="27">
        <v>45777</v>
      </c>
      <c r="L670" s="29">
        <v>1077.5862068181818</v>
      </c>
      <c r="M670" s="29">
        <v>5387.9310340909087</v>
      </c>
      <c r="N670" s="15">
        <v>45748</v>
      </c>
    </row>
    <row r="671" spans="1:14" x14ac:dyDescent="0.25">
      <c r="A671">
        <v>412791</v>
      </c>
      <c r="B671" t="s">
        <v>29</v>
      </c>
      <c r="C671">
        <v>52508</v>
      </c>
      <c r="D671" t="s">
        <v>39</v>
      </c>
      <c r="E671" t="s">
        <v>22</v>
      </c>
      <c r="F671" s="27">
        <v>45776</v>
      </c>
      <c r="G671">
        <v>8</v>
      </c>
      <c r="H671">
        <v>8</v>
      </c>
      <c r="I671" t="s">
        <v>436</v>
      </c>
      <c r="J671" s="27">
        <v>45777</v>
      </c>
      <c r="L671" s="29">
        <v>718.39080454545456</v>
      </c>
      <c r="M671" s="29">
        <v>5747.1264363636365</v>
      </c>
      <c r="N671" s="15">
        <v>45748</v>
      </c>
    </row>
    <row r="672" spans="1:14" x14ac:dyDescent="0.25">
      <c r="A672">
        <v>413316</v>
      </c>
      <c r="B672" t="s">
        <v>35</v>
      </c>
      <c r="C672">
        <v>47614</v>
      </c>
      <c r="D672" t="s">
        <v>42</v>
      </c>
      <c r="E672" t="s">
        <v>22</v>
      </c>
      <c r="F672" s="27">
        <v>45776</v>
      </c>
      <c r="G672">
        <v>4</v>
      </c>
      <c r="H672">
        <v>4</v>
      </c>
      <c r="I672">
        <v>1839</v>
      </c>
      <c r="J672" s="27">
        <v>45777</v>
      </c>
      <c r="L672" s="29">
        <v>1418</v>
      </c>
      <c r="M672" s="29">
        <v>5672</v>
      </c>
      <c r="N672" s="15">
        <v>45748</v>
      </c>
    </row>
    <row r="673" spans="1:14" x14ac:dyDescent="0.25">
      <c r="A673">
        <v>411534</v>
      </c>
      <c r="B673" t="s">
        <v>28</v>
      </c>
      <c r="C673">
        <v>51263</v>
      </c>
      <c r="D673" t="s">
        <v>27</v>
      </c>
      <c r="E673" t="s">
        <v>22</v>
      </c>
      <c r="F673" s="27">
        <v>45776</v>
      </c>
      <c r="G673">
        <v>5</v>
      </c>
      <c r="H673">
        <v>5</v>
      </c>
      <c r="I673" t="s">
        <v>496</v>
      </c>
      <c r="J673" s="27">
        <v>45776</v>
      </c>
      <c r="L673" s="29">
        <v>574.71264374999998</v>
      </c>
      <c r="M673" s="29">
        <v>2873.56321875</v>
      </c>
      <c r="N673" s="15">
        <v>45748</v>
      </c>
    </row>
    <row r="674" spans="1:14" x14ac:dyDescent="0.25">
      <c r="A674">
        <v>415124</v>
      </c>
      <c r="B674" t="s">
        <v>29</v>
      </c>
      <c r="C674">
        <v>53433</v>
      </c>
      <c r="D674" t="s">
        <v>30</v>
      </c>
      <c r="E674" t="s">
        <v>22</v>
      </c>
      <c r="F674" s="27">
        <v>45776</v>
      </c>
      <c r="G674">
        <v>8</v>
      </c>
      <c r="H674">
        <v>8</v>
      </c>
      <c r="I674" t="s">
        <v>497</v>
      </c>
      <c r="J674" s="27">
        <v>45784</v>
      </c>
      <c r="L674" s="29">
        <v>574.71264374999998</v>
      </c>
      <c r="M674" s="29">
        <v>4597.7011499999999</v>
      </c>
      <c r="N674" s="15">
        <v>45748</v>
      </c>
    </row>
    <row r="675" spans="1:14" x14ac:dyDescent="0.25">
      <c r="A675">
        <v>411831</v>
      </c>
      <c r="B675" t="s">
        <v>35</v>
      </c>
      <c r="C675">
        <v>52114</v>
      </c>
      <c r="D675" t="s">
        <v>37</v>
      </c>
      <c r="E675" t="s">
        <v>22</v>
      </c>
      <c r="F675" s="27">
        <v>45776</v>
      </c>
      <c r="G675">
        <v>8</v>
      </c>
      <c r="H675">
        <v>8</v>
      </c>
      <c r="I675" t="s">
        <v>493</v>
      </c>
      <c r="J675" s="27">
        <v>45777</v>
      </c>
      <c r="L675" s="29">
        <v>431.03448295454547</v>
      </c>
      <c r="M675" s="29">
        <v>3448.2758636363637</v>
      </c>
      <c r="N675" s="15">
        <v>45748</v>
      </c>
    </row>
    <row r="676" spans="1:14" x14ac:dyDescent="0.25">
      <c r="A676">
        <v>413929</v>
      </c>
      <c r="B676" t="s">
        <v>31</v>
      </c>
      <c r="C676">
        <v>13970</v>
      </c>
      <c r="D676" t="s">
        <v>49</v>
      </c>
      <c r="E676" t="s">
        <v>19</v>
      </c>
      <c r="F676" s="27">
        <v>45776</v>
      </c>
      <c r="G676">
        <v>6</v>
      </c>
      <c r="H676">
        <v>6</v>
      </c>
      <c r="I676" t="s">
        <v>492</v>
      </c>
      <c r="J676" s="27">
        <v>45782</v>
      </c>
      <c r="L676" s="29">
        <v>1077.5862068181818</v>
      </c>
      <c r="M676" s="29">
        <v>6465.517240909091</v>
      </c>
      <c r="N676" s="15">
        <v>45748</v>
      </c>
    </row>
    <row r="677" spans="1:14" x14ac:dyDescent="0.25">
      <c r="A677">
        <v>411370</v>
      </c>
      <c r="B677" t="s">
        <v>35</v>
      </c>
      <c r="C677">
        <v>47572</v>
      </c>
      <c r="D677" t="s">
        <v>46</v>
      </c>
      <c r="E677" t="s">
        <v>22</v>
      </c>
      <c r="F677" s="27">
        <v>45776</v>
      </c>
      <c r="G677">
        <v>0.5</v>
      </c>
      <c r="H677">
        <v>0.5</v>
      </c>
      <c r="I677" t="s">
        <v>331</v>
      </c>
      <c r="J677" s="27">
        <v>45776</v>
      </c>
      <c r="L677" s="29">
        <v>1077.5862068181818</v>
      </c>
      <c r="M677" s="29">
        <v>538.79310340909092</v>
      </c>
      <c r="N677" s="15">
        <v>45748</v>
      </c>
    </row>
    <row r="678" spans="1:14" x14ac:dyDescent="0.25">
      <c r="A678">
        <v>411371</v>
      </c>
      <c r="B678" t="s">
        <v>35</v>
      </c>
      <c r="C678">
        <v>52114</v>
      </c>
      <c r="D678" t="s">
        <v>46</v>
      </c>
      <c r="E678" t="s">
        <v>22</v>
      </c>
      <c r="F678" s="27">
        <v>45776</v>
      </c>
      <c r="G678">
        <v>2.5</v>
      </c>
      <c r="H678">
        <v>2.5</v>
      </c>
      <c r="I678" t="s">
        <v>498</v>
      </c>
      <c r="J678" s="27">
        <v>45776</v>
      </c>
      <c r="L678" s="29">
        <v>1077.5862068181818</v>
      </c>
      <c r="M678" s="29">
        <v>2693.9655170454544</v>
      </c>
      <c r="N678" s="15">
        <v>45748</v>
      </c>
    </row>
    <row r="679" spans="1:14" x14ac:dyDescent="0.25">
      <c r="A679">
        <v>411372</v>
      </c>
      <c r="B679" t="s">
        <v>35</v>
      </c>
      <c r="C679">
        <v>47569</v>
      </c>
      <c r="D679" t="s">
        <v>46</v>
      </c>
      <c r="E679" t="s">
        <v>22</v>
      </c>
      <c r="F679" s="27">
        <v>45776</v>
      </c>
      <c r="G679">
        <v>4</v>
      </c>
      <c r="H679">
        <v>4</v>
      </c>
      <c r="I679" t="s">
        <v>499</v>
      </c>
      <c r="J679" s="27">
        <v>45776</v>
      </c>
      <c r="L679" s="29">
        <v>1077.5862068181818</v>
      </c>
      <c r="M679" s="29">
        <v>4310.3448272727273</v>
      </c>
      <c r="N679" s="15">
        <v>45748</v>
      </c>
    </row>
    <row r="680" spans="1:14" x14ac:dyDescent="0.25">
      <c r="A680">
        <v>411373</v>
      </c>
      <c r="B680" t="s">
        <v>35</v>
      </c>
      <c r="C680">
        <v>47569</v>
      </c>
      <c r="D680" t="s">
        <v>46</v>
      </c>
      <c r="E680" t="s">
        <v>22</v>
      </c>
      <c r="F680" s="27">
        <v>45776</v>
      </c>
      <c r="G680">
        <v>1</v>
      </c>
      <c r="H680">
        <v>1</v>
      </c>
      <c r="I680" t="s">
        <v>500</v>
      </c>
      <c r="J680" s="27">
        <v>45776</v>
      </c>
      <c r="L680" s="29">
        <v>1077.5862068181818</v>
      </c>
      <c r="M680" s="29">
        <v>1077.5862068181818</v>
      </c>
      <c r="N680" s="15">
        <v>45748</v>
      </c>
    </row>
    <row r="681" spans="1:14" x14ac:dyDescent="0.25">
      <c r="A681">
        <v>412239</v>
      </c>
      <c r="B681" t="s">
        <v>20</v>
      </c>
      <c r="C681">
        <v>52830</v>
      </c>
      <c r="D681" t="s">
        <v>21</v>
      </c>
      <c r="E681" t="s">
        <v>22</v>
      </c>
      <c r="F681" s="27">
        <v>45775</v>
      </c>
      <c r="G681">
        <v>3</v>
      </c>
      <c r="H681">
        <v>3</v>
      </c>
      <c r="I681" t="s">
        <v>488</v>
      </c>
      <c r="J681" s="27">
        <v>45777</v>
      </c>
      <c r="L681" s="29">
        <v>1616.3793102272728</v>
      </c>
      <c r="M681" s="29">
        <v>4849.137930681818</v>
      </c>
      <c r="N681" s="15">
        <v>45748</v>
      </c>
    </row>
    <row r="682" spans="1:14" x14ac:dyDescent="0.25">
      <c r="A682">
        <v>412787</v>
      </c>
      <c r="B682" t="s">
        <v>29</v>
      </c>
      <c r="C682">
        <v>52508</v>
      </c>
      <c r="D682" t="s">
        <v>39</v>
      </c>
      <c r="E682" t="s">
        <v>22</v>
      </c>
      <c r="F682" s="27">
        <v>45775</v>
      </c>
      <c r="G682">
        <v>8</v>
      </c>
      <c r="H682">
        <v>8</v>
      </c>
      <c r="I682" t="s">
        <v>436</v>
      </c>
      <c r="J682" s="27">
        <v>45777</v>
      </c>
      <c r="L682" s="29">
        <v>718.39080454545456</v>
      </c>
      <c r="M682" s="29">
        <v>5747.1264363636365</v>
      </c>
      <c r="N682" s="15">
        <v>45748</v>
      </c>
    </row>
    <row r="683" spans="1:14" x14ac:dyDescent="0.25">
      <c r="A683">
        <v>413315</v>
      </c>
      <c r="B683" t="s">
        <v>35</v>
      </c>
      <c r="C683">
        <v>47614</v>
      </c>
      <c r="D683" t="s">
        <v>42</v>
      </c>
      <c r="E683" t="s">
        <v>22</v>
      </c>
      <c r="F683" s="27">
        <v>45775</v>
      </c>
      <c r="G683">
        <v>3</v>
      </c>
      <c r="H683">
        <v>3</v>
      </c>
      <c r="I683">
        <v>1839</v>
      </c>
      <c r="J683" s="27">
        <v>45777</v>
      </c>
      <c r="L683" s="29">
        <v>1418</v>
      </c>
      <c r="M683" s="29">
        <v>4254</v>
      </c>
      <c r="N683" s="15">
        <v>45748</v>
      </c>
    </row>
    <row r="684" spans="1:14" x14ac:dyDescent="0.25">
      <c r="A684">
        <v>413321</v>
      </c>
      <c r="B684" t="s">
        <v>35</v>
      </c>
      <c r="C684">
        <v>47572</v>
      </c>
      <c r="D684" t="s">
        <v>42</v>
      </c>
      <c r="E684" t="s">
        <v>22</v>
      </c>
      <c r="F684" s="27">
        <v>45775</v>
      </c>
      <c r="G684">
        <v>0.5</v>
      </c>
      <c r="H684">
        <v>0.5</v>
      </c>
      <c r="I684" t="s">
        <v>295</v>
      </c>
      <c r="J684" s="27">
        <v>45777</v>
      </c>
      <c r="L684" s="29">
        <v>1418</v>
      </c>
      <c r="M684" s="29">
        <v>709</v>
      </c>
      <c r="N684" s="15">
        <v>45748</v>
      </c>
    </row>
    <row r="685" spans="1:14" x14ac:dyDescent="0.25">
      <c r="A685">
        <v>415123</v>
      </c>
      <c r="B685" t="s">
        <v>29</v>
      </c>
      <c r="C685">
        <v>53433</v>
      </c>
      <c r="D685" t="s">
        <v>30</v>
      </c>
      <c r="E685" t="s">
        <v>22</v>
      </c>
      <c r="F685" s="27">
        <v>45775</v>
      </c>
      <c r="G685">
        <v>8</v>
      </c>
      <c r="H685">
        <v>8</v>
      </c>
      <c r="I685" t="s">
        <v>501</v>
      </c>
      <c r="J685" s="27">
        <v>45784</v>
      </c>
      <c r="L685" s="29">
        <v>574.71264374999998</v>
      </c>
      <c r="M685" s="29">
        <v>4597.7011499999999</v>
      </c>
      <c r="N685" s="15">
        <v>45748</v>
      </c>
    </row>
    <row r="686" spans="1:14" x14ac:dyDescent="0.25">
      <c r="A686">
        <v>432284</v>
      </c>
      <c r="B686" t="s">
        <v>28</v>
      </c>
      <c r="C686">
        <v>53304</v>
      </c>
      <c r="D686" t="s">
        <v>44</v>
      </c>
      <c r="E686" t="s">
        <v>22</v>
      </c>
      <c r="F686" s="27">
        <v>45775</v>
      </c>
      <c r="G686">
        <v>2</v>
      </c>
      <c r="H686">
        <v>2</v>
      </c>
      <c r="I686" t="s">
        <v>294</v>
      </c>
      <c r="J686" s="27">
        <v>45836</v>
      </c>
      <c r="L686" s="29">
        <v>2011.494252840909</v>
      </c>
      <c r="M686" s="29">
        <v>4022.988505681818</v>
      </c>
      <c r="N686" s="15">
        <v>45748</v>
      </c>
    </row>
    <row r="687" spans="1:14" x14ac:dyDescent="0.25">
      <c r="A687">
        <v>411830</v>
      </c>
      <c r="B687" t="s">
        <v>35</v>
      </c>
      <c r="C687">
        <v>52114</v>
      </c>
      <c r="D687" t="s">
        <v>37</v>
      </c>
      <c r="E687" t="s">
        <v>22</v>
      </c>
      <c r="F687" s="27">
        <v>45775</v>
      </c>
      <c r="G687">
        <v>8</v>
      </c>
      <c r="H687">
        <v>8</v>
      </c>
      <c r="I687" t="s">
        <v>493</v>
      </c>
      <c r="J687" s="27">
        <v>45777</v>
      </c>
      <c r="L687" s="29">
        <v>431.03448295454547</v>
      </c>
      <c r="M687" s="29">
        <v>3448.2758636363637</v>
      </c>
      <c r="N687" s="15">
        <v>45748</v>
      </c>
    </row>
    <row r="688" spans="1:14" x14ac:dyDescent="0.25">
      <c r="A688">
        <v>410322</v>
      </c>
      <c r="B688" t="s">
        <v>35</v>
      </c>
      <c r="C688">
        <v>47572</v>
      </c>
      <c r="D688" t="s">
        <v>46</v>
      </c>
      <c r="E688" t="s">
        <v>22</v>
      </c>
      <c r="F688" s="27">
        <v>45775</v>
      </c>
      <c r="G688">
        <v>0.5</v>
      </c>
      <c r="H688">
        <v>0.5</v>
      </c>
      <c r="I688" t="s">
        <v>331</v>
      </c>
      <c r="J688" s="27">
        <v>45775</v>
      </c>
      <c r="L688" s="29">
        <v>1077.5862068181818</v>
      </c>
      <c r="M688" s="29">
        <v>538.79310340909092</v>
      </c>
      <c r="N688" s="15">
        <v>45748</v>
      </c>
    </row>
    <row r="689" spans="1:14" x14ac:dyDescent="0.25">
      <c r="A689">
        <v>410323</v>
      </c>
      <c r="B689" t="s">
        <v>35</v>
      </c>
      <c r="C689">
        <v>47569</v>
      </c>
      <c r="D689" t="s">
        <v>46</v>
      </c>
      <c r="E689" t="s">
        <v>22</v>
      </c>
      <c r="F689" s="27">
        <v>45775</v>
      </c>
      <c r="G689">
        <v>7.5</v>
      </c>
      <c r="H689">
        <v>7.5</v>
      </c>
      <c r="I689" t="s">
        <v>499</v>
      </c>
      <c r="J689" s="27">
        <v>45775</v>
      </c>
      <c r="L689" s="29">
        <v>1077.5862068181818</v>
      </c>
      <c r="M689" s="29">
        <v>8081.896551136364</v>
      </c>
      <c r="N689" s="15">
        <v>45748</v>
      </c>
    </row>
    <row r="690" spans="1:14" x14ac:dyDescent="0.25">
      <c r="A690">
        <v>410588</v>
      </c>
      <c r="B690" t="s">
        <v>28</v>
      </c>
      <c r="C690">
        <v>51263</v>
      </c>
      <c r="D690" t="s">
        <v>27</v>
      </c>
      <c r="E690" t="s">
        <v>22</v>
      </c>
      <c r="F690" s="27">
        <v>45775</v>
      </c>
      <c r="G690">
        <v>17</v>
      </c>
      <c r="H690">
        <v>17</v>
      </c>
      <c r="I690" t="s">
        <v>502</v>
      </c>
      <c r="J690" s="27">
        <v>45775</v>
      </c>
      <c r="L690" s="29">
        <v>574.71264374999998</v>
      </c>
      <c r="M690" s="29">
        <v>9770.1149437499989</v>
      </c>
      <c r="N690" s="15">
        <v>45748</v>
      </c>
    </row>
    <row r="691" spans="1:14" x14ac:dyDescent="0.25">
      <c r="A691">
        <v>413924</v>
      </c>
      <c r="B691" t="s">
        <v>31</v>
      </c>
      <c r="C691">
        <v>13970</v>
      </c>
      <c r="D691" t="s">
        <v>49</v>
      </c>
      <c r="E691" t="s">
        <v>19</v>
      </c>
      <c r="F691" s="27">
        <v>45775</v>
      </c>
      <c r="G691">
        <v>4.5</v>
      </c>
      <c r="H691">
        <v>4.5</v>
      </c>
      <c r="I691" t="s">
        <v>492</v>
      </c>
      <c r="J691" s="27">
        <v>45782</v>
      </c>
      <c r="L691" s="29">
        <v>1077.5862068181818</v>
      </c>
      <c r="M691" s="29">
        <v>4849.137930681818</v>
      </c>
      <c r="N691" s="15">
        <v>45748</v>
      </c>
    </row>
    <row r="692" spans="1:14" x14ac:dyDescent="0.25">
      <c r="A692">
        <v>413314</v>
      </c>
      <c r="B692" t="s">
        <v>35</v>
      </c>
      <c r="C692">
        <v>47614</v>
      </c>
      <c r="D692" t="s">
        <v>42</v>
      </c>
      <c r="E692" t="s">
        <v>22</v>
      </c>
      <c r="F692" s="27">
        <v>45774</v>
      </c>
      <c r="G692">
        <v>2.5</v>
      </c>
      <c r="H692">
        <v>2.5</v>
      </c>
      <c r="I692">
        <v>1839</v>
      </c>
      <c r="J692" s="27">
        <v>45777</v>
      </c>
      <c r="L692" s="29">
        <v>1418</v>
      </c>
      <c r="M692" s="29">
        <v>3545</v>
      </c>
      <c r="N692" s="15">
        <v>45748</v>
      </c>
    </row>
    <row r="693" spans="1:14" x14ac:dyDescent="0.25">
      <c r="A693">
        <v>408323</v>
      </c>
      <c r="B693" t="s">
        <v>20</v>
      </c>
      <c r="C693">
        <v>52830</v>
      </c>
      <c r="D693" t="s">
        <v>21</v>
      </c>
      <c r="E693" t="s">
        <v>22</v>
      </c>
      <c r="F693" s="27">
        <v>45772</v>
      </c>
      <c r="G693">
        <v>1</v>
      </c>
      <c r="H693">
        <v>1</v>
      </c>
      <c r="I693" t="s">
        <v>503</v>
      </c>
      <c r="J693" s="27">
        <v>45772</v>
      </c>
      <c r="L693" s="29">
        <v>1616.3793102272728</v>
      </c>
      <c r="M693" s="29">
        <v>1616.3793102272728</v>
      </c>
      <c r="N693" s="15">
        <v>45748</v>
      </c>
    </row>
    <row r="694" spans="1:14" x14ac:dyDescent="0.25">
      <c r="A694">
        <v>408324</v>
      </c>
      <c r="B694" t="s">
        <v>20</v>
      </c>
      <c r="C694">
        <v>52830</v>
      </c>
      <c r="D694" t="s">
        <v>21</v>
      </c>
      <c r="E694" t="s">
        <v>22</v>
      </c>
      <c r="F694" s="27">
        <v>45772</v>
      </c>
      <c r="G694">
        <v>0.5</v>
      </c>
      <c r="H694">
        <v>0.5</v>
      </c>
      <c r="I694" t="s">
        <v>504</v>
      </c>
      <c r="J694" s="27">
        <v>45772</v>
      </c>
      <c r="L694" s="29">
        <v>1616.3793102272728</v>
      </c>
      <c r="M694" s="29">
        <v>808.18965511363638</v>
      </c>
      <c r="N694" s="15">
        <v>45748</v>
      </c>
    </row>
    <row r="695" spans="1:14" x14ac:dyDescent="0.25">
      <c r="A695">
        <v>408325</v>
      </c>
      <c r="B695" t="s">
        <v>20</v>
      </c>
      <c r="C695">
        <v>52830</v>
      </c>
      <c r="D695" t="s">
        <v>21</v>
      </c>
      <c r="E695" t="s">
        <v>22</v>
      </c>
      <c r="F695" s="27">
        <v>45772</v>
      </c>
      <c r="G695">
        <v>0.5</v>
      </c>
      <c r="H695">
        <v>0.5</v>
      </c>
      <c r="I695" t="s">
        <v>505</v>
      </c>
      <c r="J695" s="27">
        <v>45772</v>
      </c>
      <c r="L695" s="29">
        <v>1616.3793102272728</v>
      </c>
      <c r="M695" s="29">
        <v>808.18965511363638</v>
      </c>
      <c r="N695" s="15">
        <v>45748</v>
      </c>
    </row>
    <row r="696" spans="1:14" x14ac:dyDescent="0.25">
      <c r="A696">
        <v>409394</v>
      </c>
      <c r="B696" t="s">
        <v>28</v>
      </c>
      <c r="C696">
        <v>51262</v>
      </c>
      <c r="D696" t="s">
        <v>44</v>
      </c>
      <c r="E696" t="s">
        <v>22</v>
      </c>
      <c r="F696" s="27">
        <v>45772</v>
      </c>
      <c r="G696">
        <v>24</v>
      </c>
      <c r="H696">
        <v>24</v>
      </c>
      <c r="I696" t="s">
        <v>506</v>
      </c>
      <c r="J696" s="27">
        <v>45775</v>
      </c>
      <c r="L696" s="29">
        <v>2011.494252840909</v>
      </c>
      <c r="M696" s="29">
        <v>48275.862068181814</v>
      </c>
      <c r="N696" s="15">
        <v>45748</v>
      </c>
    </row>
    <row r="697" spans="1:14" x14ac:dyDescent="0.25">
      <c r="A697">
        <v>409167</v>
      </c>
      <c r="B697" t="s">
        <v>35</v>
      </c>
      <c r="C697">
        <v>47572</v>
      </c>
      <c r="D697" t="s">
        <v>46</v>
      </c>
      <c r="E697" t="s">
        <v>22</v>
      </c>
      <c r="F697" s="27">
        <v>45772</v>
      </c>
      <c r="G697">
        <v>1.5</v>
      </c>
      <c r="H697">
        <v>1.5</v>
      </c>
      <c r="I697" t="s">
        <v>331</v>
      </c>
      <c r="J697" s="27">
        <v>45772</v>
      </c>
      <c r="L697" s="29">
        <v>1077.5862068181818</v>
      </c>
      <c r="M697" s="29">
        <v>1616.3793102272728</v>
      </c>
      <c r="N697" s="15">
        <v>45748</v>
      </c>
    </row>
    <row r="698" spans="1:14" x14ac:dyDescent="0.25">
      <c r="A698">
        <v>409169</v>
      </c>
      <c r="B698" t="s">
        <v>35</v>
      </c>
      <c r="C698">
        <v>47569</v>
      </c>
      <c r="D698" t="s">
        <v>46</v>
      </c>
      <c r="E698" t="s">
        <v>22</v>
      </c>
      <c r="F698" s="27">
        <v>45772</v>
      </c>
      <c r="G698">
        <v>1.5</v>
      </c>
      <c r="H698">
        <v>1.5</v>
      </c>
      <c r="I698" t="s">
        <v>499</v>
      </c>
      <c r="J698" s="27">
        <v>45772</v>
      </c>
      <c r="L698" s="29">
        <v>1077.5862068181818</v>
      </c>
      <c r="M698" s="29">
        <v>1616.3793102272728</v>
      </c>
      <c r="N698" s="15">
        <v>45748</v>
      </c>
    </row>
    <row r="699" spans="1:14" x14ac:dyDescent="0.25">
      <c r="A699">
        <v>411241</v>
      </c>
      <c r="B699" t="s">
        <v>29</v>
      </c>
      <c r="C699">
        <v>53617</v>
      </c>
      <c r="D699" t="s">
        <v>44</v>
      </c>
      <c r="E699" t="s">
        <v>22</v>
      </c>
      <c r="F699" s="27">
        <v>45772</v>
      </c>
      <c r="G699">
        <v>8</v>
      </c>
      <c r="H699">
        <v>8</v>
      </c>
      <c r="I699" t="s">
        <v>507</v>
      </c>
      <c r="J699" s="27">
        <v>45776</v>
      </c>
      <c r="L699" s="29">
        <v>2011.494252840909</v>
      </c>
      <c r="M699" s="29">
        <v>16091.954022727272</v>
      </c>
      <c r="N699" s="15">
        <v>45748</v>
      </c>
    </row>
    <row r="700" spans="1:14" x14ac:dyDescent="0.25">
      <c r="A700">
        <v>412784</v>
      </c>
      <c r="B700" t="s">
        <v>29</v>
      </c>
      <c r="C700">
        <v>52508</v>
      </c>
      <c r="D700" t="s">
        <v>39</v>
      </c>
      <c r="E700" t="s">
        <v>22</v>
      </c>
      <c r="F700" s="27">
        <v>45772</v>
      </c>
      <c r="G700">
        <v>8</v>
      </c>
      <c r="H700">
        <v>8</v>
      </c>
      <c r="I700" t="s">
        <v>436</v>
      </c>
      <c r="J700" s="27">
        <v>45777</v>
      </c>
      <c r="L700" s="29">
        <v>718.39080454545456</v>
      </c>
      <c r="M700" s="29">
        <v>5747.1264363636365</v>
      </c>
      <c r="N700" s="15">
        <v>45748</v>
      </c>
    </row>
    <row r="701" spans="1:14" x14ac:dyDescent="0.25">
      <c r="A701">
        <v>413312</v>
      </c>
      <c r="B701" t="s">
        <v>35</v>
      </c>
      <c r="C701">
        <v>47614</v>
      </c>
      <c r="D701" t="s">
        <v>42</v>
      </c>
      <c r="E701" t="s">
        <v>22</v>
      </c>
      <c r="F701" s="27">
        <v>45772</v>
      </c>
      <c r="G701">
        <v>2</v>
      </c>
      <c r="H701">
        <v>2</v>
      </c>
      <c r="I701">
        <v>1839</v>
      </c>
      <c r="J701" s="27">
        <v>45777</v>
      </c>
      <c r="L701" s="29">
        <v>1418</v>
      </c>
      <c r="M701" s="29">
        <v>2836</v>
      </c>
      <c r="N701" s="15">
        <v>45748</v>
      </c>
    </row>
    <row r="702" spans="1:14" x14ac:dyDescent="0.25">
      <c r="A702">
        <v>413313</v>
      </c>
      <c r="B702" t="s">
        <v>35</v>
      </c>
      <c r="C702">
        <v>47614</v>
      </c>
      <c r="D702" t="s">
        <v>42</v>
      </c>
      <c r="E702" t="s">
        <v>22</v>
      </c>
      <c r="F702" s="27">
        <v>45772</v>
      </c>
      <c r="G702">
        <v>1.5</v>
      </c>
      <c r="H702">
        <v>1.5</v>
      </c>
      <c r="I702" t="s">
        <v>508</v>
      </c>
      <c r="J702" s="27">
        <v>45777</v>
      </c>
      <c r="L702" s="29">
        <v>1418</v>
      </c>
      <c r="M702" s="29">
        <v>2127</v>
      </c>
      <c r="N702" s="15">
        <v>45748</v>
      </c>
    </row>
    <row r="703" spans="1:14" x14ac:dyDescent="0.25">
      <c r="A703">
        <v>413320</v>
      </c>
      <c r="B703" t="s">
        <v>35</v>
      </c>
      <c r="C703">
        <v>47572</v>
      </c>
      <c r="D703" t="s">
        <v>42</v>
      </c>
      <c r="E703" t="s">
        <v>22</v>
      </c>
      <c r="F703" s="27">
        <v>45772</v>
      </c>
      <c r="G703">
        <v>0.5</v>
      </c>
      <c r="H703">
        <v>0.5</v>
      </c>
      <c r="I703" t="s">
        <v>295</v>
      </c>
      <c r="J703" s="27">
        <v>45777</v>
      </c>
      <c r="L703" s="29">
        <v>1418</v>
      </c>
      <c r="M703" s="29">
        <v>709</v>
      </c>
      <c r="N703" s="15">
        <v>45748</v>
      </c>
    </row>
    <row r="704" spans="1:14" x14ac:dyDescent="0.25">
      <c r="A704">
        <v>413324</v>
      </c>
      <c r="B704" t="s">
        <v>35</v>
      </c>
      <c r="C704">
        <v>47614</v>
      </c>
      <c r="D704" t="s">
        <v>42</v>
      </c>
      <c r="E704" t="s">
        <v>22</v>
      </c>
      <c r="F704" s="27">
        <v>45772</v>
      </c>
      <c r="G704">
        <v>1</v>
      </c>
      <c r="H704">
        <v>1</v>
      </c>
      <c r="I704">
        <v>1862</v>
      </c>
      <c r="J704" s="27">
        <v>45777</v>
      </c>
      <c r="L704" s="29">
        <v>1418</v>
      </c>
      <c r="M704" s="29">
        <v>1418</v>
      </c>
      <c r="N704" s="15">
        <v>45748</v>
      </c>
    </row>
    <row r="705" spans="1:14" x14ac:dyDescent="0.25">
      <c r="A705">
        <v>413325</v>
      </c>
      <c r="B705" t="s">
        <v>35</v>
      </c>
      <c r="C705">
        <v>47614</v>
      </c>
      <c r="D705" t="s">
        <v>42</v>
      </c>
      <c r="E705" t="s">
        <v>22</v>
      </c>
      <c r="F705" s="27">
        <v>45772</v>
      </c>
      <c r="G705">
        <v>1</v>
      </c>
      <c r="H705">
        <v>1</v>
      </c>
      <c r="I705">
        <v>1860</v>
      </c>
      <c r="J705" s="27">
        <v>45777</v>
      </c>
      <c r="L705" s="29">
        <v>1418</v>
      </c>
      <c r="M705" s="29">
        <v>1418</v>
      </c>
      <c r="N705" s="15">
        <v>45748</v>
      </c>
    </row>
    <row r="706" spans="1:14" x14ac:dyDescent="0.25">
      <c r="A706">
        <v>409760</v>
      </c>
      <c r="B706" t="s">
        <v>35</v>
      </c>
      <c r="C706">
        <v>47539</v>
      </c>
      <c r="D706" t="s">
        <v>25</v>
      </c>
      <c r="E706" t="s">
        <v>22</v>
      </c>
      <c r="F706" s="27">
        <v>45772</v>
      </c>
      <c r="G706">
        <v>2</v>
      </c>
      <c r="H706">
        <v>2</v>
      </c>
      <c r="I706" t="s">
        <v>509</v>
      </c>
      <c r="J706" s="27">
        <v>45775</v>
      </c>
      <c r="L706" s="29">
        <v>1077.5862068181818</v>
      </c>
      <c r="M706" s="29">
        <v>2155.1724136363637</v>
      </c>
      <c r="N706" s="15">
        <v>45748</v>
      </c>
    </row>
    <row r="707" spans="1:14" x14ac:dyDescent="0.25">
      <c r="A707">
        <v>409772</v>
      </c>
      <c r="B707" t="s">
        <v>35</v>
      </c>
      <c r="C707">
        <v>47615</v>
      </c>
      <c r="D707" t="s">
        <v>25</v>
      </c>
      <c r="E707" t="s">
        <v>22</v>
      </c>
      <c r="F707" s="27">
        <v>45772</v>
      </c>
      <c r="G707">
        <v>2</v>
      </c>
      <c r="H707">
        <v>2</v>
      </c>
      <c r="I707" t="s">
        <v>510</v>
      </c>
      <c r="J707" s="27">
        <v>45775</v>
      </c>
      <c r="L707" s="29">
        <v>1077.5862068181818</v>
      </c>
      <c r="M707" s="29">
        <v>2155.1724136363637</v>
      </c>
      <c r="N707" s="15">
        <v>45748</v>
      </c>
    </row>
    <row r="708" spans="1:14" x14ac:dyDescent="0.25">
      <c r="A708">
        <v>409779</v>
      </c>
      <c r="B708" t="s">
        <v>34</v>
      </c>
      <c r="C708">
        <v>21152</v>
      </c>
      <c r="D708" t="s">
        <v>25</v>
      </c>
      <c r="E708" t="s">
        <v>19</v>
      </c>
      <c r="F708" s="27">
        <v>45772</v>
      </c>
      <c r="G708">
        <v>21</v>
      </c>
      <c r="H708">
        <v>21</v>
      </c>
      <c r="I708" t="s">
        <v>511</v>
      </c>
      <c r="J708" s="27">
        <v>45775</v>
      </c>
      <c r="L708" s="29">
        <v>1077.5862068181818</v>
      </c>
      <c r="M708" s="29">
        <v>22629.31034318182</v>
      </c>
      <c r="N708" s="15">
        <v>45748</v>
      </c>
    </row>
    <row r="709" spans="1:14" x14ac:dyDescent="0.25">
      <c r="A709">
        <v>411829</v>
      </c>
      <c r="B709" t="s">
        <v>35</v>
      </c>
      <c r="C709">
        <v>52114</v>
      </c>
      <c r="D709" t="s">
        <v>37</v>
      </c>
      <c r="E709" t="s">
        <v>22</v>
      </c>
      <c r="F709" s="27">
        <v>45772</v>
      </c>
      <c r="G709">
        <v>8</v>
      </c>
      <c r="H709">
        <v>8</v>
      </c>
      <c r="I709" t="s">
        <v>493</v>
      </c>
      <c r="J709" s="27">
        <v>45777</v>
      </c>
      <c r="L709" s="29">
        <v>431.03448295454547</v>
      </c>
      <c r="M709" s="29">
        <v>3448.2758636363637</v>
      </c>
      <c r="N709" s="15">
        <v>45748</v>
      </c>
    </row>
    <row r="710" spans="1:14" x14ac:dyDescent="0.25">
      <c r="A710">
        <v>409270</v>
      </c>
      <c r="B710" t="s">
        <v>48</v>
      </c>
      <c r="C710">
        <v>53144</v>
      </c>
      <c r="D710" t="s">
        <v>36</v>
      </c>
      <c r="E710" t="s">
        <v>22</v>
      </c>
      <c r="F710" s="27">
        <v>45772</v>
      </c>
      <c r="G710">
        <v>1</v>
      </c>
      <c r="H710">
        <v>1</v>
      </c>
      <c r="I710" t="s">
        <v>512</v>
      </c>
      <c r="J710" s="27">
        <v>45772</v>
      </c>
      <c r="L710" s="29">
        <v>1724.1379312500001</v>
      </c>
      <c r="M710" s="29">
        <v>1724.1379312500001</v>
      </c>
      <c r="N710" s="15">
        <v>45748</v>
      </c>
    </row>
    <row r="711" spans="1:14" x14ac:dyDescent="0.25">
      <c r="A711">
        <v>410585</v>
      </c>
      <c r="B711" t="s">
        <v>28</v>
      </c>
      <c r="C711">
        <v>51263</v>
      </c>
      <c r="D711" t="s">
        <v>27</v>
      </c>
      <c r="E711" t="s">
        <v>22</v>
      </c>
      <c r="F711" s="27">
        <v>45772</v>
      </c>
      <c r="G711">
        <v>8</v>
      </c>
      <c r="H711">
        <v>8</v>
      </c>
      <c r="I711" t="s">
        <v>513</v>
      </c>
      <c r="J711" s="27">
        <v>45775</v>
      </c>
      <c r="L711" s="29">
        <v>574.71264374999998</v>
      </c>
      <c r="M711" s="29">
        <v>4597.7011499999999</v>
      </c>
      <c r="N711" s="15">
        <v>45748</v>
      </c>
    </row>
    <row r="712" spans="1:14" x14ac:dyDescent="0.25">
      <c r="A712">
        <v>413922</v>
      </c>
      <c r="B712" t="s">
        <v>31</v>
      </c>
      <c r="C712">
        <v>13970</v>
      </c>
      <c r="D712" t="s">
        <v>49</v>
      </c>
      <c r="E712" t="s">
        <v>19</v>
      </c>
      <c r="F712" s="27">
        <v>45772</v>
      </c>
      <c r="G712">
        <v>2.5</v>
      </c>
      <c r="H712">
        <v>2.5</v>
      </c>
      <c r="I712" t="s">
        <v>492</v>
      </c>
      <c r="J712" s="27">
        <v>45782</v>
      </c>
      <c r="L712" s="29">
        <v>1077.5862068181818</v>
      </c>
      <c r="M712" s="29">
        <v>2693.9655170454544</v>
      </c>
      <c r="N712" s="15">
        <v>45748</v>
      </c>
    </row>
    <row r="713" spans="1:14" x14ac:dyDescent="0.25">
      <c r="A713">
        <v>411240</v>
      </c>
      <c r="B713" t="s">
        <v>29</v>
      </c>
      <c r="C713">
        <v>53617</v>
      </c>
      <c r="D713" t="s">
        <v>44</v>
      </c>
      <c r="E713" t="s">
        <v>22</v>
      </c>
      <c r="F713" s="27">
        <v>45771</v>
      </c>
      <c r="G713">
        <v>8</v>
      </c>
      <c r="H713">
        <v>8</v>
      </c>
      <c r="I713" t="s">
        <v>335</v>
      </c>
      <c r="J713" s="27">
        <v>45776</v>
      </c>
      <c r="L713" s="29">
        <v>2011.494252840909</v>
      </c>
      <c r="M713" s="29">
        <v>16091.954022727272</v>
      </c>
      <c r="N713" s="15">
        <v>45748</v>
      </c>
    </row>
    <row r="714" spans="1:14" x14ac:dyDescent="0.25">
      <c r="A714">
        <v>408196</v>
      </c>
      <c r="B714" t="s">
        <v>20</v>
      </c>
      <c r="C714">
        <v>52830</v>
      </c>
      <c r="D714" t="s">
        <v>21</v>
      </c>
      <c r="E714" t="s">
        <v>22</v>
      </c>
      <c r="F714" s="27">
        <v>45771</v>
      </c>
      <c r="G714">
        <v>1</v>
      </c>
      <c r="H714">
        <v>1</v>
      </c>
      <c r="I714" t="s">
        <v>514</v>
      </c>
      <c r="J714" s="27">
        <v>45771</v>
      </c>
      <c r="L714" s="29">
        <v>1616.3793102272728</v>
      </c>
      <c r="M714" s="29">
        <v>1616.3793102272728</v>
      </c>
      <c r="N714" s="15">
        <v>45748</v>
      </c>
    </row>
    <row r="715" spans="1:14" x14ac:dyDescent="0.25">
      <c r="A715">
        <v>408197</v>
      </c>
      <c r="B715" t="s">
        <v>20</v>
      </c>
      <c r="C715">
        <v>52830</v>
      </c>
      <c r="D715" t="s">
        <v>21</v>
      </c>
      <c r="E715" t="s">
        <v>22</v>
      </c>
      <c r="F715" s="27">
        <v>45771</v>
      </c>
      <c r="G715">
        <v>2</v>
      </c>
      <c r="H715">
        <v>2</v>
      </c>
      <c r="I715" t="s">
        <v>483</v>
      </c>
      <c r="J715" s="27">
        <v>45771</v>
      </c>
      <c r="L715" s="29">
        <v>1616.3793102272728</v>
      </c>
      <c r="M715" s="29">
        <v>3232.7586204545455</v>
      </c>
      <c r="N715" s="15">
        <v>45748</v>
      </c>
    </row>
    <row r="716" spans="1:14" x14ac:dyDescent="0.25">
      <c r="A716">
        <v>413319</v>
      </c>
      <c r="B716" t="s">
        <v>35</v>
      </c>
      <c r="C716">
        <v>47572</v>
      </c>
      <c r="D716" t="s">
        <v>42</v>
      </c>
      <c r="E716" t="s">
        <v>22</v>
      </c>
      <c r="F716" s="27">
        <v>45771</v>
      </c>
      <c r="G716">
        <v>0.5</v>
      </c>
      <c r="H716">
        <v>0.5</v>
      </c>
      <c r="I716" t="s">
        <v>295</v>
      </c>
      <c r="J716" s="27">
        <v>45777</v>
      </c>
      <c r="L716" s="29">
        <v>1418</v>
      </c>
      <c r="M716" s="29">
        <v>709</v>
      </c>
      <c r="N716" s="15">
        <v>45748</v>
      </c>
    </row>
    <row r="717" spans="1:14" x14ac:dyDescent="0.25">
      <c r="A717">
        <v>411828</v>
      </c>
      <c r="B717" t="s">
        <v>35</v>
      </c>
      <c r="C717">
        <v>52114</v>
      </c>
      <c r="D717" t="s">
        <v>37</v>
      </c>
      <c r="E717" t="s">
        <v>22</v>
      </c>
      <c r="F717" s="27">
        <v>45771</v>
      </c>
      <c r="G717">
        <v>8</v>
      </c>
      <c r="H717">
        <v>8</v>
      </c>
      <c r="I717" t="s">
        <v>493</v>
      </c>
      <c r="J717" s="27">
        <v>45777</v>
      </c>
      <c r="L717" s="29">
        <v>431.03448295454547</v>
      </c>
      <c r="M717" s="29">
        <v>3448.2758636363637</v>
      </c>
      <c r="N717" s="15">
        <v>45748</v>
      </c>
    </row>
    <row r="718" spans="1:14" x14ac:dyDescent="0.25">
      <c r="A718">
        <v>408253</v>
      </c>
      <c r="B718" t="s">
        <v>35</v>
      </c>
      <c r="C718">
        <v>47572</v>
      </c>
      <c r="D718" t="s">
        <v>46</v>
      </c>
      <c r="E718" t="s">
        <v>22</v>
      </c>
      <c r="F718" s="27">
        <v>45771</v>
      </c>
      <c r="G718">
        <v>1.5</v>
      </c>
      <c r="H718">
        <v>1.5</v>
      </c>
      <c r="I718" t="s">
        <v>515</v>
      </c>
      <c r="J718" s="27">
        <v>45771</v>
      </c>
      <c r="L718" s="29">
        <v>1077.5862068181818</v>
      </c>
      <c r="M718" s="29">
        <v>1616.3793102272728</v>
      </c>
      <c r="N718" s="15">
        <v>45748</v>
      </c>
    </row>
    <row r="719" spans="1:14" x14ac:dyDescent="0.25">
      <c r="A719">
        <v>408254</v>
      </c>
      <c r="B719" t="s">
        <v>35</v>
      </c>
      <c r="C719">
        <v>47569</v>
      </c>
      <c r="D719" t="s">
        <v>46</v>
      </c>
      <c r="E719" t="s">
        <v>22</v>
      </c>
      <c r="F719" s="27">
        <v>45771</v>
      </c>
      <c r="G719">
        <v>6.5</v>
      </c>
      <c r="H719">
        <v>6.5</v>
      </c>
      <c r="I719" t="s">
        <v>489</v>
      </c>
      <c r="J719" s="27">
        <v>45771</v>
      </c>
      <c r="L719" s="29">
        <v>1077.5862068181818</v>
      </c>
      <c r="M719" s="29">
        <v>7004.3103443181817</v>
      </c>
      <c r="N719" s="15">
        <v>45748</v>
      </c>
    </row>
    <row r="720" spans="1:14" x14ac:dyDescent="0.25">
      <c r="A720">
        <v>410569</v>
      </c>
      <c r="B720" t="s">
        <v>28</v>
      </c>
      <c r="C720">
        <v>51263</v>
      </c>
      <c r="D720" t="s">
        <v>27</v>
      </c>
      <c r="E720" t="s">
        <v>22</v>
      </c>
      <c r="F720" s="27">
        <v>45771</v>
      </c>
      <c r="G720">
        <v>8</v>
      </c>
      <c r="H720">
        <v>8</v>
      </c>
      <c r="I720" t="s">
        <v>516</v>
      </c>
      <c r="J720" s="27">
        <v>45775</v>
      </c>
      <c r="L720" s="29">
        <v>574.71264374999998</v>
      </c>
      <c r="M720" s="29">
        <v>4597.7011499999999</v>
      </c>
      <c r="N720" s="15">
        <v>45748</v>
      </c>
    </row>
    <row r="721" spans="1:14" x14ac:dyDescent="0.25">
      <c r="A721">
        <v>408023</v>
      </c>
      <c r="B721" t="s">
        <v>29</v>
      </c>
      <c r="C721">
        <v>52508</v>
      </c>
      <c r="D721" t="s">
        <v>39</v>
      </c>
      <c r="E721" t="s">
        <v>22</v>
      </c>
      <c r="F721" s="27">
        <v>45771</v>
      </c>
      <c r="G721">
        <v>4</v>
      </c>
      <c r="H721">
        <v>4</v>
      </c>
      <c r="I721" t="s">
        <v>436</v>
      </c>
      <c r="J721" s="27">
        <v>45771</v>
      </c>
      <c r="L721" s="29">
        <v>718.39080454545456</v>
      </c>
      <c r="M721" s="29">
        <v>2873.5632181818182</v>
      </c>
      <c r="N721" s="15">
        <v>45748</v>
      </c>
    </row>
    <row r="722" spans="1:14" x14ac:dyDescent="0.25">
      <c r="A722">
        <v>413916</v>
      </c>
      <c r="B722" t="s">
        <v>31</v>
      </c>
      <c r="C722">
        <v>13970</v>
      </c>
      <c r="D722" t="s">
        <v>49</v>
      </c>
      <c r="E722" t="s">
        <v>19</v>
      </c>
      <c r="F722" s="27">
        <v>45771</v>
      </c>
      <c r="G722">
        <v>3</v>
      </c>
      <c r="H722">
        <v>3</v>
      </c>
      <c r="I722" t="s">
        <v>492</v>
      </c>
      <c r="J722" s="27">
        <v>45782</v>
      </c>
      <c r="L722" s="29">
        <v>1077.5862068181818</v>
      </c>
      <c r="M722" s="29">
        <v>3232.7586204545455</v>
      </c>
      <c r="N722" s="15">
        <v>45748</v>
      </c>
    </row>
    <row r="723" spans="1:14" x14ac:dyDescent="0.25">
      <c r="A723">
        <v>426485</v>
      </c>
      <c r="B723" t="s">
        <v>29</v>
      </c>
      <c r="C723">
        <v>52587</v>
      </c>
      <c r="D723" t="s">
        <v>30</v>
      </c>
      <c r="E723" t="s">
        <v>22</v>
      </c>
      <c r="F723" s="27">
        <v>45771</v>
      </c>
      <c r="G723">
        <v>8</v>
      </c>
      <c r="H723">
        <v>8</v>
      </c>
      <c r="I723" t="s">
        <v>494</v>
      </c>
      <c r="J723" s="27">
        <v>45817</v>
      </c>
      <c r="L723" s="29">
        <v>574.71264374999998</v>
      </c>
      <c r="M723" s="29">
        <v>4597.7011499999999</v>
      </c>
      <c r="N723" s="15">
        <v>45748</v>
      </c>
    </row>
    <row r="724" spans="1:14" x14ac:dyDescent="0.25">
      <c r="A724">
        <v>432249</v>
      </c>
      <c r="B724" t="s">
        <v>18</v>
      </c>
      <c r="C724">
        <v>29</v>
      </c>
      <c r="D724" t="s">
        <v>41</v>
      </c>
      <c r="E724" t="s">
        <v>19</v>
      </c>
      <c r="F724" s="27">
        <v>45770</v>
      </c>
      <c r="G724">
        <v>69</v>
      </c>
      <c r="H724">
        <v>69</v>
      </c>
      <c r="I724" t="s">
        <v>255</v>
      </c>
      <c r="J724" s="27">
        <v>45836</v>
      </c>
      <c r="L724" s="29">
        <v>1436.7816090909091</v>
      </c>
      <c r="M724" s="29">
        <v>99137.931027272731</v>
      </c>
      <c r="N724" s="15">
        <v>45748</v>
      </c>
    </row>
    <row r="725" spans="1:14" x14ac:dyDescent="0.25">
      <c r="A725">
        <v>413323</v>
      </c>
      <c r="B725" t="s">
        <v>35</v>
      </c>
      <c r="C725">
        <v>47614</v>
      </c>
      <c r="D725" t="s">
        <v>42</v>
      </c>
      <c r="E725" t="s">
        <v>22</v>
      </c>
      <c r="F725" s="27">
        <v>45770</v>
      </c>
      <c r="G725">
        <v>2</v>
      </c>
      <c r="H725">
        <v>2</v>
      </c>
      <c r="I725">
        <v>1517</v>
      </c>
      <c r="J725" s="27">
        <v>45777</v>
      </c>
      <c r="L725" s="29">
        <v>1418</v>
      </c>
      <c r="M725" s="29">
        <v>2836</v>
      </c>
      <c r="N725" s="15">
        <v>45748</v>
      </c>
    </row>
    <row r="726" spans="1:14" x14ac:dyDescent="0.25">
      <c r="A726">
        <v>409746</v>
      </c>
      <c r="B726" t="s">
        <v>34</v>
      </c>
      <c r="C726">
        <v>21152</v>
      </c>
      <c r="D726" t="s">
        <v>25</v>
      </c>
      <c r="E726" t="s">
        <v>19</v>
      </c>
      <c r="F726" s="27">
        <v>45770</v>
      </c>
      <c r="G726">
        <v>2</v>
      </c>
      <c r="H726">
        <v>2</v>
      </c>
      <c r="I726" t="s">
        <v>517</v>
      </c>
      <c r="J726" s="27">
        <v>45775</v>
      </c>
      <c r="L726" s="29">
        <v>1077.5862068181818</v>
      </c>
      <c r="M726" s="29">
        <v>2155.1724136363637</v>
      </c>
      <c r="N726" s="15">
        <v>45748</v>
      </c>
    </row>
    <row r="727" spans="1:14" x14ac:dyDescent="0.25">
      <c r="A727">
        <v>415122</v>
      </c>
      <c r="B727" t="s">
        <v>29</v>
      </c>
      <c r="C727">
        <v>53425</v>
      </c>
      <c r="D727" t="s">
        <v>30</v>
      </c>
      <c r="E727" t="s">
        <v>22</v>
      </c>
      <c r="F727" s="27">
        <v>45770</v>
      </c>
      <c r="G727">
        <v>8</v>
      </c>
      <c r="H727">
        <v>8</v>
      </c>
      <c r="I727" t="s">
        <v>518</v>
      </c>
      <c r="J727" s="27">
        <v>45784</v>
      </c>
      <c r="L727" s="29">
        <v>574.71264374999998</v>
      </c>
      <c r="M727" s="29">
        <v>4597.7011499999999</v>
      </c>
      <c r="N727" s="15">
        <v>45748</v>
      </c>
    </row>
    <row r="728" spans="1:14" x14ac:dyDescent="0.25">
      <c r="A728">
        <v>409747</v>
      </c>
      <c r="B728" t="s">
        <v>34</v>
      </c>
      <c r="C728">
        <v>21152</v>
      </c>
      <c r="D728" t="s">
        <v>25</v>
      </c>
      <c r="E728" t="s">
        <v>19</v>
      </c>
      <c r="F728" s="27">
        <v>45770</v>
      </c>
      <c r="G728">
        <v>1</v>
      </c>
      <c r="H728">
        <v>1</v>
      </c>
      <c r="I728" t="s">
        <v>519</v>
      </c>
      <c r="J728" s="27">
        <v>45775</v>
      </c>
      <c r="L728" s="29">
        <v>1077.5862068181818</v>
      </c>
      <c r="M728" s="29">
        <v>1077.5862068181818</v>
      </c>
      <c r="N728" s="15">
        <v>45748</v>
      </c>
    </row>
    <row r="729" spans="1:14" x14ac:dyDescent="0.25">
      <c r="A729">
        <v>409751</v>
      </c>
      <c r="B729" t="s">
        <v>34</v>
      </c>
      <c r="C729">
        <v>21152</v>
      </c>
      <c r="D729" t="s">
        <v>25</v>
      </c>
      <c r="E729" t="s">
        <v>19</v>
      </c>
      <c r="F729" s="27">
        <v>45770</v>
      </c>
      <c r="G729">
        <v>5</v>
      </c>
      <c r="H729">
        <v>5</v>
      </c>
      <c r="I729" t="s">
        <v>520</v>
      </c>
      <c r="J729" s="27">
        <v>45775</v>
      </c>
      <c r="L729" s="29">
        <v>1077.5862068181818</v>
      </c>
      <c r="M729" s="29">
        <v>5387.9310340909087</v>
      </c>
      <c r="N729" s="15">
        <v>45748</v>
      </c>
    </row>
    <row r="730" spans="1:14" x14ac:dyDescent="0.25">
      <c r="A730">
        <v>409254</v>
      </c>
      <c r="B730" t="s">
        <v>48</v>
      </c>
      <c r="C730">
        <v>53144</v>
      </c>
      <c r="D730" t="s">
        <v>36</v>
      </c>
      <c r="E730" t="s">
        <v>22</v>
      </c>
      <c r="F730" s="27">
        <v>45770</v>
      </c>
      <c r="G730">
        <v>0.75</v>
      </c>
      <c r="H730">
        <v>0.75</v>
      </c>
      <c r="I730" t="s">
        <v>521</v>
      </c>
      <c r="J730" s="27">
        <v>45772</v>
      </c>
      <c r="L730" s="29">
        <v>1724.1379312500001</v>
      </c>
      <c r="M730" s="29">
        <v>1293.1034484375</v>
      </c>
      <c r="N730" s="15">
        <v>45748</v>
      </c>
    </row>
    <row r="731" spans="1:14" x14ac:dyDescent="0.25">
      <c r="A731">
        <v>411827</v>
      </c>
      <c r="B731" t="s">
        <v>35</v>
      </c>
      <c r="C731">
        <v>52114</v>
      </c>
      <c r="D731" t="s">
        <v>37</v>
      </c>
      <c r="E731" t="s">
        <v>22</v>
      </c>
      <c r="F731" s="27">
        <v>45770</v>
      </c>
      <c r="G731">
        <v>8</v>
      </c>
      <c r="H731">
        <v>8</v>
      </c>
      <c r="I731" t="s">
        <v>493</v>
      </c>
      <c r="J731" s="27">
        <v>45777</v>
      </c>
      <c r="L731" s="29">
        <v>431.03448295454547</v>
      </c>
      <c r="M731" s="29">
        <v>3448.2758636363637</v>
      </c>
      <c r="N731" s="15">
        <v>45748</v>
      </c>
    </row>
    <row r="732" spans="1:14" x14ac:dyDescent="0.25">
      <c r="A732">
        <v>410564</v>
      </c>
      <c r="B732" t="s">
        <v>28</v>
      </c>
      <c r="C732">
        <v>51263</v>
      </c>
      <c r="D732" t="s">
        <v>27</v>
      </c>
      <c r="E732" t="s">
        <v>22</v>
      </c>
      <c r="F732" s="27">
        <v>45770</v>
      </c>
      <c r="G732">
        <v>9</v>
      </c>
      <c r="H732">
        <v>9</v>
      </c>
      <c r="I732" t="s">
        <v>522</v>
      </c>
      <c r="J732" s="27">
        <v>45775</v>
      </c>
      <c r="L732" s="29">
        <v>574.71264374999998</v>
      </c>
      <c r="M732" s="29">
        <v>5172.41379375</v>
      </c>
      <c r="N732" s="15">
        <v>45748</v>
      </c>
    </row>
    <row r="733" spans="1:14" x14ac:dyDescent="0.25">
      <c r="A733">
        <v>408008</v>
      </c>
      <c r="B733" t="s">
        <v>35</v>
      </c>
      <c r="C733">
        <v>47569</v>
      </c>
      <c r="D733" t="s">
        <v>46</v>
      </c>
      <c r="E733" t="s">
        <v>22</v>
      </c>
      <c r="F733" s="27">
        <v>45770</v>
      </c>
      <c r="G733">
        <v>7</v>
      </c>
      <c r="H733">
        <v>7</v>
      </c>
      <c r="I733" t="s">
        <v>489</v>
      </c>
      <c r="J733" s="27">
        <v>45771</v>
      </c>
      <c r="L733" s="29">
        <v>1077.5862068181818</v>
      </c>
      <c r="M733" s="29">
        <v>7543.1034477272733</v>
      </c>
      <c r="N733" s="15">
        <v>45748</v>
      </c>
    </row>
    <row r="734" spans="1:14" x14ac:dyDescent="0.25">
      <c r="A734">
        <v>408010</v>
      </c>
      <c r="B734" t="s">
        <v>35</v>
      </c>
      <c r="C734">
        <v>47569</v>
      </c>
      <c r="D734" t="s">
        <v>46</v>
      </c>
      <c r="E734" t="s">
        <v>22</v>
      </c>
      <c r="F734" s="27">
        <v>45770</v>
      </c>
      <c r="G734">
        <v>1</v>
      </c>
      <c r="H734">
        <v>1</v>
      </c>
      <c r="I734" t="s">
        <v>523</v>
      </c>
      <c r="J734" s="27">
        <v>45771</v>
      </c>
      <c r="L734" s="29">
        <v>1077.5862068181818</v>
      </c>
      <c r="M734" s="29">
        <v>1077.5862068181818</v>
      </c>
      <c r="N734" s="15">
        <v>45748</v>
      </c>
    </row>
    <row r="735" spans="1:14" x14ac:dyDescent="0.25">
      <c r="A735">
        <v>408022</v>
      </c>
      <c r="B735" t="s">
        <v>29</v>
      </c>
      <c r="C735">
        <v>52508</v>
      </c>
      <c r="D735" t="s">
        <v>39</v>
      </c>
      <c r="E735" t="s">
        <v>22</v>
      </c>
      <c r="F735" s="27">
        <v>45770</v>
      </c>
      <c r="G735">
        <v>4</v>
      </c>
      <c r="H735">
        <v>4</v>
      </c>
      <c r="I735" t="s">
        <v>524</v>
      </c>
      <c r="J735" s="27">
        <v>45771</v>
      </c>
      <c r="L735" s="29">
        <v>718.39080454545456</v>
      </c>
      <c r="M735" s="29">
        <v>2873.5632181818182</v>
      </c>
      <c r="N735" s="15">
        <v>45748</v>
      </c>
    </row>
    <row r="736" spans="1:14" x14ac:dyDescent="0.25">
      <c r="A736">
        <v>407364</v>
      </c>
      <c r="B736" t="s">
        <v>35</v>
      </c>
      <c r="C736">
        <v>47572</v>
      </c>
      <c r="D736" t="s">
        <v>46</v>
      </c>
      <c r="E736" t="s">
        <v>22</v>
      </c>
      <c r="F736" s="27">
        <v>45769</v>
      </c>
      <c r="G736">
        <v>0.5</v>
      </c>
      <c r="H736">
        <v>0.5</v>
      </c>
      <c r="I736" t="s">
        <v>331</v>
      </c>
      <c r="J736" s="27">
        <v>45769</v>
      </c>
      <c r="L736" s="29">
        <v>1077.5862068181818</v>
      </c>
      <c r="M736" s="29">
        <v>538.79310340909092</v>
      </c>
      <c r="N736" s="15">
        <v>45748</v>
      </c>
    </row>
    <row r="737" spans="1:14" x14ac:dyDescent="0.25">
      <c r="A737">
        <v>407365</v>
      </c>
      <c r="B737" t="s">
        <v>35</v>
      </c>
      <c r="C737">
        <v>47569</v>
      </c>
      <c r="D737" t="s">
        <v>46</v>
      </c>
      <c r="E737" t="s">
        <v>22</v>
      </c>
      <c r="F737" s="27">
        <v>45769</v>
      </c>
      <c r="G737">
        <v>7.5</v>
      </c>
      <c r="H737">
        <v>7.5</v>
      </c>
      <c r="I737" t="s">
        <v>523</v>
      </c>
      <c r="J737" s="27">
        <v>45769</v>
      </c>
      <c r="L737" s="29">
        <v>1077.5862068181818</v>
      </c>
      <c r="M737" s="29">
        <v>8081.896551136364</v>
      </c>
      <c r="N737" s="15">
        <v>45748</v>
      </c>
    </row>
    <row r="738" spans="1:14" x14ac:dyDescent="0.25">
      <c r="A738">
        <v>442234</v>
      </c>
      <c r="B738" t="s">
        <v>47</v>
      </c>
      <c r="C738">
        <v>53726</v>
      </c>
      <c r="D738" t="s">
        <v>49</v>
      </c>
      <c r="E738" t="s">
        <v>22</v>
      </c>
      <c r="F738" s="27">
        <v>45769</v>
      </c>
      <c r="G738">
        <v>112</v>
      </c>
      <c r="H738">
        <v>112</v>
      </c>
      <c r="I738" t="s">
        <v>255</v>
      </c>
      <c r="J738" s="27">
        <v>45862</v>
      </c>
      <c r="L738" s="29">
        <v>1077.5862068181818</v>
      </c>
      <c r="M738" s="29">
        <v>120689.65516363637</v>
      </c>
      <c r="N738" s="15">
        <v>45748</v>
      </c>
    </row>
    <row r="739" spans="1:14" x14ac:dyDescent="0.25">
      <c r="A739">
        <v>407942</v>
      </c>
      <c r="B739" t="s">
        <v>20</v>
      </c>
      <c r="C739">
        <v>52830</v>
      </c>
      <c r="D739" t="s">
        <v>21</v>
      </c>
      <c r="E739" t="s">
        <v>22</v>
      </c>
      <c r="F739" s="27">
        <v>45769</v>
      </c>
      <c r="G739">
        <v>1</v>
      </c>
      <c r="H739">
        <v>1</v>
      </c>
      <c r="I739" t="s">
        <v>525</v>
      </c>
      <c r="J739" s="27">
        <v>45771</v>
      </c>
      <c r="L739" s="29">
        <v>1616.3793102272728</v>
      </c>
      <c r="M739" s="29">
        <v>1616.3793102272728</v>
      </c>
      <c r="N739" s="15">
        <v>45748</v>
      </c>
    </row>
    <row r="740" spans="1:14" x14ac:dyDescent="0.25">
      <c r="A740">
        <v>413318</v>
      </c>
      <c r="B740" t="s">
        <v>35</v>
      </c>
      <c r="C740">
        <v>47572</v>
      </c>
      <c r="D740" t="s">
        <v>42</v>
      </c>
      <c r="E740" t="s">
        <v>22</v>
      </c>
      <c r="F740" s="27">
        <v>45769</v>
      </c>
      <c r="G740">
        <v>0.5</v>
      </c>
      <c r="H740">
        <v>0.5</v>
      </c>
      <c r="I740" t="s">
        <v>295</v>
      </c>
      <c r="J740" s="27">
        <v>45777</v>
      </c>
      <c r="L740" s="29">
        <v>1418</v>
      </c>
      <c r="M740" s="29">
        <v>709</v>
      </c>
      <c r="N740" s="15">
        <v>45748</v>
      </c>
    </row>
    <row r="741" spans="1:14" x14ac:dyDescent="0.25">
      <c r="A741">
        <v>407944</v>
      </c>
      <c r="B741" t="s">
        <v>20</v>
      </c>
      <c r="C741">
        <v>52830</v>
      </c>
      <c r="D741" t="s">
        <v>21</v>
      </c>
      <c r="E741" t="s">
        <v>22</v>
      </c>
      <c r="F741" s="27">
        <v>45769</v>
      </c>
      <c r="G741">
        <v>0.5</v>
      </c>
      <c r="H741">
        <v>0.5</v>
      </c>
      <c r="I741" t="s">
        <v>526</v>
      </c>
      <c r="J741" s="27">
        <v>45771</v>
      </c>
      <c r="L741" s="29">
        <v>1616.3793102272728</v>
      </c>
      <c r="M741" s="29">
        <v>808.18965511363638</v>
      </c>
      <c r="N741" s="15">
        <v>45748</v>
      </c>
    </row>
    <row r="742" spans="1:14" x14ac:dyDescent="0.25">
      <c r="A742">
        <v>407945</v>
      </c>
      <c r="B742" t="s">
        <v>20</v>
      </c>
      <c r="C742">
        <v>52830</v>
      </c>
      <c r="D742" t="s">
        <v>21</v>
      </c>
      <c r="E742" t="s">
        <v>22</v>
      </c>
      <c r="F742" s="27">
        <v>45769</v>
      </c>
      <c r="G742">
        <v>0.5</v>
      </c>
      <c r="H742">
        <v>0.5</v>
      </c>
      <c r="I742" t="s">
        <v>527</v>
      </c>
      <c r="J742" s="27">
        <v>45771</v>
      </c>
      <c r="L742" s="29">
        <v>1616.3793102272728</v>
      </c>
      <c r="M742" s="29">
        <v>808.18965511363638</v>
      </c>
      <c r="N742" s="15">
        <v>45748</v>
      </c>
    </row>
    <row r="743" spans="1:14" x14ac:dyDescent="0.25">
      <c r="A743">
        <v>407946</v>
      </c>
      <c r="B743" t="s">
        <v>20</v>
      </c>
      <c r="C743">
        <v>52830</v>
      </c>
      <c r="D743" t="s">
        <v>21</v>
      </c>
      <c r="E743" t="s">
        <v>22</v>
      </c>
      <c r="F743" s="27">
        <v>45769</v>
      </c>
      <c r="G743">
        <v>5</v>
      </c>
      <c r="H743">
        <v>5</v>
      </c>
      <c r="I743" t="s">
        <v>528</v>
      </c>
      <c r="J743" s="27">
        <v>45771</v>
      </c>
      <c r="L743" s="29">
        <v>1616.3793102272728</v>
      </c>
      <c r="M743" s="29">
        <v>8081.896551136364</v>
      </c>
      <c r="N743" s="15">
        <v>45748</v>
      </c>
    </row>
    <row r="744" spans="1:14" x14ac:dyDescent="0.25">
      <c r="A744">
        <v>409743</v>
      </c>
      <c r="B744" t="s">
        <v>34</v>
      </c>
      <c r="C744">
        <v>21152</v>
      </c>
      <c r="D744" t="s">
        <v>25</v>
      </c>
      <c r="E744" t="s">
        <v>19</v>
      </c>
      <c r="F744" s="27">
        <v>45769</v>
      </c>
      <c r="G744">
        <v>6</v>
      </c>
      <c r="H744">
        <v>6</v>
      </c>
      <c r="I744" t="s">
        <v>529</v>
      </c>
      <c r="J744" s="27">
        <v>45775</v>
      </c>
      <c r="L744" s="29">
        <v>1077.5862068181818</v>
      </c>
      <c r="M744" s="29">
        <v>6465.517240909091</v>
      </c>
      <c r="N744" s="15">
        <v>45748</v>
      </c>
    </row>
    <row r="745" spans="1:14" x14ac:dyDescent="0.25">
      <c r="A745">
        <v>409744</v>
      </c>
      <c r="B745" t="s">
        <v>34</v>
      </c>
      <c r="C745">
        <v>21152</v>
      </c>
      <c r="D745" t="s">
        <v>25</v>
      </c>
      <c r="E745" t="s">
        <v>19</v>
      </c>
      <c r="F745" s="27">
        <v>45769</v>
      </c>
      <c r="G745">
        <v>2</v>
      </c>
      <c r="H745">
        <v>2</v>
      </c>
      <c r="I745" t="s">
        <v>517</v>
      </c>
      <c r="J745" s="27">
        <v>45775</v>
      </c>
      <c r="L745" s="29">
        <v>1077.5862068181818</v>
      </c>
      <c r="M745" s="29">
        <v>2155.1724136363637</v>
      </c>
      <c r="N745" s="15">
        <v>45748</v>
      </c>
    </row>
    <row r="746" spans="1:14" x14ac:dyDescent="0.25">
      <c r="A746">
        <v>411826</v>
      </c>
      <c r="B746" t="s">
        <v>35</v>
      </c>
      <c r="C746">
        <v>52114</v>
      </c>
      <c r="D746" t="s">
        <v>37</v>
      </c>
      <c r="E746" t="s">
        <v>22</v>
      </c>
      <c r="F746" s="27">
        <v>45769</v>
      </c>
      <c r="G746">
        <v>8</v>
      </c>
      <c r="H746">
        <v>8</v>
      </c>
      <c r="I746" t="s">
        <v>493</v>
      </c>
      <c r="J746" s="27">
        <v>45777</v>
      </c>
      <c r="L746" s="29">
        <v>431.03448295454547</v>
      </c>
      <c r="M746" s="29">
        <v>3448.2758636363637</v>
      </c>
      <c r="N746" s="15">
        <v>45748</v>
      </c>
    </row>
    <row r="747" spans="1:14" x14ac:dyDescent="0.25">
      <c r="A747">
        <v>410563</v>
      </c>
      <c r="B747" t="s">
        <v>28</v>
      </c>
      <c r="C747">
        <v>51263</v>
      </c>
      <c r="D747" t="s">
        <v>27</v>
      </c>
      <c r="E747" t="s">
        <v>22</v>
      </c>
      <c r="F747" s="27">
        <v>45769</v>
      </c>
      <c r="G747">
        <v>5</v>
      </c>
      <c r="H747">
        <v>5</v>
      </c>
      <c r="I747" t="s">
        <v>530</v>
      </c>
      <c r="J747" s="27">
        <v>45775</v>
      </c>
      <c r="L747" s="29">
        <v>574.71264374999998</v>
      </c>
      <c r="M747" s="29">
        <v>2873.56321875</v>
      </c>
      <c r="N747" s="15">
        <v>45748</v>
      </c>
    </row>
    <row r="748" spans="1:14" x14ac:dyDescent="0.25">
      <c r="A748">
        <v>408018</v>
      </c>
      <c r="B748" t="s">
        <v>29</v>
      </c>
      <c r="C748">
        <v>52508</v>
      </c>
      <c r="D748" t="s">
        <v>39</v>
      </c>
      <c r="E748" t="s">
        <v>22</v>
      </c>
      <c r="F748" s="27">
        <v>45769</v>
      </c>
      <c r="G748">
        <v>4</v>
      </c>
      <c r="H748">
        <v>4</v>
      </c>
      <c r="I748" t="s">
        <v>524</v>
      </c>
      <c r="J748" s="27">
        <v>45771</v>
      </c>
      <c r="L748" s="29">
        <v>718.39080454545456</v>
      </c>
      <c r="M748" s="29">
        <v>2873.5632181818182</v>
      </c>
      <c r="N748" s="15">
        <v>45748</v>
      </c>
    </row>
    <row r="749" spans="1:14" x14ac:dyDescent="0.25">
      <c r="A749">
        <v>413911</v>
      </c>
      <c r="B749" t="s">
        <v>31</v>
      </c>
      <c r="C749">
        <v>13970</v>
      </c>
      <c r="D749" t="s">
        <v>49</v>
      </c>
      <c r="E749" t="s">
        <v>19</v>
      </c>
      <c r="F749" s="27">
        <v>45769</v>
      </c>
      <c r="G749">
        <v>1</v>
      </c>
      <c r="H749">
        <v>1</v>
      </c>
      <c r="I749" t="s">
        <v>531</v>
      </c>
      <c r="J749" s="27">
        <v>45782</v>
      </c>
      <c r="L749" s="29">
        <v>1077.5862068181818</v>
      </c>
      <c r="M749" s="29">
        <v>1077.5862068181818</v>
      </c>
      <c r="N749" s="15">
        <v>45748</v>
      </c>
    </row>
    <row r="750" spans="1:14" x14ac:dyDescent="0.25">
      <c r="A750">
        <v>413912</v>
      </c>
      <c r="B750" t="s">
        <v>31</v>
      </c>
      <c r="C750">
        <v>13970</v>
      </c>
      <c r="D750" t="s">
        <v>49</v>
      </c>
      <c r="E750" t="s">
        <v>19</v>
      </c>
      <c r="F750" s="27">
        <v>45769</v>
      </c>
      <c r="G750">
        <v>2</v>
      </c>
      <c r="H750">
        <v>2</v>
      </c>
      <c r="I750" t="s">
        <v>492</v>
      </c>
      <c r="J750" s="27">
        <v>45782</v>
      </c>
      <c r="L750" s="29">
        <v>1077.5862068181818</v>
      </c>
      <c r="M750" s="29">
        <v>2155.1724136363637</v>
      </c>
      <c r="N750" s="15">
        <v>45748</v>
      </c>
    </row>
    <row r="751" spans="1:14" x14ac:dyDescent="0.25">
      <c r="A751">
        <v>412387</v>
      </c>
      <c r="B751" t="s">
        <v>29</v>
      </c>
      <c r="C751">
        <v>45027</v>
      </c>
      <c r="D751" t="s">
        <v>30</v>
      </c>
      <c r="E751" t="s">
        <v>22</v>
      </c>
      <c r="F751" s="27">
        <v>45769</v>
      </c>
      <c r="G751">
        <v>8</v>
      </c>
      <c r="H751">
        <v>8</v>
      </c>
      <c r="I751" t="s">
        <v>494</v>
      </c>
      <c r="J751" s="27">
        <v>45777</v>
      </c>
      <c r="L751" s="29">
        <v>574.71264374999998</v>
      </c>
      <c r="M751" s="29">
        <v>4597.7011499999999</v>
      </c>
      <c r="N751" s="15">
        <v>45748</v>
      </c>
    </row>
    <row r="752" spans="1:14" x14ac:dyDescent="0.25">
      <c r="A752">
        <v>407030</v>
      </c>
      <c r="B752" t="s">
        <v>20</v>
      </c>
      <c r="C752">
        <v>45135</v>
      </c>
      <c r="D752" t="s">
        <v>21</v>
      </c>
      <c r="E752" t="s">
        <v>22</v>
      </c>
      <c r="F752" s="27">
        <v>45769</v>
      </c>
      <c r="G752">
        <v>1</v>
      </c>
      <c r="H752">
        <v>1</v>
      </c>
      <c r="I752" t="s">
        <v>532</v>
      </c>
      <c r="J752" s="27">
        <v>45769</v>
      </c>
      <c r="L752" s="29">
        <v>1616.3793102272728</v>
      </c>
      <c r="M752" s="29">
        <v>1616.3793102272728</v>
      </c>
      <c r="N752" s="15">
        <v>45748</v>
      </c>
    </row>
    <row r="753" spans="1:14" x14ac:dyDescent="0.25">
      <c r="A753">
        <v>406900</v>
      </c>
      <c r="B753" t="s">
        <v>35</v>
      </c>
      <c r="C753">
        <v>47572</v>
      </c>
      <c r="D753" t="s">
        <v>46</v>
      </c>
      <c r="E753" t="s">
        <v>22</v>
      </c>
      <c r="F753" s="27">
        <v>45768</v>
      </c>
      <c r="G753">
        <v>0.5</v>
      </c>
      <c r="H753">
        <v>0.5</v>
      </c>
      <c r="I753" t="s">
        <v>331</v>
      </c>
      <c r="J753" s="27">
        <v>45768</v>
      </c>
      <c r="L753" s="29">
        <v>1077.5862068181818</v>
      </c>
      <c r="M753" s="29">
        <v>538.79310340909092</v>
      </c>
      <c r="N753" s="15">
        <v>45748</v>
      </c>
    </row>
    <row r="754" spans="1:14" x14ac:dyDescent="0.25">
      <c r="A754">
        <v>406904</v>
      </c>
      <c r="B754" t="s">
        <v>35</v>
      </c>
      <c r="C754">
        <v>47569</v>
      </c>
      <c r="D754" t="s">
        <v>46</v>
      </c>
      <c r="E754" t="s">
        <v>22</v>
      </c>
      <c r="F754" s="27">
        <v>45768</v>
      </c>
      <c r="G754">
        <v>7.5</v>
      </c>
      <c r="H754">
        <v>7.5</v>
      </c>
      <c r="I754" t="s">
        <v>533</v>
      </c>
      <c r="J754" s="27">
        <v>45768</v>
      </c>
      <c r="L754" s="29">
        <v>1077.5862068181818</v>
      </c>
      <c r="M754" s="29">
        <v>8081.896551136364</v>
      </c>
      <c r="N754" s="15">
        <v>45748</v>
      </c>
    </row>
    <row r="755" spans="1:14" x14ac:dyDescent="0.25">
      <c r="A755">
        <v>432251</v>
      </c>
      <c r="B755" t="s">
        <v>45</v>
      </c>
      <c r="C755">
        <v>54643</v>
      </c>
      <c r="D755" t="s">
        <v>41</v>
      </c>
      <c r="E755" t="s">
        <v>22</v>
      </c>
      <c r="F755" s="27">
        <v>45768</v>
      </c>
      <c r="G755">
        <v>32</v>
      </c>
      <c r="H755">
        <v>32</v>
      </c>
      <c r="I755" t="s">
        <v>439</v>
      </c>
      <c r="J755" s="27">
        <v>45836</v>
      </c>
      <c r="L755" s="29">
        <v>1436.7816090909091</v>
      </c>
      <c r="M755" s="29">
        <v>45977.011490909092</v>
      </c>
      <c r="N755" s="15">
        <v>45748</v>
      </c>
    </row>
    <row r="756" spans="1:14" x14ac:dyDescent="0.25">
      <c r="A756">
        <v>409737</v>
      </c>
      <c r="B756" t="s">
        <v>34</v>
      </c>
      <c r="C756">
        <v>21152</v>
      </c>
      <c r="D756" t="s">
        <v>25</v>
      </c>
      <c r="E756" t="s">
        <v>19</v>
      </c>
      <c r="F756" s="27">
        <v>45768</v>
      </c>
      <c r="G756">
        <v>4</v>
      </c>
      <c r="H756">
        <v>4</v>
      </c>
      <c r="I756" t="s">
        <v>534</v>
      </c>
      <c r="J756" s="27">
        <v>45775</v>
      </c>
      <c r="L756" s="29">
        <v>1077.5862068181818</v>
      </c>
      <c r="M756" s="29">
        <v>4310.3448272727273</v>
      </c>
      <c r="N756" s="15">
        <v>45748</v>
      </c>
    </row>
    <row r="757" spans="1:14" x14ac:dyDescent="0.25">
      <c r="A757">
        <v>407947</v>
      </c>
      <c r="B757" t="s">
        <v>20</v>
      </c>
      <c r="C757">
        <v>52830</v>
      </c>
      <c r="D757" t="s">
        <v>21</v>
      </c>
      <c r="E757" t="s">
        <v>22</v>
      </c>
      <c r="F757" s="27">
        <v>45768</v>
      </c>
      <c r="G757">
        <v>0.5</v>
      </c>
      <c r="H757">
        <v>0.5</v>
      </c>
      <c r="I757" t="s">
        <v>535</v>
      </c>
      <c r="J757" s="27">
        <v>45771</v>
      </c>
      <c r="L757" s="29">
        <v>1616.3793102272728</v>
      </c>
      <c r="M757" s="29">
        <v>808.18965511363638</v>
      </c>
      <c r="N757" s="15">
        <v>45748</v>
      </c>
    </row>
    <row r="758" spans="1:14" x14ac:dyDescent="0.25">
      <c r="A758">
        <v>407948</v>
      </c>
      <c r="B758" t="s">
        <v>20</v>
      </c>
      <c r="C758">
        <v>52828</v>
      </c>
      <c r="D758" t="s">
        <v>21</v>
      </c>
      <c r="E758" t="s">
        <v>22</v>
      </c>
      <c r="F758" s="27">
        <v>45768</v>
      </c>
      <c r="G758">
        <v>4</v>
      </c>
      <c r="H758">
        <v>4</v>
      </c>
      <c r="I758" t="s">
        <v>536</v>
      </c>
      <c r="J758" s="27">
        <v>45771</v>
      </c>
      <c r="L758" s="29">
        <v>1616.3793102272728</v>
      </c>
      <c r="M758" s="29">
        <v>6465.517240909091</v>
      </c>
      <c r="N758" s="15">
        <v>45748</v>
      </c>
    </row>
    <row r="759" spans="1:14" x14ac:dyDescent="0.25">
      <c r="A759">
        <v>407949</v>
      </c>
      <c r="B759" t="s">
        <v>20</v>
      </c>
      <c r="C759">
        <v>52830</v>
      </c>
      <c r="D759" t="s">
        <v>21</v>
      </c>
      <c r="E759" t="s">
        <v>22</v>
      </c>
      <c r="F759" s="27">
        <v>45768</v>
      </c>
      <c r="G759">
        <v>3.5</v>
      </c>
      <c r="H759">
        <v>3.5</v>
      </c>
      <c r="I759" t="s">
        <v>537</v>
      </c>
      <c r="J759" s="27">
        <v>45771</v>
      </c>
      <c r="L759" s="29">
        <v>1616.3793102272728</v>
      </c>
      <c r="M759" s="29">
        <v>5657.327585795455</v>
      </c>
      <c r="N759" s="15">
        <v>45748</v>
      </c>
    </row>
    <row r="760" spans="1:14" x14ac:dyDescent="0.25">
      <c r="A760">
        <v>406931</v>
      </c>
      <c r="B760" t="s">
        <v>48</v>
      </c>
      <c r="C760">
        <v>53144</v>
      </c>
      <c r="D760" t="s">
        <v>36</v>
      </c>
      <c r="E760" t="s">
        <v>22</v>
      </c>
      <c r="F760" s="27">
        <v>45768</v>
      </c>
      <c r="G760">
        <v>2</v>
      </c>
      <c r="H760">
        <v>2</v>
      </c>
      <c r="I760" t="s">
        <v>538</v>
      </c>
      <c r="J760" s="27">
        <v>45768</v>
      </c>
      <c r="L760" s="29">
        <v>1724.1379312500001</v>
      </c>
      <c r="M760" s="29">
        <v>3448.2758625000001</v>
      </c>
      <c r="N760" s="15">
        <v>45748</v>
      </c>
    </row>
    <row r="761" spans="1:14" x14ac:dyDescent="0.25">
      <c r="A761">
        <v>406956</v>
      </c>
      <c r="B761" t="s">
        <v>35</v>
      </c>
      <c r="C761">
        <v>47572</v>
      </c>
      <c r="D761" t="s">
        <v>42</v>
      </c>
      <c r="E761" t="s">
        <v>22</v>
      </c>
      <c r="F761" s="27">
        <v>45768</v>
      </c>
      <c r="G761">
        <v>0.5</v>
      </c>
      <c r="H761">
        <v>0.5</v>
      </c>
      <c r="I761" t="s">
        <v>295</v>
      </c>
      <c r="J761" s="27">
        <v>45768</v>
      </c>
      <c r="L761" s="29">
        <v>1418</v>
      </c>
      <c r="M761" s="29">
        <v>709</v>
      </c>
      <c r="N761" s="15">
        <v>45748</v>
      </c>
    </row>
    <row r="762" spans="1:14" x14ac:dyDescent="0.25">
      <c r="A762">
        <v>406957</v>
      </c>
      <c r="B762" t="s">
        <v>35</v>
      </c>
      <c r="C762">
        <v>47614</v>
      </c>
      <c r="D762" t="s">
        <v>42</v>
      </c>
      <c r="E762" t="s">
        <v>22</v>
      </c>
      <c r="F762" s="27">
        <v>45768</v>
      </c>
      <c r="G762">
        <v>1</v>
      </c>
      <c r="H762">
        <v>1</v>
      </c>
      <c r="I762" t="s">
        <v>539</v>
      </c>
      <c r="J762" s="27">
        <v>45768</v>
      </c>
      <c r="L762" s="29">
        <v>1418</v>
      </c>
      <c r="M762" s="29">
        <v>1418</v>
      </c>
      <c r="N762" s="15">
        <v>45748</v>
      </c>
    </row>
    <row r="763" spans="1:14" x14ac:dyDescent="0.25">
      <c r="A763">
        <v>406958</v>
      </c>
      <c r="B763" t="s">
        <v>35</v>
      </c>
      <c r="C763">
        <v>47614</v>
      </c>
      <c r="D763" t="s">
        <v>42</v>
      </c>
      <c r="E763" t="s">
        <v>22</v>
      </c>
      <c r="F763" s="27">
        <v>45768</v>
      </c>
      <c r="G763">
        <v>1</v>
      </c>
      <c r="H763">
        <v>1</v>
      </c>
      <c r="I763">
        <v>1860</v>
      </c>
      <c r="J763" s="27">
        <v>45768</v>
      </c>
      <c r="L763" s="29">
        <v>1418</v>
      </c>
      <c r="M763" s="29">
        <v>1418</v>
      </c>
      <c r="N763" s="15">
        <v>45748</v>
      </c>
    </row>
    <row r="764" spans="1:14" x14ac:dyDescent="0.25">
      <c r="A764">
        <v>406959</v>
      </c>
      <c r="B764" t="s">
        <v>35</v>
      </c>
      <c r="C764">
        <v>47614</v>
      </c>
      <c r="D764" t="s">
        <v>42</v>
      </c>
      <c r="E764" t="s">
        <v>22</v>
      </c>
      <c r="F764" s="27">
        <v>45768</v>
      </c>
      <c r="G764">
        <v>1</v>
      </c>
      <c r="H764">
        <v>1</v>
      </c>
      <c r="I764">
        <v>1859</v>
      </c>
      <c r="J764" s="27">
        <v>45768</v>
      </c>
      <c r="L764" s="29">
        <v>1418</v>
      </c>
      <c r="M764" s="29">
        <v>1418</v>
      </c>
      <c r="N764" s="15">
        <v>45748</v>
      </c>
    </row>
    <row r="765" spans="1:14" x14ac:dyDescent="0.25">
      <c r="A765">
        <v>406960</v>
      </c>
      <c r="B765" t="s">
        <v>35</v>
      </c>
      <c r="C765">
        <v>47614</v>
      </c>
      <c r="D765" t="s">
        <v>42</v>
      </c>
      <c r="E765" t="s">
        <v>22</v>
      </c>
      <c r="F765" s="27">
        <v>45768</v>
      </c>
      <c r="G765">
        <v>1</v>
      </c>
      <c r="H765">
        <v>1</v>
      </c>
      <c r="I765">
        <v>1867</v>
      </c>
      <c r="J765" s="27">
        <v>45768</v>
      </c>
      <c r="L765" s="29">
        <v>1418</v>
      </c>
      <c r="M765" s="29">
        <v>1418</v>
      </c>
      <c r="N765" s="15">
        <v>45748</v>
      </c>
    </row>
    <row r="766" spans="1:14" x14ac:dyDescent="0.25">
      <c r="A766">
        <v>411825</v>
      </c>
      <c r="B766" t="s">
        <v>35</v>
      </c>
      <c r="C766">
        <v>52114</v>
      </c>
      <c r="D766" t="s">
        <v>37</v>
      </c>
      <c r="E766" t="s">
        <v>22</v>
      </c>
      <c r="F766" s="27">
        <v>45768</v>
      </c>
      <c r="G766">
        <v>8</v>
      </c>
      <c r="H766">
        <v>8</v>
      </c>
      <c r="I766" t="s">
        <v>493</v>
      </c>
      <c r="J766" s="27">
        <v>45777</v>
      </c>
      <c r="L766" s="29">
        <v>431.03448295454547</v>
      </c>
      <c r="M766" s="29">
        <v>3448.2758636363637</v>
      </c>
      <c r="N766" s="15">
        <v>45748</v>
      </c>
    </row>
    <row r="767" spans="1:14" x14ac:dyDescent="0.25">
      <c r="A767">
        <v>410559</v>
      </c>
      <c r="B767" t="s">
        <v>28</v>
      </c>
      <c r="C767">
        <v>51263</v>
      </c>
      <c r="D767" t="s">
        <v>27</v>
      </c>
      <c r="E767" t="s">
        <v>22</v>
      </c>
      <c r="F767" s="27">
        <v>45768</v>
      </c>
      <c r="G767">
        <v>10</v>
      </c>
      <c r="H767">
        <v>10</v>
      </c>
      <c r="I767" t="s">
        <v>540</v>
      </c>
      <c r="J767" s="27">
        <v>45775</v>
      </c>
      <c r="L767" s="29">
        <v>574.71264374999998</v>
      </c>
      <c r="M767" s="29">
        <v>5747.1264375000001</v>
      </c>
      <c r="N767" s="15">
        <v>45748</v>
      </c>
    </row>
    <row r="768" spans="1:14" x14ac:dyDescent="0.25">
      <c r="A768">
        <v>408017</v>
      </c>
      <c r="B768" t="s">
        <v>29</v>
      </c>
      <c r="C768">
        <v>52508</v>
      </c>
      <c r="D768" t="s">
        <v>39</v>
      </c>
      <c r="E768" t="s">
        <v>22</v>
      </c>
      <c r="F768" s="27">
        <v>45768</v>
      </c>
      <c r="G768">
        <v>4</v>
      </c>
      <c r="H768">
        <v>4</v>
      </c>
      <c r="I768" t="s">
        <v>541</v>
      </c>
      <c r="J768" s="27">
        <v>45771</v>
      </c>
      <c r="L768" s="29">
        <v>718.39080454545456</v>
      </c>
      <c r="M768" s="29">
        <v>2873.5632181818182</v>
      </c>
      <c r="N768" s="15">
        <v>45748</v>
      </c>
    </row>
    <row r="769" spans="1:14" x14ac:dyDescent="0.25">
      <c r="A769">
        <v>413907</v>
      </c>
      <c r="B769" t="s">
        <v>31</v>
      </c>
      <c r="C769">
        <v>13970</v>
      </c>
      <c r="D769" t="s">
        <v>49</v>
      </c>
      <c r="E769" t="s">
        <v>19</v>
      </c>
      <c r="F769" s="27">
        <v>45768</v>
      </c>
      <c r="G769">
        <v>1</v>
      </c>
      <c r="H769">
        <v>1</v>
      </c>
      <c r="I769" t="s">
        <v>531</v>
      </c>
      <c r="J769" s="27">
        <v>45782</v>
      </c>
      <c r="L769" s="29">
        <v>1077.5862068181818</v>
      </c>
      <c r="M769" s="29">
        <v>1077.5862068181818</v>
      </c>
      <c r="N769" s="15">
        <v>45748</v>
      </c>
    </row>
    <row r="770" spans="1:14" x14ac:dyDescent="0.25">
      <c r="A770">
        <v>412386</v>
      </c>
      <c r="B770" t="s">
        <v>29</v>
      </c>
      <c r="C770">
        <v>45027</v>
      </c>
      <c r="D770" t="s">
        <v>30</v>
      </c>
      <c r="E770" t="s">
        <v>22</v>
      </c>
      <c r="F770" s="27">
        <v>45768</v>
      </c>
      <c r="G770">
        <v>8</v>
      </c>
      <c r="H770">
        <v>8</v>
      </c>
      <c r="I770" t="s">
        <v>494</v>
      </c>
      <c r="J770" s="27">
        <v>45777</v>
      </c>
      <c r="L770" s="29">
        <v>574.71264374999998</v>
      </c>
      <c r="M770" s="29">
        <v>4597.7011499999999</v>
      </c>
      <c r="N770" s="15">
        <v>45748</v>
      </c>
    </row>
    <row r="771" spans="1:14" x14ac:dyDescent="0.25">
      <c r="A771">
        <v>413933</v>
      </c>
      <c r="B771" t="s">
        <v>35</v>
      </c>
      <c r="C771">
        <v>47614</v>
      </c>
      <c r="D771" t="s">
        <v>43</v>
      </c>
      <c r="E771" t="s">
        <v>22</v>
      </c>
      <c r="F771" s="27">
        <v>45768</v>
      </c>
      <c r="G771">
        <v>72</v>
      </c>
      <c r="H771">
        <v>72</v>
      </c>
      <c r="I771" t="s">
        <v>542</v>
      </c>
      <c r="J771" s="27">
        <v>45782</v>
      </c>
      <c r="L771" s="29">
        <v>359.19540227272728</v>
      </c>
      <c r="M771" s="29">
        <v>25862.068963636364</v>
      </c>
      <c r="N771" s="15">
        <v>45748</v>
      </c>
    </row>
    <row r="772" spans="1:14" x14ac:dyDescent="0.25">
      <c r="A772">
        <v>406609</v>
      </c>
      <c r="B772" t="s">
        <v>28</v>
      </c>
      <c r="C772">
        <v>51262</v>
      </c>
      <c r="D772" t="s">
        <v>44</v>
      </c>
      <c r="E772" t="s">
        <v>22</v>
      </c>
      <c r="F772" s="27">
        <v>45766</v>
      </c>
      <c r="G772">
        <v>10</v>
      </c>
      <c r="H772">
        <v>10</v>
      </c>
      <c r="I772" t="s">
        <v>543</v>
      </c>
      <c r="J772" s="27">
        <v>45768</v>
      </c>
      <c r="L772" s="29">
        <v>2011.494252840909</v>
      </c>
      <c r="M772" s="29">
        <v>20114.94252840909</v>
      </c>
      <c r="N772" s="15">
        <v>45748</v>
      </c>
    </row>
    <row r="773" spans="1:14" x14ac:dyDescent="0.25">
      <c r="A773">
        <v>406851</v>
      </c>
      <c r="B773" t="s">
        <v>34</v>
      </c>
      <c r="C773">
        <v>21152</v>
      </c>
      <c r="D773" t="s">
        <v>25</v>
      </c>
      <c r="E773" t="s">
        <v>19</v>
      </c>
      <c r="F773" s="27">
        <v>45765</v>
      </c>
      <c r="G773">
        <v>2</v>
      </c>
      <c r="H773">
        <v>2</v>
      </c>
      <c r="I773" t="s">
        <v>544</v>
      </c>
      <c r="J773" s="27">
        <v>45768</v>
      </c>
      <c r="L773" s="29">
        <v>1077.5862068181818</v>
      </c>
      <c r="M773" s="29">
        <v>2155.1724136363637</v>
      </c>
      <c r="N773" s="15">
        <v>45748</v>
      </c>
    </row>
    <row r="774" spans="1:14" x14ac:dyDescent="0.25">
      <c r="A774">
        <v>406852</v>
      </c>
      <c r="B774" t="s">
        <v>34</v>
      </c>
      <c r="C774">
        <v>21152</v>
      </c>
      <c r="D774" t="s">
        <v>25</v>
      </c>
      <c r="E774" t="s">
        <v>19</v>
      </c>
      <c r="F774" s="27">
        <v>45765</v>
      </c>
      <c r="G774">
        <v>4</v>
      </c>
      <c r="H774">
        <v>4</v>
      </c>
      <c r="I774" t="s">
        <v>545</v>
      </c>
      <c r="J774" s="27">
        <v>45768</v>
      </c>
      <c r="L774" s="29">
        <v>1077.5862068181818</v>
      </c>
      <c r="M774" s="29">
        <v>4310.3448272727273</v>
      </c>
      <c r="N774" s="15">
        <v>45748</v>
      </c>
    </row>
    <row r="775" spans="1:14" x14ac:dyDescent="0.25">
      <c r="A775">
        <v>406352</v>
      </c>
      <c r="B775" t="s">
        <v>35</v>
      </c>
      <c r="C775">
        <v>47572</v>
      </c>
      <c r="D775" t="s">
        <v>46</v>
      </c>
      <c r="E775" t="s">
        <v>22</v>
      </c>
      <c r="F775" s="27">
        <v>45765</v>
      </c>
      <c r="G775">
        <v>1.5</v>
      </c>
      <c r="H775">
        <v>1.5</v>
      </c>
      <c r="I775" t="s">
        <v>546</v>
      </c>
      <c r="J775" s="27">
        <v>45765</v>
      </c>
      <c r="L775" s="29">
        <v>1077.5862068181818</v>
      </c>
      <c r="M775" s="29">
        <v>1616.3793102272728</v>
      </c>
      <c r="N775" s="15">
        <v>45748</v>
      </c>
    </row>
    <row r="776" spans="1:14" x14ac:dyDescent="0.25">
      <c r="A776">
        <v>406353</v>
      </c>
      <c r="B776" t="s">
        <v>35</v>
      </c>
      <c r="C776">
        <v>47569</v>
      </c>
      <c r="D776" t="s">
        <v>46</v>
      </c>
      <c r="E776" t="s">
        <v>22</v>
      </c>
      <c r="F776" s="27">
        <v>45765</v>
      </c>
      <c r="G776">
        <v>2</v>
      </c>
      <c r="H776">
        <v>2</v>
      </c>
      <c r="I776" t="s">
        <v>547</v>
      </c>
      <c r="J776" s="27">
        <v>45765</v>
      </c>
      <c r="L776" s="29">
        <v>1077.5862068181818</v>
      </c>
      <c r="M776" s="29">
        <v>2155.1724136363637</v>
      </c>
      <c r="N776" s="15">
        <v>45748</v>
      </c>
    </row>
    <row r="777" spans="1:14" x14ac:dyDescent="0.25">
      <c r="A777">
        <v>406354</v>
      </c>
      <c r="B777" t="s">
        <v>35</v>
      </c>
      <c r="C777">
        <v>47569</v>
      </c>
      <c r="D777" t="s">
        <v>46</v>
      </c>
      <c r="E777" t="s">
        <v>22</v>
      </c>
      <c r="F777" s="27">
        <v>45765</v>
      </c>
      <c r="G777">
        <v>4.5</v>
      </c>
      <c r="H777">
        <v>4.5</v>
      </c>
      <c r="I777" t="s">
        <v>489</v>
      </c>
      <c r="J777" s="27">
        <v>45765</v>
      </c>
      <c r="L777" s="29">
        <v>1077.5862068181818</v>
      </c>
      <c r="M777" s="29">
        <v>4849.137930681818</v>
      </c>
      <c r="N777" s="15">
        <v>45748</v>
      </c>
    </row>
    <row r="778" spans="1:14" x14ac:dyDescent="0.25">
      <c r="A778">
        <v>406357</v>
      </c>
      <c r="B778" t="s">
        <v>35</v>
      </c>
      <c r="C778">
        <v>47572</v>
      </c>
      <c r="D778" t="s">
        <v>42</v>
      </c>
      <c r="E778" t="s">
        <v>22</v>
      </c>
      <c r="F778" s="27">
        <v>45765</v>
      </c>
      <c r="G778">
        <v>0.5</v>
      </c>
      <c r="H778">
        <v>0.5</v>
      </c>
      <c r="I778" t="s">
        <v>548</v>
      </c>
      <c r="J778" s="27">
        <v>45765</v>
      </c>
      <c r="L778" s="29">
        <v>1418</v>
      </c>
      <c r="M778" s="29">
        <v>709</v>
      </c>
      <c r="N778" s="15">
        <v>45748</v>
      </c>
    </row>
    <row r="779" spans="1:14" x14ac:dyDescent="0.25">
      <c r="A779">
        <v>406358</v>
      </c>
      <c r="B779" t="s">
        <v>35</v>
      </c>
      <c r="C779">
        <v>47614</v>
      </c>
      <c r="D779" t="s">
        <v>42</v>
      </c>
      <c r="E779" t="s">
        <v>22</v>
      </c>
      <c r="F779" s="27">
        <v>45765</v>
      </c>
      <c r="G779">
        <v>2</v>
      </c>
      <c r="H779">
        <v>2</v>
      </c>
      <c r="I779">
        <v>1785</v>
      </c>
      <c r="J779" s="27">
        <v>45765</v>
      </c>
      <c r="L779" s="29">
        <v>1418</v>
      </c>
      <c r="M779" s="29">
        <v>2836</v>
      </c>
      <c r="N779" s="15">
        <v>45748</v>
      </c>
    </row>
    <row r="780" spans="1:14" x14ac:dyDescent="0.25">
      <c r="A780">
        <v>406411</v>
      </c>
      <c r="B780" t="s">
        <v>20</v>
      </c>
      <c r="C780">
        <v>45135</v>
      </c>
      <c r="D780" t="s">
        <v>21</v>
      </c>
      <c r="E780" t="s">
        <v>22</v>
      </c>
      <c r="F780" s="27">
        <v>45765</v>
      </c>
      <c r="G780">
        <v>3</v>
      </c>
      <c r="H780">
        <v>3</v>
      </c>
      <c r="I780" t="s">
        <v>549</v>
      </c>
      <c r="J780" s="27">
        <v>45766</v>
      </c>
      <c r="L780" s="29">
        <v>1616.3793102272728</v>
      </c>
      <c r="M780" s="29">
        <v>4849.137930681818</v>
      </c>
      <c r="N780" s="15">
        <v>45748</v>
      </c>
    </row>
    <row r="781" spans="1:14" x14ac:dyDescent="0.25">
      <c r="A781">
        <v>406412</v>
      </c>
      <c r="B781" t="s">
        <v>20</v>
      </c>
      <c r="C781">
        <v>52828</v>
      </c>
      <c r="D781" t="s">
        <v>21</v>
      </c>
      <c r="E781" t="s">
        <v>22</v>
      </c>
      <c r="F781" s="27">
        <v>45765</v>
      </c>
      <c r="G781">
        <v>4</v>
      </c>
      <c r="H781">
        <v>4</v>
      </c>
      <c r="I781" t="s">
        <v>550</v>
      </c>
      <c r="J781" s="27">
        <v>45766</v>
      </c>
      <c r="L781" s="29">
        <v>1616.3793102272728</v>
      </c>
      <c r="M781" s="29">
        <v>6465.517240909091</v>
      </c>
      <c r="N781" s="15">
        <v>45748</v>
      </c>
    </row>
    <row r="782" spans="1:14" x14ac:dyDescent="0.25">
      <c r="A782">
        <v>405912</v>
      </c>
      <c r="B782" t="s">
        <v>28</v>
      </c>
      <c r="C782">
        <v>51262</v>
      </c>
      <c r="D782" t="s">
        <v>44</v>
      </c>
      <c r="E782" t="s">
        <v>22</v>
      </c>
      <c r="F782" s="27">
        <v>45765</v>
      </c>
      <c r="G782">
        <v>33</v>
      </c>
      <c r="H782">
        <v>33</v>
      </c>
      <c r="I782" t="s">
        <v>551</v>
      </c>
      <c r="J782" s="27">
        <v>45765</v>
      </c>
      <c r="L782" s="29">
        <v>2011.494252840909</v>
      </c>
      <c r="M782" s="29">
        <v>66379.310343749996</v>
      </c>
      <c r="N782" s="15">
        <v>45748</v>
      </c>
    </row>
    <row r="783" spans="1:14" x14ac:dyDescent="0.25">
      <c r="A783">
        <v>407718</v>
      </c>
      <c r="B783" t="s">
        <v>29</v>
      </c>
      <c r="C783">
        <v>53412</v>
      </c>
      <c r="D783" t="s">
        <v>39</v>
      </c>
      <c r="E783" t="s">
        <v>22</v>
      </c>
      <c r="F783" s="27">
        <v>45765</v>
      </c>
      <c r="G783">
        <v>4</v>
      </c>
      <c r="H783">
        <v>4</v>
      </c>
      <c r="I783" t="s">
        <v>552</v>
      </c>
      <c r="J783" s="27">
        <v>45770</v>
      </c>
      <c r="L783" s="29">
        <v>718.39080454545456</v>
      </c>
      <c r="M783" s="29">
        <v>2873.5632181818182</v>
      </c>
      <c r="N783" s="15">
        <v>45748</v>
      </c>
    </row>
    <row r="784" spans="1:14" x14ac:dyDescent="0.25">
      <c r="A784">
        <v>407719</v>
      </c>
      <c r="B784" t="s">
        <v>29</v>
      </c>
      <c r="C784">
        <v>52508</v>
      </c>
      <c r="D784" t="s">
        <v>39</v>
      </c>
      <c r="E784" t="s">
        <v>22</v>
      </c>
      <c r="F784" s="27">
        <v>45765</v>
      </c>
      <c r="G784">
        <v>4</v>
      </c>
      <c r="H784">
        <v>4</v>
      </c>
      <c r="I784" t="s">
        <v>553</v>
      </c>
      <c r="J784" s="27">
        <v>45770</v>
      </c>
      <c r="L784" s="29">
        <v>718.39080454545456</v>
      </c>
      <c r="M784" s="29">
        <v>2873.5632181818182</v>
      </c>
      <c r="N784" s="15">
        <v>45748</v>
      </c>
    </row>
    <row r="785" spans="1:14" x14ac:dyDescent="0.25">
      <c r="A785">
        <v>410538</v>
      </c>
      <c r="B785" t="s">
        <v>28</v>
      </c>
      <c r="C785">
        <v>51263</v>
      </c>
      <c r="D785" t="s">
        <v>27</v>
      </c>
      <c r="E785" t="s">
        <v>22</v>
      </c>
      <c r="F785" s="27">
        <v>45765</v>
      </c>
      <c r="G785">
        <v>8</v>
      </c>
      <c r="H785">
        <v>8</v>
      </c>
      <c r="I785" t="s">
        <v>554</v>
      </c>
      <c r="J785" s="27">
        <v>45775</v>
      </c>
      <c r="L785" s="29">
        <v>574.71264374999998</v>
      </c>
      <c r="M785" s="29">
        <v>4597.7011499999999</v>
      </c>
      <c r="N785" s="15">
        <v>45748</v>
      </c>
    </row>
    <row r="786" spans="1:14" x14ac:dyDescent="0.25">
      <c r="A786">
        <v>411824</v>
      </c>
      <c r="B786" t="s">
        <v>35</v>
      </c>
      <c r="C786">
        <v>52114</v>
      </c>
      <c r="D786" t="s">
        <v>37</v>
      </c>
      <c r="E786" t="s">
        <v>22</v>
      </c>
      <c r="F786" s="27">
        <v>45765</v>
      </c>
      <c r="G786">
        <v>8</v>
      </c>
      <c r="H786">
        <v>8</v>
      </c>
      <c r="I786" t="s">
        <v>493</v>
      </c>
      <c r="J786" s="27">
        <v>45777</v>
      </c>
      <c r="L786" s="29">
        <v>431.03448295454547</v>
      </c>
      <c r="M786" s="29">
        <v>3448.2758636363637</v>
      </c>
      <c r="N786" s="15">
        <v>45748</v>
      </c>
    </row>
    <row r="787" spans="1:14" x14ac:dyDescent="0.25">
      <c r="A787">
        <v>406221</v>
      </c>
      <c r="B787" t="s">
        <v>48</v>
      </c>
      <c r="C787">
        <v>53144</v>
      </c>
      <c r="D787" t="s">
        <v>36</v>
      </c>
      <c r="E787" t="s">
        <v>22</v>
      </c>
      <c r="F787" s="27">
        <v>45765</v>
      </c>
      <c r="G787">
        <v>1.5</v>
      </c>
      <c r="H787">
        <v>1.5</v>
      </c>
      <c r="I787" t="s">
        <v>555</v>
      </c>
      <c r="J787" s="27">
        <v>45765</v>
      </c>
      <c r="L787" s="29">
        <v>1724.1379312500001</v>
      </c>
      <c r="M787" s="29">
        <v>2586.206896875</v>
      </c>
      <c r="N787" s="15">
        <v>45748</v>
      </c>
    </row>
    <row r="788" spans="1:14" x14ac:dyDescent="0.25">
      <c r="A788">
        <v>413905</v>
      </c>
      <c r="B788" t="s">
        <v>31</v>
      </c>
      <c r="C788">
        <v>13970</v>
      </c>
      <c r="D788" t="s">
        <v>49</v>
      </c>
      <c r="E788" t="s">
        <v>19</v>
      </c>
      <c r="F788" s="27">
        <v>45765</v>
      </c>
      <c r="G788">
        <v>3.5</v>
      </c>
      <c r="H788">
        <v>3.5</v>
      </c>
      <c r="I788" t="s">
        <v>481</v>
      </c>
      <c r="J788" s="27">
        <v>45782</v>
      </c>
      <c r="L788" s="29">
        <v>1077.5862068181818</v>
      </c>
      <c r="M788" s="29">
        <v>3771.5517238636367</v>
      </c>
      <c r="N788" s="15">
        <v>45748</v>
      </c>
    </row>
    <row r="789" spans="1:14" x14ac:dyDescent="0.25">
      <c r="A789">
        <v>412385</v>
      </c>
      <c r="B789" t="s">
        <v>29</v>
      </c>
      <c r="C789">
        <v>45027</v>
      </c>
      <c r="D789" t="s">
        <v>30</v>
      </c>
      <c r="E789" t="s">
        <v>22</v>
      </c>
      <c r="F789" s="27">
        <v>45765</v>
      </c>
      <c r="G789">
        <v>8</v>
      </c>
      <c r="H789">
        <v>8</v>
      </c>
      <c r="I789" t="s">
        <v>494</v>
      </c>
      <c r="J789" s="27">
        <v>45777</v>
      </c>
      <c r="L789" s="29">
        <v>574.71264374999998</v>
      </c>
      <c r="M789" s="29">
        <v>4597.7011499999999</v>
      </c>
      <c r="N789" s="15">
        <v>45748</v>
      </c>
    </row>
    <row r="790" spans="1:14" x14ac:dyDescent="0.25">
      <c r="A790">
        <v>413948</v>
      </c>
      <c r="B790" t="s">
        <v>18</v>
      </c>
      <c r="C790">
        <v>17</v>
      </c>
      <c r="D790" t="s">
        <v>43</v>
      </c>
      <c r="E790" t="s">
        <v>19</v>
      </c>
      <c r="F790" s="27">
        <v>45765</v>
      </c>
      <c r="G790">
        <v>8</v>
      </c>
      <c r="H790">
        <v>8</v>
      </c>
      <c r="I790" t="s">
        <v>556</v>
      </c>
      <c r="J790" s="27">
        <v>45782</v>
      </c>
      <c r="L790" s="29">
        <v>359.19540227272728</v>
      </c>
      <c r="M790" s="29">
        <v>2873.5632181818182</v>
      </c>
      <c r="N790" s="15">
        <v>45748</v>
      </c>
    </row>
    <row r="791" spans="1:14" x14ac:dyDescent="0.25">
      <c r="A791">
        <v>406844</v>
      </c>
      <c r="B791" t="s">
        <v>34</v>
      </c>
      <c r="C791">
        <v>21152</v>
      </c>
      <c r="D791" t="s">
        <v>25</v>
      </c>
      <c r="E791" t="s">
        <v>19</v>
      </c>
      <c r="F791" s="27">
        <v>45764</v>
      </c>
      <c r="G791">
        <v>3</v>
      </c>
      <c r="H791">
        <v>3</v>
      </c>
      <c r="I791" t="s">
        <v>557</v>
      </c>
      <c r="J791" s="27">
        <v>45768</v>
      </c>
      <c r="L791" s="29">
        <v>1077.5862068181818</v>
      </c>
      <c r="M791" s="29">
        <v>3232.7586204545455</v>
      </c>
      <c r="N791" s="15">
        <v>45748</v>
      </c>
    </row>
    <row r="792" spans="1:14" x14ac:dyDescent="0.25">
      <c r="A792">
        <v>406847</v>
      </c>
      <c r="B792" t="s">
        <v>34</v>
      </c>
      <c r="C792">
        <v>21152</v>
      </c>
      <c r="D792" t="s">
        <v>25</v>
      </c>
      <c r="E792" t="s">
        <v>19</v>
      </c>
      <c r="F792" s="27">
        <v>45764</v>
      </c>
      <c r="G792">
        <v>3</v>
      </c>
      <c r="H792">
        <v>3</v>
      </c>
      <c r="I792" t="s">
        <v>558</v>
      </c>
      <c r="J792" s="27">
        <v>45768</v>
      </c>
      <c r="L792" s="29">
        <v>1077.5862068181818</v>
      </c>
      <c r="M792" s="29">
        <v>3232.7586204545455</v>
      </c>
      <c r="N792" s="15">
        <v>45748</v>
      </c>
    </row>
    <row r="793" spans="1:14" x14ac:dyDescent="0.25">
      <c r="A793">
        <v>406355</v>
      </c>
      <c r="B793" t="s">
        <v>35</v>
      </c>
      <c r="C793">
        <v>47614</v>
      </c>
      <c r="D793" t="s">
        <v>42</v>
      </c>
      <c r="E793" t="s">
        <v>22</v>
      </c>
      <c r="F793" s="27">
        <v>45764</v>
      </c>
      <c r="G793">
        <v>1</v>
      </c>
      <c r="H793">
        <v>1</v>
      </c>
      <c r="I793">
        <v>1517</v>
      </c>
      <c r="J793" s="27">
        <v>45765</v>
      </c>
      <c r="L793" s="29">
        <v>1418</v>
      </c>
      <c r="M793" s="29">
        <v>1418</v>
      </c>
      <c r="N793" s="15">
        <v>45748</v>
      </c>
    </row>
    <row r="794" spans="1:14" x14ac:dyDescent="0.25">
      <c r="A794">
        <v>406356</v>
      </c>
      <c r="B794" t="s">
        <v>35</v>
      </c>
      <c r="C794">
        <v>47614</v>
      </c>
      <c r="D794" t="s">
        <v>42</v>
      </c>
      <c r="E794" t="s">
        <v>22</v>
      </c>
      <c r="F794" s="27">
        <v>45764</v>
      </c>
      <c r="G794">
        <v>1</v>
      </c>
      <c r="H794">
        <v>1</v>
      </c>
      <c r="I794">
        <v>1518</v>
      </c>
      <c r="J794" s="27">
        <v>45765</v>
      </c>
      <c r="L794" s="29">
        <v>1418</v>
      </c>
      <c r="M794" s="29">
        <v>1418</v>
      </c>
      <c r="N794" s="15">
        <v>45748</v>
      </c>
    </row>
    <row r="795" spans="1:14" x14ac:dyDescent="0.25">
      <c r="A795">
        <v>410497</v>
      </c>
      <c r="B795" t="s">
        <v>28</v>
      </c>
      <c r="C795">
        <v>51263</v>
      </c>
      <c r="D795" t="s">
        <v>27</v>
      </c>
      <c r="E795" t="s">
        <v>22</v>
      </c>
      <c r="F795" s="27">
        <v>45764</v>
      </c>
      <c r="G795">
        <v>8</v>
      </c>
      <c r="H795">
        <v>8</v>
      </c>
      <c r="I795" t="s">
        <v>559</v>
      </c>
      <c r="J795" s="27">
        <v>45775</v>
      </c>
      <c r="L795" s="29">
        <v>574.71264374999998</v>
      </c>
      <c r="M795" s="29">
        <v>4597.7011499999999</v>
      </c>
      <c r="N795" s="15">
        <v>45748</v>
      </c>
    </row>
    <row r="796" spans="1:14" x14ac:dyDescent="0.25">
      <c r="A796">
        <v>405890</v>
      </c>
      <c r="B796" t="s">
        <v>48</v>
      </c>
      <c r="C796">
        <v>53144</v>
      </c>
      <c r="D796" t="s">
        <v>36</v>
      </c>
      <c r="E796" t="s">
        <v>22</v>
      </c>
      <c r="F796" s="27">
        <v>45764</v>
      </c>
      <c r="G796">
        <v>1</v>
      </c>
      <c r="H796">
        <v>1</v>
      </c>
      <c r="I796" t="s">
        <v>560</v>
      </c>
      <c r="J796" s="27">
        <v>45765</v>
      </c>
      <c r="L796" s="29">
        <v>1724.1379312500001</v>
      </c>
      <c r="M796" s="29">
        <v>1724.1379312500001</v>
      </c>
      <c r="N796" s="15">
        <v>45748</v>
      </c>
    </row>
    <row r="797" spans="1:14" x14ac:dyDescent="0.25">
      <c r="A797">
        <v>406410</v>
      </c>
      <c r="B797" t="s">
        <v>20</v>
      </c>
      <c r="C797">
        <v>46185</v>
      </c>
      <c r="D797" t="s">
        <v>21</v>
      </c>
      <c r="E797" t="s">
        <v>22</v>
      </c>
      <c r="F797" s="27">
        <v>45764</v>
      </c>
      <c r="G797">
        <v>2</v>
      </c>
      <c r="H797">
        <v>2</v>
      </c>
      <c r="I797" t="s">
        <v>561</v>
      </c>
      <c r="J797" s="27">
        <v>45766</v>
      </c>
      <c r="L797" s="29">
        <v>1616.3793102272728</v>
      </c>
      <c r="M797" s="29">
        <v>3232.7586204545455</v>
      </c>
      <c r="N797" s="15">
        <v>45748</v>
      </c>
    </row>
    <row r="798" spans="1:14" x14ac:dyDescent="0.25">
      <c r="A798">
        <v>405910</v>
      </c>
      <c r="B798" t="s">
        <v>28</v>
      </c>
      <c r="C798">
        <v>53304</v>
      </c>
      <c r="D798" t="s">
        <v>44</v>
      </c>
      <c r="E798" t="s">
        <v>22</v>
      </c>
      <c r="F798" s="27">
        <v>45764</v>
      </c>
      <c r="G798">
        <v>3</v>
      </c>
      <c r="H798">
        <v>3</v>
      </c>
      <c r="I798" t="s">
        <v>562</v>
      </c>
      <c r="J798" s="27">
        <v>45765</v>
      </c>
      <c r="L798" s="29">
        <v>2011.494252840909</v>
      </c>
      <c r="M798" s="29">
        <v>6034.4827585227267</v>
      </c>
      <c r="N798" s="15">
        <v>45748</v>
      </c>
    </row>
    <row r="799" spans="1:14" x14ac:dyDescent="0.25">
      <c r="A799">
        <v>407715</v>
      </c>
      <c r="B799" t="s">
        <v>29</v>
      </c>
      <c r="C799">
        <v>53412</v>
      </c>
      <c r="D799" t="s">
        <v>39</v>
      </c>
      <c r="E799" t="s">
        <v>22</v>
      </c>
      <c r="F799" s="27">
        <v>45764</v>
      </c>
      <c r="G799">
        <v>4</v>
      </c>
      <c r="H799">
        <v>4</v>
      </c>
      <c r="I799" t="s">
        <v>552</v>
      </c>
      <c r="J799" s="27">
        <v>45770</v>
      </c>
      <c r="L799" s="29">
        <v>718.39080454545456</v>
      </c>
      <c r="M799" s="29">
        <v>2873.5632181818182</v>
      </c>
      <c r="N799" s="15">
        <v>45748</v>
      </c>
    </row>
    <row r="800" spans="1:14" x14ac:dyDescent="0.25">
      <c r="A800">
        <v>407717</v>
      </c>
      <c r="B800" t="s">
        <v>29</v>
      </c>
      <c r="C800">
        <v>52508</v>
      </c>
      <c r="D800" t="s">
        <v>39</v>
      </c>
      <c r="E800" t="s">
        <v>22</v>
      </c>
      <c r="F800" s="27">
        <v>45764</v>
      </c>
      <c r="G800">
        <v>4</v>
      </c>
      <c r="H800">
        <v>4</v>
      </c>
      <c r="I800" t="s">
        <v>553</v>
      </c>
      <c r="J800" s="27">
        <v>45770</v>
      </c>
      <c r="L800" s="29">
        <v>718.39080454545456</v>
      </c>
      <c r="M800" s="29">
        <v>2873.5632181818182</v>
      </c>
      <c r="N800" s="15">
        <v>45748</v>
      </c>
    </row>
    <row r="801" spans="1:14" x14ac:dyDescent="0.25">
      <c r="A801">
        <v>405931</v>
      </c>
      <c r="B801" t="s">
        <v>35</v>
      </c>
      <c r="C801">
        <v>47572</v>
      </c>
      <c r="D801" t="s">
        <v>46</v>
      </c>
      <c r="E801" t="s">
        <v>22</v>
      </c>
      <c r="F801" s="27">
        <v>45764</v>
      </c>
      <c r="G801">
        <v>0.5</v>
      </c>
      <c r="H801">
        <v>0.5</v>
      </c>
      <c r="I801" t="s">
        <v>563</v>
      </c>
      <c r="J801" s="27">
        <v>45765</v>
      </c>
      <c r="L801" s="29">
        <v>1077.5862068181818</v>
      </c>
      <c r="M801" s="29">
        <v>538.79310340909092</v>
      </c>
      <c r="N801" s="15">
        <v>45748</v>
      </c>
    </row>
    <row r="802" spans="1:14" x14ac:dyDescent="0.25">
      <c r="A802">
        <v>405932</v>
      </c>
      <c r="B802" t="s">
        <v>35</v>
      </c>
      <c r="C802">
        <v>47569</v>
      </c>
      <c r="D802" t="s">
        <v>46</v>
      </c>
      <c r="E802" t="s">
        <v>22</v>
      </c>
      <c r="F802" s="27">
        <v>45764</v>
      </c>
      <c r="G802">
        <v>7.5</v>
      </c>
      <c r="H802">
        <v>7.5</v>
      </c>
      <c r="I802" t="s">
        <v>489</v>
      </c>
      <c r="J802" s="27">
        <v>45765</v>
      </c>
      <c r="L802" s="29">
        <v>1077.5862068181818</v>
      </c>
      <c r="M802" s="29">
        <v>8081.896551136364</v>
      </c>
      <c r="N802" s="15">
        <v>45748</v>
      </c>
    </row>
    <row r="803" spans="1:14" x14ac:dyDescent="0.25">
      <c r="A803">
        <v>411823</v>
      </c>
      <c r="B803" t="s">
        <v>35</v>
      </c>
      <c r="C803">
        <v>52114</v>
      </c>
      <c r="D803" t="s">
        <v>37</v>
      </c>
      <c r="E803" t="s">
        <v>22</v>
      </c>
      <c r="F803" s="27">
        <v>45764</v>
      </c>
      <c r="G803">
        <v>8</v>
      </c>
      <c r="H803">
        <v>8</v>
      </c>
      <c r="I803" t="s">
        <v>493</v>
      </c>
      <c r="J803" s="27">
        <v>45777</v>
      </c>
      <c r="L803" s="29">
        <v>431.03448295454547</v>
      </c>
      <c r="M803" s="29">
        <v>3448.2758636363637</v>
      </c>
      <c r="N803" s="15">
        <v>45748</v>
      </c>
    </row>
    <row r="804" spans="1:14" x14ac:dyDescent="0.25">
      <c r="A804">
        <v>413903</v>
      </c>
      <c r="B804" t="s">
        <v>31</v>
      </c>
      <c r="C804">
        <v>13970</v>
      </c>
      <c r="D804" t="s">
        <v>49</v>
      </c>
      <c r="E804" t="s">
        <v>19</v>
      </c>
      <c r="F804" s="27">
        <v>45764</v>
      </c>
      <c r="G804">
        <v>3</v>
      </c>
      <c r="H804">
        <v>3</v>
      </c>
      <c r="I804" t="s">
        <v>492</v>
      </c>
      <c r="J804" s="27">
        <v>45782</v>
      </c>
      <c r="L804" s="29">
        <v>1077.5862068181818</v>
      </c>
      <c r="M804" s="29">
        <v>3232.7586204545455</v>
      </c>
      <c r="N804" s="15">
        <v>45748</v>
      </c>
    </row>
    <row r="805" spans="1:14" x14ac:dyDescent="0.25">
      <c r="A805">
        <v>412384</v>
      </c>
      <c r="B805" t="s">
        <v>29</v>
      </c>
      <c r="C805">
        <v>52587</v>
      </c>
      <c r="D805" t="s">
        <v>30</v>
      </c>
      <c r="E805" t="s">
        <v>22</v>
      </c>
      <c r="F805" s="27">
        <v>45764</v>
      </c>
      <c r="G805">
        <v>8</v>
      </c>
      <c r="H805">
        <v>8</v>
      </c>
      <c r="I805" t="s">
        <v>494</v>
      </c>
      <c r="J805" s="27">
        <v>45777</v>
      </c>
      <c r="L805" s="29">
        <v>574.71264374999998</v>
      </c>
      <c r="M805" s="29">
        <v>4597.7011499999999</v>
      </c>
      <c r="N805" s="15">
        <v>45748</v>
      </c>
    </row>
    <row r="806" spans="1:14" x14ac:dyDescent="0.25">
      <c r="A806">
        <v>413947</v>
      </c>
      <c r="B806" t="s">
        <v>18</v>
      </c>
      <c r="C806">
        <v>17</v>
      </c>
      <c r="D806" t="s">
        <v>43</v>
      </c>
      <c r="E806" t="s">
        <v>19</v>
      </c>
      <c r="F806" s="27">
        <v>45764</v>
      </c>
      <c r="G806">
        <v>8</v>
      </c>
      <c r="H806">
        <v>8</v>
      </c>
      <c r="I806" t="s">
        <v>556</v>
      </c>
      <c r="J806" s="27">
        <v>45782</v>
      </c>
      <c r="L806" s="29">
        <v>359.19540227272728</v>
      </c>
      <c r="M806" s="29">
        <v>2873.5632181818182</v>
      </c>
      <c r="N806" s="15">
        <v>45748</v>
      </c>
    </row>
    <row r="807" spans="1:14" x14ac:dyDescent="0.25">
      <c r="A807">
        <v>404992</v>
      </c>
      <c r="B807" t="s">
        <v>35</v>
      </c>
      <c r="C807">
        <v>47569</v>
      </c>
      <c r="D807" t="s">
        <v>46</v>
      </c>
      <c r="E807" t="s">
        <v>22</v>
      </c>
      <c r="F807" s="27">
        <v>45763</v>
      </c>
      <c r="G807">
        <v>3.5</v>
      </c>
      <c r="H807">
        <v>3.5</v>
      </c>
      <c r="I807" t="s">
        <v>489</v>
      </c>
      <c r="J807" s="27">
        <v>45763</v>
      </c>
      <c r="L807" s="29">
        <v>1077.5862068181818</v>
      </c>
      <c r="M807" s="29">
        <v>3771.5517238636367</v>
      </c>
      <c r="N807" s="15">
        <v>45748</v>
      </c>
    </row>
    <row r="808" spans="1:14" x14ac:dyDescent="0.25">
      <c r="A808">
        <v>405275</v>
      </c>
      <c r="B808" t="s">
        <v>35</v>
      </c>
      <c r="C808">
        <v>47572</v>
      </c>
      <c r="D808" t="s">
        <v>42</v>
      </c>
      <c r="E808" t="s">
        <v>22</v>
      </c>
      <c r="F808" s="27">
        <v>45763</v>
      </c>
      <c r="G808">
        <v>0.5</v>
      </c>
      <c r="H808">
        <v>0.5</v>
      </c>
      <c r="I808" t="s">
        <v>564</v>
      </c>
      <c r="J808" s="27">
        <v>45763</v>
      </c>
      <c r="L808" s="29">
        <v>1418</v>
      </c>
      <c r="M808" s="29">
        <v>709</v>
      </c>
      <c r="N808" s="15">
        <v>45748</v>
      </c>
    </row>
    <row r="809" spans="1:14" x14ac:dyDescent="0.25">
      <c r="A809">
        <v>405276</v>
      </c>
      <c r="B809" t="s">
        <v>35</v>
      </c>
      <c r="C809">
        <v>47572</v>
      </c>
      <c r="D809" t="s">
        <v>42</v>
      </c>
      <c r="E809" t="s">
        <v>22</v>
      </c>
      <c r="F809" s="27">
        <v>45763</v>
      </c>
      <c r="G809">
        <v>0.5</v>
      </c>
      <c r="H809">
        <v>0.5</v>
      </c>
      <c r="I809" t="s">
        <v>295</v>
      </c>
      <c r="J809" s="27">
        <v>45763</v>
      </c>
      <c r="L809" s="29">
        <v>1418</v>
      </c>
      <c r="M809" s="29">
        <v>709</v>
      </c>
      <c r="N809" s="15">
        <v>45748</v>
      </c>
    </row>
    <row r="810" spans="1:14" x14ac:dyDescent="0.25">
      <c r="A810">
        <v>405021</v>
      </c>
      <c r="B810" t="s">
        <v>29</v>
      </c>
      <c r="C810">
        <v>52587</v>
      </c>
      <c r="D810" t="s">
        <v>39</v>
      </c>
      <c r="E810" t="s">
        <v>22</v>
      </c>
      <c r="F810" s="27">
        <v>45763</v>
      </c>
      <c r="G810">
        <v>8</v>
      </c>
      <c r="H810">
        <v>8</v>
      </c>
      <c r="I810" t="s">
        <v>552</v>
      </c>
      <c r="J810" s="27">
        <v>45763</v>
      </c>
      <c r="L810" s="29">
        <v>718.39080454545456</v>
      </c>
      <c r="M810" s="29">
        <v>5747.1264363636365</v>
      </c>
      <c r="N810" s="15">
        <v>45748</v>
      </c>
    </row>
    <row r="811" spans="1:14" x14ac:dyDescent="0.25">
      <c r="A811">
        <v>405277</v>
      </c>
      <c r="B811" t="s">
        <v>35</v>
      </c>
      <c r="C811">
        <v>47614</v>
      </c>
      <c r="D811" t="s">
        <v>42</v>
      </c>
      <c r="E811" t="s">
        <v>22</v>
      </c>
      <c r="F811" s="27">
        <v>45763</v>
      </c>
      <c r="G811">
        <v>1</v>
      </c>
      <c r="H811">
        <v>1</v>
      </c>
      <c r="I811">
        <v>1854</v>
      </c>
      <c r="J811" s="27">
        <v>45763</v>
      </c>
      <c r="L811" s="29">
        <v>1418</v>
      </c>
      <c r="M811" s="29">
        <v>1418</v>
      </c>
      <c r="N811" s="15">
        <v>45748</v>
      </c>
    </row>
    <row r="812" spans="1:14" x14ac:dyDescent="0.25">
      <c r="A812">
        <v>405280</v>
      </c>
      <c r="B812" t="s">
        <v>35</v>
      </c>
      <c r="C812">
        <v>47614</v>
      </c>
      <c r="D812" t="s">
        <v>42</v>
      </c>
      <c r="E812" t="s">
        <v>22</v>
      </c>
      <c r="F812" s="27">
        <v>45763</v>
      </c>
      <c r="G812">
        <v>3</v>
      </c>
      <c r="H812">
        <v>3</v>
      </c>
      <c r="I812">
        <v>1785</v>
      </c>
      <c r="J812" s="27">
        <v>45763</v>
      </c>
      <c r="L812" s="29">
        <v>1418</v>
      </c>
      <c r="M812" s="29">
        <v>4254</v>
      </c>
      <c r="N812" s="15">
        <v>45748</v>
      </c>
    </row>
    <row r="813" spans="1:14" x14ac:dyDescent="0.25">
      <c r="A813">
        <v>412767</v>
      </c>
      <c r="B813" t="s">
        <v>35</v>
      </c>
      <c r="C813">
        <v>47538</v>
      </c>
      <c r="D813" t="s">
        <v>32</v>
      </c>
      <c r="E813" t="s">
        <v>22</v>
      </c>
      <c r="F813" s="27">
        <v>45763</v>
      </c>
      <c r="G813">
        <v>31</v>
      </c>
      <c r="H813">
        <v>31</v>
      </c>
      <c r="I813" t="s">
        <v>467</v>
      </c>
      <c r="J813" s="27">
        <v>45777</v>
      </c>
      <c r="L813" s="29">
        <v>2155.1724136363637</v>
      </c>
      <c r="M813" s="29">
        <v>66810.344822727275</v>
      </c>
      <c r="N813" s="15">
        <v>45748</v>
      </c>
    </row>
    <row r="814" spans="1:14" x14ac:dyDescent="0.25">
      <c r="A814">
        <v>432243</v>
      </c>
      <c r="B814" t="s">
        <v>47</v>
      </c>
      <c r="C814">
        <v>53726</v>
      </c>
      <c r="D814" t="s">
        <v>25</v>
      </c>
      <c r="E814" t="s">
        <v>22</v>
      </c>
      <c r="F814" s="27">
        <v>45763</v>
      </c>
      <c r="G814">
        <v>94</v>
      </c>
      <c r="H814">
        <v>94</v>
      </c>
      <c r="I814" t="s">
        <v>294</v>
      </c>
      <c r="J814" s="27">
        <v>45836</v>
      </c>
      <c r="L814" s="29">
        <v>1077.5862068181818</v>
      </c>
      <c r="M814" s="29">
        <v>101293.10344090909</v>
      </c>
      <c r="N814" s="15">
        <v>45748</v>
      </c>
    </row>
    <row r="815" spans="1:14" x14ac:dyDescent="0.25">
      <c r="A815">
        <v>406408</v>
      </c>
      <c r="B815" t="s">
        <v>20</v>
      </c>
      <c r="C815">
        <v>51353</v>
      </c>
      <c r="D815" t="s">
        <v>21</v>
      </c>
      <c r="E815" t="s">
        <v>22</v>
      </c>
      <c r="F815" s="27">
        <v>45763</v>
      </c>
      <c r="G815">
        <v>2</v>
      </c>
      <c r="H815">
        <v>2</v>
      </c>
      <c r="I815" t="s">
        <v>565</v>
      </c>
      <c r="J815" s="27">
        <v>45766</v>
      </c>
      <c r="L815" s="29">
        <v>1616.3793102272728</v>
      </c>
      <c r="M815" s="29">
        <v>3232.7586204545455</v>
      </c>
      <c r="N815" s="15">
        <v>45748</v>
      </c>
    </row>
    <row r="816" spans="1:14" x14ac:dyDescent="0.25">
      <c r="A816">
        <v>406409</v>
      </c>
      <c r="B816" t="s">
        <v>20</v>
      </c>
      <c r="C816">
        <v>52828</v>
      </c>
      <c r="D816" t="s">
        <v>21</v>
      </c>
      <c r="E816" t="s">
        <v>22</v>
      </c>
      <c r="F816" s="27">
        <v>45763</v>
      </c>
      <c r="G816">
        <v>3</v>
      </c>
      <c r="H816">
        <v>3</v>
      </c>
      <c r="I816" t="s">
        <v>566</v>
      </c>
      <c r="J816" s="27">
        <v>45766</v>
      </c>
      <c r="L816" s="29">
        <v>1616.3793102272728</v>
      </c>
      <c r="M816" s="29">
        <v>4849.137930681818</v>
      </c>
      <c r="N816" s="15">
        <v>45748</v>
      </c>
    </row>
    <row r="817" spans="1:14" x14ac:dyDescent="0.25">
      <c r="A817">
        <v>405146</v>
      </c>
      <c r="B817" t="s">
        <v>48</v>
      </c>
      <c r="C817">
        <v>53144</v>
      </c>
      <c r="D817" t="s">
        <v>36</v>
      </c>
      <c r="E817" t="s">
        <v>22</v>
      </c>
      <c r="F817" s="27">
        <v>45763</v>
      </c>
      <c r="G817">
        <v>0.5</v>
      </c>
      <c r="H817">
        <v>0.5</v>
      </c>
      <c r="I817" t="s">
        <v>567</v>
      </c>
      <c r="J817" s="27">
        <v>45763</v>
      </c>
      <c r="L817" s="29">
        <v>1724.1379312500001</v>
      </c>
      <c r="M817" s="29">
        <v>862.06896562500003</v>
      </c>
      <c r="N817" s="15">
        <v>45748</v>
      </c>
    </row>
    <row r="818" spans="1:14" x14ac:dyDescent="0.25">
      <c r="A818">
        <v>411822</v>
      </c>
      <c r="B818" t="s">
        <v>35</v>
      </c>
      <c r="C818">
        <v>52114</v>
      </c>
      <c r="D818" t="s">
        <v>37</v>
      </c>
      <c r="E818" t="s">
        <v>22</v>
      </c>
      <c r="F818" s="27">
        <v>45763</v>
      </c>
      <c r="G818">
        <v>8</v>
      </c>
      <c r="H818">
        <v>8</v>
      </c>
      <c r="I818" t="s">
        <v>493</v>
      </c>
      <c r="J818" s="27">
        <v>45777</v>
      </c>
      <c r="L818" s="29">
        <v>431.03448295454547</v>
      </c>
      <c r="M818" s="29">
        <v>3448.2758636363637</v>
      </c>
      <c r="N818" s="15">
        <v>45748</v>
      </c>
    </row>
    <row r="819" spans="1:14" x14ac:dyDescent="0.25">
      <c r="A819">
        <v>432307</v>
      </c>
      <c r="B819" t="s">
        <v>254</v>
      </c>
      <c r="C819">
        <v>47665</v>
      </c>
      <c r="D819" t="s">
        <v>41</v>
      </c>
      <c r="E819" t="s">
        <v>22</v>
      </c>
      <c r="F819" s="27">
        <v>45763</v>
      </c>
      <c r="G819">
        <v>4</v>
      </c>
      <c r="H819">
        <v>4</v>
      </c>
      <c r="I819" t="s">
        <v>294</v>
      </c>
      <c r="J819" s="27">
        <v>45836</v>
      </c>
      <c r="L819" s="29">
        <v>1436.7816090909091</v>
      </c>
      <c r="M819" s="29">
        <v>5747.1264363636365</v>
      </c>
      <c r="N819" s="15">
        <v>45748</v>
      </c>
    </row>
    <row r="820" spans="1:14" x14ac:dyDescent="0.25">
      <c r="A820">
        <v>413901</v>
      </c>
      <c r="B820" t="s">
        <v>31</v>
      </c>
      <c r="C820">
        <v>13970</v>
      </c>
      <c r="D820" t="s">
        <v>49</v>
      </c>
      <c r="E820" t="s">
        <v>19</v>
      </c>
      <c r="F820" s="27">
        <v>45763</v>
      </c>
      <c r="G820">
        <v>5.5</v>
      </c>
      <c r="H820">
        <v>5.5</v>
      </c>
      <c r="I820" t="s">
        <v>492</v>
      </c>
      <c r="J820" s="27">
        <v>45782</v>
      </c>
      <c r="L820" s="29">
        <v>1077.5862068181818</v>
      </c>
      <c r="M820" s="29">
        <v>5926.7241375000003</v>
      </c>
      <c r="N820" s="15">
        <v>45748</v>
      </c>
    </row>
    <row r="821" spans="1:14" x14ac:dyDescent="0.25">
      <c r="A821">
        <v>413946</v>
      </c>
      <c r="B821" t="s">
        <v>18</v>
      </c>
      <c r="C821">
        <v>17</v>
      </c>
      <c r="D821" t="s">
        <v>43</v>
      </c>
      <c r="E821" t="s">
        <v>19</v>
      </c>
      <c r="F821" s="27">
        <v>45763</v>
      </c>
      <c r="G821">
        <v>8</v>
      </c>
      <c r="H821">
        <v>8</v>
      </c>
      <c r="I821" t="s">
        <v>556</v>
      </c>
      <c r="J821" s="27">
        <v>45782</v>
      </c>
      <c r="L821" s="29">
        <v>359.19540227272728</v>
      </c>
      <c r="M821" s="29">
        <v>2873.5632181818182</v>
      </c>
      <c r="N821" s="15">
        <v>45748</v>
      </c>
    </row>
    <row r="822" spans="1:14" x14ac:dyDescent="0.25">
      <c r="A822">
        <v>404990</v>
      </c>
      <c r="B822" t="s">
        <v>35</v>
      </c>
      <c r="C822">
        <v>47572</v>
      </c>
      <c r="D822" t="s">
        <v>46</v>
      </c>
      <c r="E822" t="s">
        <v>22</v>
      </c>
      <c r="F822" s="27">
        <v>45763</v>
      </c>
      <c r="G822">
        <v>1.5</v>
      </c>
      <c r="H822">
        <v>1.5</v>
      </c>
      <c r="I822" t="s">
        <v>331</v>
      </c>
      <c r="J822" s="27">
        <v>45763</v>
      </c>
      <c r="L822" s="29">
        <v>1077.5862068181818</v>
      </c>
      <c r="M822" s="29">
        <v>1616.3793102272728</v>
      </c>
      <c r="N822" s="15">
        <v>45748</v>
      </c>
    </row>
    <row r="823" spans="1:14" x14ac:dyDescent="0.25">
      <c r="A823">
        <v>404991</v>
      </c>
      <c r="B823" t="s">
        <v>35</v>
      </c>
      <c r="C823">
        <v>47568</v>
      </c>
      <c r="D823" t="s">
        <v>46</v>
      </c>
      <c r="E823" t="s">
        <v>22</v>
      </c>
      <c r="F823" s="27">
        <v>45763</v>
      </c>
      <c r="G823">
        <v>3</v>
      </c>
      <c r="H823">
        <v>3</v>
      </c>
      <c r="I823" t="s">
        <v>489</v>
      </c>
      <c r="J823" s="27">
        <v>45763</v>
      </c>
      <c r="L823" s="29">
        <v>1077.5862068181818</v>
      </c>
      <c r="M823" s="29">
        <v>3232.7586204545455</v>
      </c>
      <c r="N823" s="15">
        <v>45748</v>
      </c>
    </row>
    <row r="824" spans="1:14" x14ac:dyDescent="0.25">
      <c r="A824">
        <v>405075</v>
      </c>
      <c r="B824" t="s">
        <v>28</v>
      </c>
      <c r="C824">
        <v>51263</v>
      </c>
      <c r="D824" t="s">
        <v>27</v>
      </c>
      <c r="E824" t="s">
        <v>22</v>
      </c>
      <c r="F824" s="27">
        <v>45762</v>
      </c>
      <c r="G824">
        <v>10</v>
      </c>
      <c r="H824">
        <v>10</v>
      </c>
      <c r="I824" t="s">
        <v>568</v>
      </c>
      <c r="J824" s="27">
        <v>45763</v>
      </c>
      <c r="L824" s="29">
        <v>574.71264374999998</v>
      </c>
      <c r="M824" s="29">
        <v>5747.1264375000001</v>
      </c>
      <c r="N824" s="15">
        <v>45748</v>
      </c>
    </row>
    <row r="825" spans="1:14" x14ac:dyDescent="0.25">
      <c r="A825">
        <v>406407</v>
      </c>
      <c r="B825" t="s">
        <v>20</v>
      </c>
      <c r="C825">
        <v>52830</v>
      </c>
      <c r="D825" t="s">
        <v>21</v>
      </c>
      <c r="E825" t="s">
        <v>22</v>
      </c>
      <c r="F825" s="27">
        <v>45762</v>
      </c>
      <c r="G825">
        <v>8</v>
      </c>
      <c r="H825">
        <v>8</v>
      </c>
      <c r="I825" t="s">
        <v>569</v>
      </c>
      <c r="J825" s="27">
        <v>45766</v>
      </c>
      <c r="L825" s="29">
        <v>1616.3793102272728</v>
      </c>
      <c r="M825" s="29">
        <v>12931.034481818182</v>
      </c>
      <c r="N825" s="15">
        <v>45748</v>
      </c>
    </row>
    <row r="826" spans="1:14" x14ac:dyDescent="0.25">
      <c r="A826">
        <v>404362</v>
      </c>
      <c r="B826" t="s">
        <v>29</v>
      </c>
      <c r="C826">
        <v>52587</v>
      </c>
      <c r="D826" t="s">
        <v>39</v>
      </c>
      <c r="E826" t="s">
        <v>22</v>
      </c>
      <c r="F826" s="27">
        <v>45762</v>
      </c>
      <c r="G826">
        <v>12</v>
      </c>
      <c r="H826">
        <v>12</v>
      </c>
      <c r="I826" t="s">
        <v>552</v>
      </c>
      <c r="J826" s="27">
        <v>45762</v>
      </c>
      <c r="L826" s="29">
        <v>718.39080454545456</v>
      </c>
      <c r="M826" s="29">
        <v>8620.6896545454547</v>
      </c>
      <c r="N826" s="15">
        <v>45748</v>
      </c>
    </row>
    <row r="827" spans="1:14" x14ac:dyDescent="0.25">
      <c r="A827">
        <v>405907</v>
      </c>
      <c r="B827" t="s">
        <v>29</v>
      </c>
      <c r="C827">
        <v>52952</v>
      </c>
      <c r="D827" t="s">
        <v>44</v>
      </c>
      <c r="E827" t="s">
        <v>22</v>
      </c>
      <c r="F827" s="27">
        <v>45762</v>
      </c>
      <c r="G827">
        <v>2</v>
      </c>
      <c r="H827">
        <v>2</v>
      </c>
      <c r="I827" t="s">
        <v>570</v>
      </c>
      <c r="J827" s="27">
        <v>45765</v>
      </c>
      <c r="L827" s="29">
        <v>2011.494252840909</v>
      </c>
      <c r="M827" s="29">
        <v>4022.988505681818</v>
      </c>
      <c r="N827" s="15">
        <v>45748</v>
      </c>
    </row>
    <row r="828" spans="1:14" x14ac:dyDescent="0.25">
      <c r="A828">
        <v>411821</v>
      </c>
      <c r="B828" t="s">
        <v>35</v>
      </c>
      <c r="C828">
        <v>52114</v>
      </c>
      <c r="D828" t="s">
        <v>37</v>
      </c>
      <c r="E828" t="s">
        <v>22</v>
      </c>
      <c r="F828" s="27">
        <v>45762</v>
      </c>
      <c r="G828">
        <v>8</v>
      </c>
      <c r="H828">
        <v>8</v>
      </c>
      <c r="I828" t="s">
        <v>571</v>
      </c>
      <c r="J828" s="27">
        <v>45777</v>
      </c>
      <c r="L828" s="29">
        <v>431.03448295454547</v>
      </c>
      <c r="M828" s="29">
        <v>3448.2758636363637</v>
      </c>
      <c r="N828" s="15">
        <v>45748</v>
      </c>
    </row>
    <row r="829" spans="1:14" x14ac:dyDescent="0.25">
      <c r="A829">
        <v>404663</v>
      </c>
      <c r="B829" t="s">
        <v>35</v>
      </c>
      <c r="C829">
        <v>47614</v>
      </c>
      <c r="D829" t="s">
        <v>42</v>
      </c>
      <c r="E829" t="s">
        <v>22</v>
      </c>
      <c r="F829" s="27">
        <v>45762</v>
      </c>
      <c r="G829">
        <v>4</v>
      </c>
      <c r="H829">
        <v>4</v>
      </c>
      <c r="I829">
        <v>1785</v>
      </c>
      <c r="J829" s="27">
        <v>45762</v>
      </c>
      <c r="L829" s="29">
        <v>1418</v>
      </c>
      <c r="M829" s="29">
        <v>5672</v>
      </c>
      <c r="N829" s="15">
        <v>45748</v>
      </c>
    </row>
    <row r="830" spans="1:14" x14ac:dyDescent="0.25">
      <c r="A830">
        <v>404665</v>
      </c>
      <c r="B830" t="s">
        <v>35</v>
      </c>
      <c r="C830">
        <v>47572</v>
      </c>
      <c r="D830" t="s">
        <v>42</v>
      </c>
      <c r="E830" t="s">
        <v>22</v>
      </c>
      <c r="F830" s="27">
        <v>45762</v>
      </c>
      <c r="G830">
        <v>0.5</v>
      </c>
      <c r="H830">
        <v>0.5</v>
      </c>
      <c r="I830" t="s">
        <v>295</v>
      </c>
      <c r="J830" s="27">
        <v>45762</v>
      </c>
      <c r="L830" s="29">
        <v>1418</v>
      </c>
      <c r="M830" s="29">
        <v>709</v>
      </c>
      <c r="N830" s="15">
        <v>45748</v>
      </c>
    </row>
    <row r="831" spans="1:14" x14ac:dyDescent="0.25">
      <c r="A831">
        <v>404726</v>
      </c>
      <c r="B831" t="s">
        <v>48</v>
      </c>
      <c r="C831">
        <v>53144</v>
      </c>
      <c r="D831" t="s">
        <v>36</v>
      </c>
      <c r="E831" t="s">
        <v>22</v>
      </c>
      <c r="F831" s="27">
        <v>45762</v>
      </c>
      <c r="G831">
        <v>5</v>
      </c>
      <c r="H831">
        <v>5</v>
      </c>
      <c r="I831" t="s">
        <v>572</v>
      </c>
      <c r="J831" s="27">
        <v>45763</v>
      </c>
      <c r="L831" s="29">
        <v>1724.1379312500001</v>
      </c>
      <c r="M831" s="29">
        <v>8620.6896562500006</v>
      </c>
      <c r="N831" s="15">
        <v>45748</v>
      </c>
    </row>
    <row r="832" spans="1:14" x14ac:dyDescent="0.25">
      <c r="A832">
        <v>413945</v>
      </c>
      <c r="B832" t="s">
        <v>18</v>
      </c>
      <c r="C832">
        <v>17</v>
      </c>
      <c r="D832" t="s">
        <v>43</v>
      </c>
      <c r="E832" t="s">
        <v>19</v>
      </c>
      <c r="F832" s="27">
        <v>45762</v>
      </c>
      <c r="G832">
        <v>8</v>
      </c>
      <c r="H832">
        <v>8</v>
      </c>
      <c r="I832" t="s">
        <v>556</v>
      </c>
      <c r="J832" s="27">
        <v>45782</v>
      </c>
      <c r="L832" s="29">
        <v>359.19540227272728</v>
      </c>
      <c r="M832" s="29">
        <v>2873.5632181818182</v>
      </c>
      <c r="N832" s="15">
        <v>45748</v>
      </c>
    </row>
    <row r="833" spans="1:14" x14ac:dyDescent="0.25">
      <c r="A833">
        <v>404477</v>
      </c>
      <c r="B833" t="s">
        <v>35</v>
      </c>
      <c r="C833">
        <v>47572</v>
      </c>
      <c r="D833" t="s">
        <v>46</v>
      </c>
      <c r="E833" t="s">
        <v>22</v>
      </c>
      <c r="F833" s="27">
        <v>45762</v>
      </c>
      <c r="G833">
        <v>3</v>
      </c>
      <c r="H833">
        <v>3</v>
      </c>
      <c r="I833" t="s">
        <v>331</v>
      </c>
      <c r="J833" s="27">
        <v>45762</v>
      </c>
      <c r="L833" s="29">
        <v>1077.5862068181818</v>
      </c>
      <c r="M833" s="29">
        <v>3232.7586204545455</v>
      </c>
      <c r="N833" s="15">
        <v>45748</v>
      </c>
    </row>
    <row r="834" spans="1:14" x14ac:dyDescent="0.25">
      <c r="A834">
        <v>404479</v>
      </c>
      <c r="B834" t="s">
        <v>35</v>
      </c>
      <c r="C834">
        <v>47569</v>
      </c>
      <c r="D834" t="s">
        <v>46</v>
      </c>
      <c r="E834" t="s">
        <v>22</v>
      </c>
      <c r="F834" s="27">
        <v>45762</v>
      </c>
      <c r="G834">
        <v>5</v>
      </c>
      <c r="H834">
        <v>5</v>
      </c>
      <c r="I834" t="s">
        <v>573</v>
      </c>
      <c r="J834" s="27">
        <v>45762</v>
      </c>
      <c r="L834" s="29">
        <v>1077.5862068181818</v>
      </c>
      <c r="M834" s="29">
        <v>5387.9310340909087</v>
      </c>
      <c r="N834" s="15">
        <v>45748</v>
      </c>
    </row>
    <row r="835" spans="1:14" x14ac:dyDescent="0.25">
      <c r="A835">
        <v>404018</v>
      </c>
      <c r="B835" t="s">
        <v>35</v>
      </c>
      <c r="C835">
        <v>47572</v>
      </c>
      <c r="D835" t="s">
        <v>46</v>
      </c>
      <c r="E835" t="s">
        <v>22</v>
      </c>
      <c r="F835" s="27">
        <v>45761</v>
      </c>
      <c r="G835">
        <v>0.5</v>
      </c>
      <c r="H835">
        <v>0.5</v>
      </c>
      <c r="I835" t="s">
        <v>331</v>
      </c>
      <c r="J835" s="27">
        <v>45761</v>
      </c>
      <c r="L835" s="29">
        <v>1077.5862068181818</v>
      </c>
      <c r="M835" s="29">
        <v>538.79310340909092</v>
      </c>
      <c r="N835" s="15">
        <v>45748</v>
      </c>
    </row>
    <row r="836" spans="1:14" x14ac:dyDescent="0.25">
      <c r="A836">
        <v>404020</v>
      </c>
      <c r="B836" t="s">
        <v>35</v>
      </c>
      <c r="C836">
        <v>47569</v>
      </c>
      <c r="D836" t="s">
        <v>46</v>
      </c>
      <c r="E836" t="s">
        <v>22</v>
      </c>
      <c r="F836" s="27">
        <v>45761</v>
      </c>
      <c r="G836">
        <v>8.5</v>
      </c>
      <c r="H836">
        <v>8.5</v>
      </c>
      <c r="I836" t="s">
        <v>574</v>
      </c>
      <c r="J836" s="27">
        <v>45761</v>
      </c>
      <c r="L836" s="29">
        <v>1077.5862068181818</v>
      </c>
      <c r="M836" s="29">
        <v>9159.4827579545454</v>
      </c>
      <c r="N836" s="15">
        <v>45748</v>
      </c>
    </row>
    <row r="837" spans="1:14" x14ac:dyDescent="0.25">
      <c r="A837">
        <v>406406</v>
      </c>
      <c r="B837" t="s">
        <v>20</v>
      </c>
      <c r="C837">
        <v>52830</v>
      </c>
      <c r="D837" t="s">
        <v>21</v>
      </c>
      <c r="E837" t="s">
        <v>22</v>
      </c>
      <c r="F837" s="27">
        <v>45761</v>
      </c>
      <c r="G837">
        <v>8</v>
      </c>
      <c r="H837">
        <v>8</v>
      </c>
      <c r="I837" t="s">
        <v>575</v>
      </c>
      <c r="J837" s="27">
        <v>45766</v>
      </c>
      <c r="L837" s="29">
        <v>1616.3793102272728</v>
      </c>
      <c r="M837" s="29">
        <v>12931.034481818182</v>
      </c>
      <c r="N837" s="15">
        <v>45748</v>
      </c>
    </row>
    <row r="838" spans="1:14" x14ac:dyDescent="0.25">
      <c r="A838">
        <v>404361</v>
      </c>
      <c r="B838" t="s">
        <v>29</v>
      </c>
      <c r="C838">
        <v>52587</v>
      </c>
      <c r="D838" t="s">
        <v>39</v>
      </c>
      <c r="E838" t="s">
        <v>22</v>
      </c>
      <c r="F838" s="27">
        <v>45761</v>
      </c>
      <c r="G838">
        <v>8</v>
      </c>
      <c r="H838">
        <v>8</v>
      </c>
      <c r="I838" t="s">
        <v>552</v>
      </c>
      <c r="J838" s="27">
        <v>45762</v>
      </c>
      <c r="L838" s="29">
        <v>718.39080454545456</v>
      </c>
      <c r="M838" s="29">
        <v>5747.1264363636365</v>
      </c>
      <c r="N838" s="15">
        <v>45748</v>
      </c>
    </row>
    <row r="839" spans="1:14" x14ac:dyDescent="0.25">
      <c r="A839">
        <v>411820</v>
      </c>
      <c r="B839" t="s">
        <v>35</v>
      </c>
      <c r="C839">
        <v>52114</v>
      </c>
      <c r="D839" t="s">
        <v>37</v>
      </c>
      <c r="E839" t="s">
        <v>22</v>
      </c>
      <c r="F839" s="27">
        <v>45761</v>
      </c>
      <c r="G839">
        <v>8</v>
      </c>
      <c r="H839">
        <v>8</v>
      </c>
      <c r="I839" t="s">
        <v>493</v>
      </c>
      <c r="J839" s="27">
        <v>45777</v>
      </c>
      <c r="L839" s="29">
        <v>431.03448295454547</v>
      </c>
      <c r="M839" s="29">
        <v>3448.2758636363637</v>
      </c>
      <c r="N839" s="15">
        <v>45748</v>
      </c>
    </row>
    <row r="840" spans="1:14" x14ac:dyDescent="0.25">
      <c r="A840">
        <v>404662</v>
      </c>
      <c r="B840" t="s">
        <v>35</v>
      </c>
      <c r="C840">
        <v>47614</v>
      </c>
      <c r="D840" t="s">
        <v>42</v>
      </c>
      <c r="E840" t="s">
        <v>22</v>
      </c>
      <c r="F840" s="27">
        <v>45761</v>
      </c>
      <c r="G840">
        <v>4</v>
      </c>
      <c r="H840">
        <v>4</v>
      </c>
      <c r="I840">
        <v>1785</v>
      </c>
      <c r="J840" s="27">
        <v>45762</v>
      </c>
      <c r="L840" s="29">
        <v>1418</v>
      </c>
      <c r="M840" s="29">
        <v>5672</v>
      </c>
      <c r="N840" s="15">
        <v>45748</v>
      </c>
    </row>
    <row r="841" spans="1:14" x14ac:dyDescent="0.25">
      <c r="A841">
        <v>404664</v>
      </c>
      <c r="B841" t="s">
        <v>35</v>
      </c>
      <c r="C841">
        <v>47572</v>
      </c>
      <c r="D841" t="s">
        <v>42</v>
      </c>
      <c r="E841" t="s">
        <v>22</v>
      </c>
      <c r="F841" s="27">
        <v>45761</v>
      </c>
      <c r="G841">
        <v>0.5</v>
      </c>
      <c r="H841">
        <v>0.5</v>
      </c>
      <c r="I841" t="s">
        <v>576</v>
      </c>
      <c r="J841" s="27">
        <v>45762</v>
      </c>
      <c r="L841" s="29">
        <v>1418</v>
      </c>
      <c r="M841" s="29">
        <v>709</v>
      </c>
      <c r="N841" s="15">
        <v>45748</v>
      </c>
    </row>
    <row r="842" spans="1:14" x14ac:dyDescent="0.25">
      <c r="A842">
        <v>404172</v>
      </c>
      <c r="B842" t="s">
        <v>48</v>
      </c>
      <c r="C842">
        <v>53144</v>
      </c>
      <c r="D842" t="s">
        <v>36</v>
      </c>
      <c r="E842" t="s">
        <v>22</v>
      </c>
      <c r="F842" s="27">
        <v>45761</v>
      </c>
      <c r="G842">
        <v>1</v>
      </c>
      <c r="H842">
        <v>1</v>
      </c>
      <c r="I842" t="s">
        <v>577</v>
      </c>
      <c r="J842" s="27">
        <v>45761</v>
      </c>
      <c r="L842" s="29">
        <v>1724.1379312500001</v>
      </c>
      <c r="M842" s="29">
        <v>1724.1379312500001</v>
      </c>
      <c r="N842" s="15">
        <v>45748</v>
      </c>
    </row>
    <row r="843" spans="1:14" x14ac:dyDescent="0.25">
      <c r="A843">
        <v>404173</v>
      </c>
      <c r="B843" t="s">
        <v>48</v>
      </c>
      <c r="C843">
        <v>53144</v>
      </c>
      <c r="D843" t="s">
        <v>36</v>
      </c>
      <c r="E843" t="s">
        <v>22</v>
      </c>
      <c r="F843" s="27">
        <v>45761</v>
      </c>
      <c r="G843">
        <v>1</v>
      </c>
      <c r="H843">
        <v>1</v>
      </c>
      <c r="I843" t="s">
        <v>578</v>
      </c>
      <c r="J843" s="27">
        <v>45761</v>
      </c>
      <c r="L843" s="29">
        <v>1724.1379312500001</v>
      </c>
      <c r="M843" s="29">
        <v>1724.1379312500001</v>
      </c>
      <c r="N843" s="15">
        <v>45748</v>
      </c>
    </row>
    <row r="844" spans="1:14" x14ac:dyDescent="0.25">
      <c r="A844">
        <v>404178</v>
      </c>
      <c r="B844" t="s">
        <v>28</v>
      </c>
      <c r="C844">
        <v>51263</v>
      </c>
      <c r="D844" t="s">
        <v>27</v>
      </c>
      <c r="E844" t="s">
        <v>22</v>
      </c>
      <c r="F844" s="27">
        <v>45761</v>
      </c>
      <c r="G844">
        <v>8</v>
      </c>
      <c r="H844">
        <v>8</v>
      </c>
      <c r="I844" t="s">
        <v>579</v>
      </c>
      <c r="J844" s="27">
        <v>45761</v>
      </c>
      <c r="L844" s="29">
        <v>574.71264374999998</v>
      </c>
      <c r="M844" s="29">
        <v>4597.7011499999999</v>
      </c>
      <c r="N844" s="15">
        <v>45748</v>
      </c>
    </row>
    <row r="845" spans="1:14" x14ac:dyDescent="0.25">
      <c r="A845">
        <v>412383</v>
      </c>
      <c r="B845" t="s">
        <v>35</v>
      </c>
      <c r="C845">
        <v>47569</v>
      </c>
      <c r="D845" t="s">
        <v>30</v>
      </c>
      <c r="E845" t="s">
        <v>22</v>
      </c>
      <c r="F845" s="27">
        <v>45761</v>
      </c>
      <c r="G845">
        <v>8</v>
      </c>
      <c r="H845">
        <v>8</v>
      </c>
      <c r="I845" t="s">
        <v>494</v>
      </c>
      <c r="J845" s="27">
        <v>45777</v>
      </c>
      <c r="L845" s="29">
        <v>574.71264374999998</v>
      </c>
      <c r="M845" s="29">
        <v>4597.7011499999999</v>
      </c>
      <c r="N845" s="15">
        <v>45748</v>
      </c>
    </row>
    <row r="846" spans="1:14" x14ac:dyDescent="0.25">
      <c r="A846">
        <v>413944</v>
      </c>
      <c r="B846" t="s">
        <v>18</v>
      </c>
      <c r="C846">
        <v>17</v>
      </c>
      <c r="D846" t="s">
        <v>43</v>
      </c>
      <c r="E846" t="s">
        <v>19</v>
      </c>
      <c r="F846" s="27">
        <v>45761</v>
      </c>
      <c r="G846">
        <v>8</v>
      </c>
      <c r="H846">
        <v>8</v>
      </c>
      <c r="I846" t="s">
        <v>556</v>
      </c>
      <c r="J846" s="27">
        <v>45782</v>
      </c>
      <c r="L846" s="29">
        <v>359.19540227272728</v>
      </c>
      <c r="M846" s="29">
        <v>2873.5632181818182</v>
      </c>
      <c r="N846" s="15">
        <v>45748</v>
      </c>
    </row>
    <row r="847" spans="1:14" x14ac:dyDescent="0.25">
      <c r="A847">
        <v>403780</v>
      </c>
      <c r="B847" t="s">
        <v>35</v>
      </c>
      <c r="C847">
        <v>47614</v>
      </c>
      <c r="D847" t="s">
        <v>42</v>
      </c>
      <c r="E847" t="s">
        <v>22</v>
      </c>
      <c r="F847" s="27">
        <v>45760</v>
      </c>
      <c r="G847">
        <v>1</v>
      </c>
      <c r="H847">
        <v>1</v>
      </c>
      <c r="I847">
        <v>1826</v>
      </c>
      <c r="J847" s="27">
        <v>45760</v>
      </c>
      <c r="L847" s="29">
        <v>1418</v>
      </c>
      <c r="M847" s="29">
        <v>1418</v>
      </c>
      <c r="N847" s="15">
        <v>45748</v>
      </c>
    </row>
    <row r="848" spans="1:14" x14ac:dyDescent="0.25">
      <c r="A848">
        <v>404661</v>
      </c>
      <c r="B848" t="s">
        <v>35</v>
      </c>
      <c r="C848">
        <v>47614</v>
      </c>
      <c r="D848" t="s">
        <v>42</v>
      </c>
      <c r="E848" t="s">
        <v>22</v>
      </c>
      <c r="F848" s="27">
        <v>45760</v>
      </c>
      <c r="G848">
        <v>2</v>
      </c>
      <c r="H848">
        <v>2</v>
      </c>
      <c r="I848">
        <v>1785</v>
      </c>
      <c r="J848" s="27">
        <v>45762</v>
      </c>
      <c r="L848" s="29">
        <v>1418</v>
      </c>
      <c r="M848" s="29">
        <v>2836</v>
      </c>
      <c r="N848" s="15">
        <v>45748</v>
      </c>
    </row>
    <row r="849" spans="1:14" x14ac:dyDescent="0.25">
      <c r="A849">
        <v>432103</v>
      </c>
      <c r="B849" t="s">
        <v>38</v>
      </c>
      <c r="C849">
        <v>47707</v>
      </c>
      <c r="D849" t="s">
        <v>39</v>
      </c>
      <c r="E849" t="s">
        <v>19</v>
      </c>
      <c r="F849" s="27">
        <v>45760</v>
      </c>
      <c r="G849">
        <v>16</v>
      </c>
      <c r="H849">
        <v>16</v>
      </c>
      <c r="I849" t="s">
        <v>580</v>
      </c>
      <c r="J849" s="27">
        <v>45835</v>
      </c>
      <c r="L849" s="29">
        <v>718.39080454545456</v>
      </c>
      <c r="M849" s="29">
        <v>11494.252872727273</v>
      </c>
      <c r="N849" s="15">
        <v>45748</v>
      </c>
    </row>
    <row r="850" spans="1:14" x14ac:dyDescent="0.25">
      <c r="A850">
        <v>431922</v>
      </c>
      <c r="B850" t="s">
        <v>20</v>
      </c>
      <c r="C850">
        <v>52830</v>
      </c>
      <c r="D850" t="s">
        <v>32</v>
      </c>
      <c r="E850" t="s">
        <v>22</v>
      </c>
      <c r="F850" s="27">
        <v>45758</v>
      </c>
      <c r="G850">
        <v>43</v>
      </c>
      <c r="H850">
        <v>43</v>
      </c>
      <c r="I850" t="s">
        <v>467</v>
      </c>
      <c r="J850" s="27">
        <v>45835</v>
      </c>
      <c r="L850" s="29">
        <v>2155.1724136363637</v>
      </c>
      <c r="M850" s="29">
        <v>92672.413786363642</v>
      </c>
      <c r="N850" s="15">
        <v>45748</v>
      </c>
    </row>
    <row r="851" spans="1:14" x14ac:dyDescent="0.25">
      <c r="A851">
        <v>403766</v>
      </c>
      <c r="B851" t="s">
        <v>35</v>
      </c>
      <c r="C851">
        <v>47572</v>
      </c>
      <c r="D851" t="s">
        <v>42</v>
      </c>
      <c r="E851" t="s">
        <v>22</v>
      </c>
      <c r="F851" s="27">
        <v>45758</v>
      </c>
      <c r="G851">
        <v>0.5</v>
      </c>
      <c r="H851">
        <v>0.5</v>
      </c>
      <c r="I851" t="s">
        <v>576</v>
      </c>
      <c r="J851" s="27">
        <v>45760</v>
      </c>
      <c r="L851" s="29">
        <v>1418</v>
      </c>
      <c r="M851" s="29">
        <v>709</v>
      </c>
      <c r="N851" s="15">
        <v>45748</v>
      </c>
    </row>
    <row r="852" spans="1:14" x14ac:dyDescent="0.25">
      <c r="A852">
        <v>403512</v>
      </c>
      <c r="B852" t="s">
        <v>48</v>
      </c>
      <c r="C852">
        <v>53042</v>
      </c>
      <c r="D852" t="s">
        <v>36</v>
      </c>
      <c r="E852" t="s">
        <v>22</v>
      </c>
      <c r="F852" s="27">
        <v>45758</v>
      </c>
      <c r="G852">
        <v>0.6</v>
      </c>
      <c r="H852">
        <v>0.6</v>
      </c>
      <c r="I852" t="s">
        <v>581</v>
      </c>
      <c r="J852" s="27">
        <v>45758</v>
      </c>
      <c r="L852" s="29">
        <v>1724.1379312500001</v>
      </c>
      <c r="M852" s="29">
        <v>1034.4827587499999</v>
      </c>
      <c r="N852" s="15">
        <v>45748</v>
      </c>
    </row>
    <row r="853" spans="1:14" x14ac:dyDescent="0.25">
      <c r="A853">
        <v>403514</v>
      </c>
      <c r="B853" t="s">
        <v>48</v>
      </c>
      <c r="C853">
        <v>53093</v>
      </c>
      <c r="D853" t="s">
        <v>36</v>
      </c>
      <c r="E853" t="s">
        <v>22</v>
      </c>
      <c r="F853" s="27">
        <v>45758</v>
      </c>
      <c r="G853">
        <v>1.5</v>
      </c>
      <c r="H853">
        <v>1.5</v>
      </c>
      <c r="I853" t="s">
        <v>582</v>
      </c>
      <c r="J853" s="27">
        <v>45758</v>
      </c>
      <c r="L853" s="29">
        <v>1724.1379312500001</v>
      </c>
      <c r="M853" s="29">
        <v>2586.206896875</v>
      </c>
      <c r="N853" s="15">
        <v>45748</v>
      </c>
    </row>
    <row r="854" spans="1:14" x14ac:dyDescent="0.25">
      <c r="A854">
        <v>403515</v>
      </c>
      <c r="B854" t="s">
        <v>48</v>
      </c>
      <c r="C854">
        <v>53094</v>
      </c>
      <c r="D854" t="s">
        <v>36</v>
      </c>
      <c r="E854" t="s">
        <v>22</v>
      </c>
      <c r="F854" s="27">
        <v>45758</v>
      </c>
      <c r="G854">
        <v>1</v>
      </c>
      <c r="H854">
        <v>1</v>
      </c>
      <c r="I854" t="s">
        <v>583</v>
      </c>
      <c r="J854" s="27">
        <v>45758</v>
      </c>
      <c r="L854" s="29">
        <v>1724.1379312500001</v>
      </c>
      <c r="M854" s="29">
        <v>1724.1379312500001</v>
      </c>
      <c r="N854" s="15">
        <v>45748</v>
      </c>
    </row>
    <row r="855" spans="1:14" x14ac:dyDescent="0.25">
      <c r="A855">
        <v>403034</v>
      </c>
      <c r="B855" t="s">
        <v>20</v>
      </c>
      <c r="C855">
        <v>52828</v>
      </c>
      <c r="D855" t="s">
        <v>21</v>
      </c>
      <c r="E855" t="s">
        <v>22</v>
      </c>
      <c r="F855" s="27">
        <v>45758</v>
      </c>
      <c r="G855">
        <v>2</v>
      </c>
      <c r="H855">
        <v>2</v>
      </c>
      <c r="I855" t="s">
        <v>584</v>
      </c>
      <c r="J855" s="27">
        <v>45758</v>
      </c>
      <c r="L855" s="29">
        <v>1616.3793102272728</v>
      </c>
      <c r="M855" s="29">
        <v>3232.7586204545455</v>
      </c>
      <c r="N855" s="15">
        <v>45748</v>
      </c>
    </row>
    <row r="856" spans="1:14" x14ac:dyDescent="0.25">
      <c r="A856">
        <v>403035</v>
      </c>
      <c r="B856" t="s">
        <v>20</v>
      </c>
      <c r="C856">
        <v>52830</v>
      </c>
      <c r="D856" t="s">
        <v>21</v>
      </c>
      <c r="E856" t="s">
        <v>22</v>
      </c>
      <c r="F856" s="27">
        <v>45758</v>
      </c>
      <c r="G856">
        <v>2</v>
      </c>
      <c r="H856">
        <v>2</v>
      </c>
      <c r="I856" t="s">
        <v>585</v>
      </c>
      <c r="J856" s="27">
        <v>45758</v>
      </c>
      <c r="L856" s="29">
        <v>1616.3793102272728</v>
      </c>
      <c r="M856" s="29">
        <v>3232.7586204545455</v>
      </c>
      <c r="N856" s="15">
        <v>45748</v>
      </c>
    </row>
    <row r="857" spans="1:14" x14ac:dyDescent="0.25">
      <c r="A857">
        <v>405891</v>
      </c>
      <c r="B857" t="s">
        <v>28</v>
      </c>
      <c r="C857">
        <v>51262</v>
      </c>
      <c r="D857" t="s">
        <v>44</v>
      </c>
      <c r="E857" t="s">
        <v>22</v>
      </c>
      <c r="F857" s="27">
        <v>45758</v>
      </c>
      <c r="G857">
        <v>24</v>
      </c>
      <c r="H857">
        <v>24</v>
      </c>
      <c r="I857" t="s">
        <v>586</v>
      </c>
      <c r="J857" s="27">
        <v>45765</v>
      </c>
      <c r="L857" s="29">
        <v>2011.494252840909</v>
      </c>
      <c r="M857" s="29">
        <v>48275.862068181814</v>
      </c>
      <c r="N857" s="15">
        <v>45748</v>
      </c>
    </row>
    <row r="858" spans="1:14" x14ac:dyDescent="0.25">
      <c r="A858">
        <v>404360</v>
      </c>
      <c r="B858" t="s">
        <v>29</v>
      </c>
      <c r="C858">
        <v>52587</v>
      </c>
      <c r="D858" t="s">
        <v>39</v>
      </c>
      <c r="E858" t="s">
        <v>22</v>
      </c>
      <c r="F858" s="27">
        <v>45758</v>
      </c>
      <c r="G858">
        <v>8</v>
      </c>
      <c r="H858">
        <v>8</v>
      </c>
      <c r="I858" t="s">
        <v>587</v>
      </c>
      <c r="J858" s="27">
        <v>45762</v>
      </c>
      <c r="L858" s="29">
        <v>718.39080454545456</v>
      </c>
      <c r="M858" s="29">
        <v>5747.1264363636365</v>
      </c>
      <c r="N858" s="15">
        <v>45748</v>
      </c>
    </row>
    <row r="859" spans="1:14" x14ac:dyDescent="0.25">
      <c r="A859">
        <v>405896</v>
      </c>
      <c r="B859" t="s">
        <v>29</v>
      </c>
      <c r="C859">
        <v>52952</v>
      </c>
      <c r="D859" t="s">
        <v>44</v>
      </c>
      <c r="E859" t="s">
        <v>22</v>
      </c>
      <c r="F859" s="27">
        <v>45758</v>
      </c>
      <c r="G859">
        <v>8</v>
      </c>
      <c r="H859">
        <v>8</v>
      </c>
      <c r="I859" t="s">
        <v>588</v>
      </c>
      <c r="J859" s="27">
        <v>45765</v>
      </c>
      <c r="L859" s="29">
        <v>2011.494252840909</v>
      </c>
      <c r="M859" s="29">
        <v>16091.954022727272</v>
      </c>
      <c r="N859" s="15">
        <v>45748</v>
      </c>
    </row>
    <row r="860" spans="1:14" x14ac:dyDescent="0.25">
      <c r="A860">
        <v>411819</v>
      </c>
      <c r="B860" t="s">
        <v>35</v>
      </c>
      <c r="C860">
        <v>52114</v>
      </c>
      <c r="D860" t="s">
        <v>37</v>
      </c>
      <c r="E860" t="s">
        <v>22</v>
      </c>
      <c r="F860" s="27">
        <v>45758</v>
      </c>
      <c r="G860">
        <v>8</v>
      </c>
      <c r="H860">
        <v>8</v>
      </c>
      <c r="I860" t="s">
        <v>493</v>
      </c>
      <c r="J860" s="27">
        <v>45777</v>
      </c>
      <c r="L860" s="29">
        <v>431.03448295454547</v>
      </c>
      <c r="M860" s="29">
        <v>3448.2758636363637</v>
      </c>
      <c r="N860" s="15">
        <v>45748</v>
      </c>
    </row>
    <row r="861" spans="1:14" x14ac:dyDescent="0.25">
      <c r="A861">
        <v>404179</v>
      </c>
      <c r="B861" t="s">
        <v>28</v>
      </c>
      <c r="C861">
        <v>51263</v>
      </c>
      <c r="D861" t="s">
        <v>27</v>
      </c>
      <c r="E861" t="s">
        <v>22</v>
      </c>
      <c r="F861" s="27">
        <v>45758</v>
      </c>
      <c r="G861">
        <v>8</v>
      </c>
      <c r="H861">
        <v>8</v>
      </c>
      <c r="I861" t="s">
        <v>589</v>
      </c>
      <c r="J861" s="27">
        <v>45761</v>
      </c>
      <c r="L861" s="29">
        <v>574.71264374999998</v>
      </c>
      <c r="M861" s="29">
        <v>4597.7011499999999</v>
      </c>
      <c r="N861" s="15">
        <v>45748</v>
      </c>
    </row>
    <row r="862" spans="1:14" x14ac:dyDescent="0.25">
      <c r="A862">
        <v>412382</v>
      </c>
      <c r="B862" t="s">
        <v>35</v>
      </c>
      <c r="C862">
        <v>47569</v>
      </c>
      <c r="D862" t="s">
        <v>30</v>
      </c>
      <c r="E862" t="s">
        <v>22</v>
      </c>
      <c r="F862" s="27">
        <v>45758</v>
      </c>
      <c r="G862">
        <v>8</v>
      </c>
      <c r="H862">
        <v>8</v>
      </c>
      <c r="I862" t="s">
        <v>494</v>
      </c>
      <c r="J862" s="27">
        <v>45777</v>
      </c>
      <c r="L862" s="29">
        <v>574.71264374999998</v>
      </c>
      <c r="M862" s="29">
        <v>4597.7011499999999</v>
      </c>
      <c r="N862" s="15">
        <v>45748</v>
      </c>
    </row>
    <row r="863" spans="1:14" x14ac:dyDescent="0.25">
      <c r="A863">
        <v>403432</v>
      </c>
      <c r="B863" t="s">
        <v>35</v>
      </c>
      <c r="C863">
        <v>47572</v>
      </c>
      <c r="D863" t="s">
        <v>46</v>
      </c>
      <c r="E863" t="s">
        <v>22</v>
      </c>
      <c r="F863" s="27">
        <v>45758</v>
      </c>
      <c r="G863">
        <v>1</v>
      </c>
      <c r="H863">
        <v>1</v>
      </c>
      <c r="I863" t="s">
        <v>331</v>
      </c>
      <c r="J863" s="27">
        <v>45758</v>
      </c>
      <c r="L863" s="29">
        <v>1077.5862068181818</v>
      </c>
      <c r="M863" s="29">
        <v>1077.5862068181818</v>
      </c>
      <c r="N863" s="15">
        <v>45748</v>
      </c>
    </row>
    <row r="864" spans="1:14" x14ac:dyDescent="0.25">
      <c r="A864">
        <v>403434</v>
      </c>
      <c r="B864" t="s">
        <v>35</v>
      </c>
      <c r="C864">
        <v>47569</v>
      </c>
      <c r="D864" t="s">
        <v>46</v>
      </c>
      <c r="E864" t="s">
        <v>22</v>
      </c>
      <c r="F864" s="27">
        <v>45758</v>
      </c>
      <c r="G864">
        <v>7</v>
      </c>
      <c r="H864">
        <v>7</v>
      </c>
      <c r="I864" t="s">
        <v>574</v>
      </c>
      <c r="J864" s="27">
        <v>45758</v>
      </c>
      <c r="L864" s="29">
        <v>1077.5862068181818</v>
      </c>
      <c r="M864" s="29">
        <v>7543.1034477272733</v>
      </c>
      <c r="N864" s="15">
        <v>45748</v>
      </c>
    </row>
    <row r="865" spans="1:14" x14ac:dyDescent="0.25">
      <c r="A865">
        <v>402944</v>
      </c>
      <c r="B865" t="s">
        <v>48</v>
      </c>
      <c r="C865">
        <v>53041</v>
      </c>
      <c r="D865" t="s">
        <v>36</v>
      </c>
      <c r="E865" t="s">
        <v>22</v>
      </c>
      <c r="F865" s="27">
        <v>45757</v>
      </c>
      <c r="G865">
        <v>1</v>
      </c>
      <c r="H865">
        <v>1</v>
      </c>
      <c r="I865" t="s">
        <v>590</v>
      </c>
      <c r="J865" s="27">
        <v>45757</v>
      </c>
      <c r="L865" s="29">
        <v>1724.1379312500001</v>
      </c>
      <c r="M865" s="29">
        <v>1724.1379312500001</v>
      </c>
      <c r="N865" s="15">
        <v>45748</v>
      </c>
    </row>
    <row r="866" spans="1:14" x14ac:dyDescent="0.25">
      <c r="A866">
        <v>402945</v>
      </c>
      <c r="B866" t="s">
        <v>48</v>
      </c>
      <c r="C866">
        <v>53043</v>
      </c>
      <c r="D866" t="s">
        <v>36</v>
      </c>
      <c r="E866" t="s">
        <v>22</v>
      </c>
      <c r="F866" s="27">
        <v>45757</v>
      </c>
      <c r="G866">
        <v>1</v>
      </c>
      <c r="H866">
        <v>1</v>
      </c>
      <c r="I866" t="s">
        <v>591</v>
      </c>
      <c r="J866" s="27">
        <v>45757</v>
      </c>
      <c r="L866" s="29">
        <v>1724.1379312500001</v>
      </c>
      <c r="M866" s="29">
        <v>1724.1379312500001</v>
      </c>
      <c r="N866" s="15">
        <v>45748</v>
      </c>
    </row>
    <row r="867" spans="1:14" x14ac:dyDescent="0.25">
      <c r="A867">
        <v>402946</v>
      </c>
      <c r="B867" t="s">
        <v>48</v>
      </c>
      <c r="C867">
        <v>53042</v>
      </c>
      <c r="D867" t="s">
        <v>36</v>
      </c>
      <c r="E867" t="s">
        <v>22</v>
      </c>
      <c r="F867" s="27">
        <v>45757</v>
      </c>
      <c r="G867">
        <v>2</v>
      </c>
      <c r="H867">
        <v>2</v>
      </c>
      <c r="I867" t="s">
        <v>590</v>
      </c>
      <c r="J867" s="27">
        <v>45757</v>
      </c>
      <c r="L867" s="29">
        <v>1724.1379312500001</v>
      </c>
      <c r="M867" s="29">
        <v>3448.2758625000001</v>
      </c>
      <c r="N867" s="15">
        <v>45748</v>
      </c>
    </row>
    <row r="868" spans="1:14" x14ac:dyDescent="0.25">
      <c r="A868">
        <v>403765</v>
      </c>
      <c r="B868" t="s">
        <v>35</v>
      </c>
      <c r="C868">
        <v>47572</v>
      </c>
      <c r="D868" t="s">
        <v>42</v>
      </c>
      <c r="E868" t="s">
        <v>22</v>
      </c>
      <c r="F868" s="27">
        <v>45757</v>
      </c>
      <c r="G868">
        <v>0.5</v>
      </c>
      <c r="H868">
        <v>0.5</v>
      </c>
      <c r="I868" t="s">
        <v>576</v>
      </c>
      <c r="J868" s="27">
        <v>45760</v>
      </c>
      <c r="L868" s="29">
        <v>1418</v>
      </c>
      <c r="M868" s="29">
        <v>709</v>
      </c>
      <c r="N868" s="15">
        <v>45748</v>
      </c>
    </row>
    <row r="869" spans="1:14" x14ac:dyDescent="0.25">
      <c r="A869">
        <v>403778</v>
      </c>
      <c r="B869" t="s">
        <v>35</v>
      </c>
      <c r="C869">
        <v>47614</v>
      </c>
      <c r="D869" t="s">
        <v>42</v>
      </c>
      <c r="E869" t="s">
        <v>22</v>
      </c>
      <c r="F869" s="27">
        <v>45757</v>
      </c>
      <c r="G869">
        <v>1</v>
      </c>
      <c r="H869">
        <v>1</v>
      </c>
      <c r="I869">
        <v>1827</v>
      </c>
      <c r="J869" s="27">
        <v>45760</v>
      </c>
      <c r="L869" s="29">
        <v>1418</v>
      </c>
      <c r="M869" s="29">
        <v>1418</v>
      </c>
      <c r="N869" s="15">
        <v>45748</v>
      </c>
    </row>
    <row r="870" spans="1:14" x14ac:dyDescent="0.25">
      <c r="A870">
        <v>403779</v>
      </c>
      <c r="B870" t="s">
        <v>35</v>
      </c>
      <c r="C870">
        <v>47614</v>
      </c>
      <c r="D870" t="s">
        <v>42</v>
      </c>
      <c r="E870" t="s">
        <v>22</v>
      </c>
      <c r="F870" s="27">
        <v>45757</v>
      </c>
      <c r="G870">
        <v>3</v>
      </c>
      <c r="H870">
        <v>3</v>
      </c>
      <c r="I870">
        <v>1826</v>
      </c>
      <c r="J870" s="27">
        <v>45760</v>
      </c>
      <c r="L870" s="29">
        <v>1418</v>
      </c>
      <c r="M870" s="29">
        <v>4254</v>
      </c>
      <c r="N870" s="15">
        <v>45748</v>
      </c>
    </row>
    <row r="871" spans="1:14" x14ac:dyDescent="0.25">
      <c r="A871">
        <v>403019</v>
      </c>
      <c r="B871" t="s">
        <v>35</v>
      </c>
      <c r="C871">
        <v>47572</v>
      </c>
      <c r="D871" t="s">
        <v>46</v>
      </c>
      <c r="E871" t="s">
        <v>22</v>
      </c>
      <c r="F871" s="27">
        <v>45757</v>
      </c>
      <c r="G871">
        <v>3</v>
      </c>
      <c r="H871">
        <v>3</v>
      </c>
      <c r="I871" t="s">
        <v>331</v>
      </c>
      <c r="J871" s="27">
        <v>45757</v>
      </c>
      <c r="L871" s="29">
        <v>1077.5862068181818</v>
      </c>
      <c r="M871" s="29">
        <v>3232.7586204545455</v>
      </c>
      <c r="N871" s="15">
        <v>45748</v>
      </c>
    </row>
    <row r="872" spans="1:14" x14ac:dyDescent="0.25">
      <c r="A872">
        <v>403020</v>
      </c>
      <c r="B872" t="s">
        <v>35</v>
      </c>
      <c r="C872">
        <v>47537</v>
      </c>
      <c r="D872" t="s">
        <v>46</v>
      </c>
      <c r="E872" t="s">
        <v>22</v>
      </c>
      <c r="F872" s="27">
        <v>45757</v>
      </c>
      <c r="G872">
        <v>1</v>
      </c>
      <c r="H872">
        <v>1</v>
      </c>
      <c r="I872" t="s">
        <v>592</v>
      </c>
      <c r="J872" s="27">
        <v>45757</v>
      </c>
      <c r="L872" s="29">
        <v>1077.5862068181818</v>
      </c>
      <c r="M872" s="29">
        <v>1077.5862068181818</v>
      </c>
      <c r="N872" s="15">
        <v>45748</v>
      </c>
    </row>
    <row r="873" spans="1:14" x14ac:dyDescent="0.25">
      <c r="A873">
        <v>403021</v>
      </c>
      <c r="B873" t="s">
        <v>35</v>
      </c>
      <c r="C873">
        <v>52114</v>
      </c>
      <c r="D873" t="s">
        <v>46</v>
      </c>
      <c r="E873" t="s">
        <v>22</v>
      </c>
      <c r="F873" s="27">
        <v>45757</v>
      </c>
      <c r="G873">
        <v>3</v>
      </c>
      <c r="H873">
        <v>3</v>
      </c>
      <c r="I873" t="s">
        <v>574</v>
      </c>
      <c r="J873" s="27">
        <v>45757</v>
      </c>
      <c r="L873" s="29">
        <v>1077.5862068181818</v>
      </c>
      <c r="M873" s="29">
        <v>3232.7586204545455</v>
      </c>
      <c r="N873" s="15">
        <v>45748</v>
      </c>
    </row>
    <row r="874" spans="1:14" x14ac:dyDescent="0.25">
      <c r="A874">
        <v>403022</v>
      </c>
      <c r="B874" t="s">
        <v>35</v>
      </c>
      <c r="C874">
        <v>47569</v>
      </c>
      <c r="D874" t="s">
        <v>46</v>
      </c>
      <c r="E874" t="s">
        <v>22</v>
      </c>
      <c r="F874" s="27">
        <v>45757</v>
      </c>
      <c r="G874">
        <v>3</v>
      </c>
      <c r="H874">
        <v>3</v>
      </c>
      <c r="I874" t="s">
        <v>574</v>
      </c>
      <c r="J874" s="27">
        <v>45757</v>
      </c>
      <c r="L874" s="29">
        <v>1077.5862068181818</v>
      </c>
      <c r="M874" s="29">
        <v>3232.7586204545455</v>
      </c>
      <c r="N874" s="15">
        <v>45748</v>
      </c>
    </row>
    <row r="875" spans="1:14" x14ac:dyDescent="0.25">
      <c r="A875">
        <v>403025</v>
      </c>
      <c r="B875" t="s">
        <v>20</v>
      </c>
      <c r="C875">
        <v>50787</v>
      </c>
      <c r="D875" t="s">
        <v>21</v>
      </c>
      <c r="E875" t="s">
        <v>22</v>
      </c>
      <c r="F875" s="27">
        <v>45757</v>
      </c>
      <c r="G875">
        <v>5</v>
      </c>
      <c r="H875">
        <v>5</v>
      </c>
      <c r="I875" t="s">
        <v>593</v>
      </c>
      <c r="J875" s="27">
        <v>45758</v>
      </c>
      <c r="L875" s="29">
        <v>1616.3793102272728</v>
      </c>
      <c r="M875" s="29">
        <v>8081.896551136364</v>
      </c>
      <c r="N875" s="15">
        <v>45748</v>
      </c>
    </row>
    <row r="876" spans="1:14" x14ac:dyDescent="0.25">
      <c r="A876">
        <v>403028</v>
      </c>
      <c r="B876" t="s">
        <v>20</v>
      </c>
      <c r="C876">
        <v>52830</v>
      </c>
      <c r="D876" t="s">
        <v>21</v>
      </c>
      <c r="E876" t="s">
        <v>22</v>
      </c>
      <c r="F876" s="27">
        <v>45757</v>
      </c>
      <c r="G876">
        <v>1</v>
      </c>
      <c r="H876">
        <v>1</v>
      </c>
      <c r="I876" t="s">
        <v>565</v>
      </c>
      <c r="J876" s="27">
        <v>45758</v>
      </c>
      <c r="L876" s="29">
        <v>1616.3793102272728</v>
      </c>
      <c r="M876" s="29">
        <v>1616.3793102272728</v>
      </c>
      <c r="N876" s="15">
        <v>45748</v>
      </c>
    </row>
    <row r="877" spans="1:14" x14ac:dyDescent="0.25">
      <c r="A877">
        <v>406873</v>
      </c>
      <c r="B877" t="s">
        <v>35</v>
      </c>
      <c r="C877">
        <v>47537</v>
      </c>
      <c r="D877" t="s">
        <v>25</v>
      </c>
      <c r="E877" t="s">
        <v>22</v>
      </c>
      <c r="F877" s="27">
        <v>45757</v>
      </c>
      <c r="G877">
        <v>1</v>
      </c>
      <c r="H877">
        <v>1</v>
      </c>
      <c r="I877" t="s">
        <v>594</v>
      </c>
      <c r="J877" s="27">
        <v>45768</v>
      </c>
      <c r="L877" s="29">
        <v>1077.5862068181818</v>
      </c>
      <c r="M877" s="29">
        <v>1077.5862068181818</v>
      </c>
      <c r="N877" s="15">
        <v>45748</v>
      </c>
    </row>
    <row r="878" spans="1:14" x14ac:dyDescent="0.25">
      <c r="A878">
        <v>406874</v>
      </c>
      <c r="B878" t="s">
        <v>35</v>
      </c>
      <c r="C878">
        <v>47615</v>
      </c>
      <c r="D878" t="s">
        <v>25</v>
      </c>
      <c r="E878" t="s">
        <v>22</v>
      </c>
      <c r="F878" s="27">
        <v>45757</v>
      </c>
      <c r="G878">
        <v>2</v>
      </c>
      <c r="H878">
        <v>2</v>
      </c>
      <c r="I878" t="s">
        <v>595</v>
      </c>
      <c r="J878" s="27">
        <v>45768</v>
      </c>
      <c r="L878" s="29">
        <v>1077.5862068181818</v>
      </c>
      <c r="M878" s="29">
        <v>2155.1724136363637</v>
      </c>
      <c r="N878" s="15">
        <v>45748</v>
      </c>
    </row>
    <row r="879" spans="1:14" x14ac:dyDescent="0.25">
      <c r="A879">
        <v>405894</v>
      </c>
      <c r="B879" t="s">
        <v>29</v>
      </c>
      <c r="C879">
        <v>52952</v>
      </c>
      <c r="D879" t="s">
        <v>44</v>
      </c>
      <c r="E879" t="s">
        <v>22</v>
      </c>
      <c r="F879" s="27">
        <v>45757</v>
      </c>
      <c r="G879">
        <v>8</v>
      </c>
      <c r="H879">
        <v>8</v>
      </c>
      <c r="I879" t="s">
        <v>596</v>
      </c>
      <c r="J879" s="27">
        <v>45765</v>
      </c>
      <c r="L879" s="29">
        <v>2011.494252840909</v>
      </c>
      <c r="M879" s="29">
        <v>16091.954022727272</v>
      </c>
      <c r="N879" s="15">
        <v>45748</v>
      </c>
    </row>
    <row r="880" spans="1:14" x14ac:dyDescent="0.25">
      <c r="A880">
        <v>404359</v>
      </c>
      <c r="B880" t="s">
        <v>29</v>
      </c>
      <c r="C880">
        <v>52587</v>
      </c>
      <c r="D880" t="s">
        <v>39</v>
      </c>
      <c r="E880" t="s">
        <v>22</v>
      </c>
      <c r="F880" s="27">
        <v>45757</v>
      </c>
      <c r="G880">
        <v>8</v>
      </c>
      <c r="H880">
        <v>8</v>
      </c>
      <c r="I880" t="s">
        <v>587</v>
      </c>
      <c r="J880" s="27">
        <v>45762</v>
      </c>
      <c r="L880" s="29">
        <v>718.39080454545456</v>
      </c>
      <c r="M880" s="29">
        <v>5747.1264363636365</v>
      </c>
      <c r="N880" s="15">
        <v>45748</v>
      </c>
    </row>
    <row r="881" spans="1:14" x14ac:dyDescent="0.25">
      <c r="A881">
        <v>411818</v>
      </c>
      <c r="B881" t="s">
        <v>35</v>
      </c>
      <c r="C881">
        <v>52114</v>
      </c>
      <c r="D881" t="s">
        <v>37</v>
      </c>
      <c r="E881" t="s">
        <v>22</v>
      </c>
      <c r="F881" s="27">
        <v>45757</v>
      </c>
      <c r="G881">
        <v>8</v>
      </c>
      <c r="H881">
        <v>8</v>
      </c>
      <c r="I881" t="s">
        <v>493</v>
      </c>
      <c r="J881" s="27">
        <v>45777</v>
      </c>
      <c r="L881" s="29">
        <v>431.03448295454547</v>
      </c>
      <c r="M881" s="29">
        <v>3448.2758636363637</v>
      </c>
      <c r="N881" s="15">
        <v>45748</v>
      </c>
    </row>
    <row r="882" spans="1:14" x14ac:dyDescent="0.25">
      <c r="A882">
        <v>413893</v>
      </c>
      <c r="B882" t="s">
        <v>31</v>
      </c>
      <c r="C882">
        <v>13970</v>
      </c>
      <c r="D882" t="s">
        <v>49</v>
      </c>
      <c r="E882" t="s">
        <v>19</v>
      </c>
      <c r="F882" s="27">
        <v>45757</v>
      </c>
      <c r="G882">
        <v>1.5</v>
      </c>
      <c r="H882">
        <v>1.5</v>
      </c>
      <c r="I882" t="s">
        <v>492</v>
      </c>
      <c r="J882" s="27">
        <v>45782</v>
      </c>
      <c r="L882" s="29">
        <v>1077.5862068181818</v>
      </c>
      <c r="M882" s="29">
        <v>1616.3793102272728</v>
      </c>
      <c r="N882" s="15">
        <v>45748</v>
      </c>
    </row>
    <row r="883" spans="1:14" x14ac:dyDescent="0.25">
      <c r="A883">
        <v>404180</v>
      </c>
      <c r="B883" t="s">
        <v>28</v>
      </c>
      <c r="C883">
        <v>51263</v>
      </c>
      <c r="D883" t="s">
        <v>27</v>
      </c>
      <c r="E883" t="s">
        <v>22</v>
      </c>
      <c r="F883" s="27">
        <v>45757</v>
      </c>
      <c r="G883">
        <v>8</v>
      </c>
      <c r="H883">
        <v>8</v>
      </c>
      <c r="I883" t="s">
        <v>597</v>
      </c>
      <c r="J883" s="27">
        <v>45761</v>
      </c>
      <c r="L883" s="29">
        <v>574.71264374999998</v>
      </c>
      <c r="M883" s="29">
        <v>4597.7011499999999</v>
      </c>
      <c r="N883" s="15">
        <v>45748</v>
      </c>
    </row>
    <row r="884" spans="1:14" x14ac:dyDescent="0.25">
      <c r="A884">
        <v>412381</v>
      </c>
      <c r="B884" t="s">
        <v>35</v>
      </c>
      <c r="C884">
        <v>47569</v>
      </c>
      <c r="D884" t="s">
        <v>30</v>
      </c>
      <c r="E884" t="s">
        <v>22</v>
      </c>
      <c r="F884" s="27">
        <v>45757</v>
      </c>
      <c r="G884">
        <v>8</v>
      </c>
      <c r="H884">
        <v>8</v>
      </c>
      <c r="I884" t="s">
        <v>494</v>
      </c>
      <c r="J884" s="27">
        <v>45777</v>
      </c>
      <c r="L884" s="29">
        <v>574.71264374999998</v>
      </c>
      <c r="M884" s="29">
        <v>4597.7011499999999</v>
      </c>
      <c r="N884" s="15">
        <v>45748</v>
      </c>
    </row>
    <row r="885" spans="1:14" x14ac:dyDescent="0.25">
      <c r="A885">
        <v>402450</v>
      </c>
      <c r="B885" t="s">
        <v>35</v>
      </c>
      <c r="C885">
        <v>47572</v>
      </c>
      <c r="D885" t="s">
        <v>46</v>
      </c>
      <c r="E885" t="s">
        <v>22</v>
      </c>
      <c r="F885" s="27">
        <v>45756</v>
      </c>
      <c r="G885">
        <v>0.5</v>
      </c>
      <c r="H885">
        <v>0.5</v>
      </c>
      <c r="I885" t="s">
        <v>331</v>
      </c>
      <c r="J885" s="27">
        <v>45757</v>
      </c>
      <c r="L885" s="29">
        <v>1077.5862068181818</v>
      </c>
      <c r="M885" s="29">
        <v>538.79310340909092</v>
      </c>
      <c r="N885" s="15">
        <v>45748</v>
      </c>
    </row>
    <row r="886" spans="1:14" x14ac:dyDescent="0.25">
      <c r="A886">
        <v>402451</v>
      </c>
      <c r="B886" t="s">
        <v>35</v>
      </c>
      <c r="C886">
        <v>47569</v>
      </c>
      <c r="D886" t="s">
        <v>46</v>
      </c>
      <c r="E886" t="s">
        <v>22</v>
      </c>
      <c r="F886" s="27">
        <v>45756</v>
      </c>
      <c r="G886">
        <v>7.5</v>
      </c>
      <c r="H886">
        <v>7.5</v>
      </c>
      <c r="I886" t="s">
        <v>574</v>
      </c>
      <c r="J886" s="27">
        <v>45757</v>
      </c>
      <c r="L886" s="29">
        <v>1077.5862068181818</v>
      </c>
      <c r="M886" s="29">
        <v>8081.896551136364</v>
      </c>
      <c r="N886" s="15">
        <v>45748</v>
      </c>
    </row>
    <row r="887" spans="1:14" x14ac:dyDescent="0.25">
      <c r="A887">
        <v>403776</v>
      </c>
      <c r="B887" t="s">
        <v>35</v>
      </c>
      <c r="C887">
        <v>47614</v>
      </c>
      <c r="D887" t="s">
        <v>42</v>
      </c>
      <c r="E887" t="s">
        <v>22</v>
      </c>
      <c r="F887" s="27">
        <v>45756</v>
      </c>
      <c r="G887">
        <v>1</v>
      </c>
      <c r="H887">
        <v>1</v>
      </c>
      <c r="I887">
        <v>1809</v>
      </c>
      <c r="J887" s="27">
        <v>45760</v>
      </c>
      <c r="L887" s="29">
        <v>1418</v>
      </c>
      <c r="M887" s="29">
        <v>1418</v>
      </c>
      <c r="N887" s="15">
        <v>45748</v>
      </c>
    </row>
    <row r="888" spans="1:14" x14ac:dyDescent="0.25">
      <c r="A888">
        <v>403777</v>
      </c>
      <c r="B888" t="s">
        <v>35</v>
      </c>
      <c r="C888">
        <v>47614</v>
      </c>
      <c r="D888" t="s">
        <v>42</v>
      </c>
      <c r="E888" t="s">
        <v>22</v>
      </c>
      <c r="F888" s="27">
        <v>45756</v>
      </c>
      <c r="G888">
        <v>3</v>
      </c>
      <c r="H888">
        <v>3</v>
      </c>
      <c r="I888">
        <v>1745</v>
      </c>
      <c r="J888" s="27">
        <v>45760</v>
      </c>
      <c r="L888" s="29">
        <v>1418</v>
      </c>
      <c r="M888" s="29">
        <v>4254</v>
      </c>
      <c r="N888" s="15">
        <v>45748</v>
      </c>
    </row>
    <row r="889" spans="1:14" x14ac:dyDescent="0.25">
      <c r="A889">
        <v>442447</v>
      </c>
      <c r="B889" t="s">
        <v>1011</v>
      </c>
      <c r="C889">
        <v>52593</v>
      </c>
      <c r="D889" t="s">
        <v>33</v>
      </c>
      <c r="E889" t="s">
        <v>22</v>
      </c>
      <c r="F889" s="27">
        <v>45756</v>
      </c>
      <c r="G889">
        <v>1.5</v>
      </c>
      <c r="H889">
        <v>1.5</v>
      </c>
      <c r="I889" t="s">
        <v>1062</v>
      </c>
      <c r="J889" s="27">
        <v>45862</v>
      </c>
      <c r="L889" s="29">
        <v>1436.7816090909091</v>
      </c>
      <c r="M889" s="29">
        <v>2155.1724136363637</v>
      </c>
      <c r="N889" s="15">
        <v>45748</v>
      </c>
    </row>
    <row r="890" spans="1:14" x14ac:dyDescent="0.25">
      <c r="A890">
        <v>442448</v>
      </c>
      <c r="B890" t="s">
        <v>1011</v>
      </c>
      <c r="C890">
        <v>52593</v>
      </c>
      <c r="D890" t="s">
        <v>33</v>
      </c>
      <c r="E890" t="s">
        <v>22</v>
      </c>
      <c r="F890" s="27">
        <v>45756</v>
      </c>
      <c r="G890">
        <v>1.5</v>
      </c>
      <c r="H890">
        <v>1.5</v>
      </c>
      <c r="I890" t="s">
        <v>1063</v>
      </c>
      <c r="J890" s="27">
        <v>45862</v>
      </c>
      <c r="L890" s="29">
        <v>1436.7816090909091</v>
      </c>
      <c r="M890" s="29">
        <v>2155.1724136363637</v>
      </c>
      <c r="N890" s="15">
        <v>45748</v>
      </c>
    </row>
    <row r="891" spans="1:14" x14ac:dyDescent="0.25">
      <c r="A891">
        <v>442449</v>
      </c>
      <c r="B891" t="s">
        <v>1011</v>
      </c>
      <c r="C891">
        <v>52593</v>
      </c>
      <c r="D891" t="s">
        <v>33</v>
      </c>
      <c r="E891" t="s">
        <v>22</v>
      </c>
      <c r="F891" s="27">
        <v>45756</v>
      </c>
      <c r="G891">
        <v>1.5</v>
      </c>
      <c r="H891">
        <v>1.5</v>
      </c>
      <c r="I891" t="s">
        <v>1064</v>
      </c>
      <c r="J891" s="27">
        <v>45862</v>
      </c>
      <c r="L891" s="29">
        <v>1436.7816090909091</v>
      </c>
      <c r="M891" s="29">
        <v>2155.1724136363637</v>
      </c>
      <c r="N891" s="15">
        <v>45748</v>
      </c>
    </row>
    <row r="892" spans="1:14" x14ac:dyDescent="0.25">
      <c r="A892">
        <v>404358</v>
      </c>
      <c r="B892" t="s">
        <v>29</v>
      </c>
      <c r="C892">
        <v>52587</v>
      </c>
      <c r="D892" t="s">
        <v>39</v>
      </c>
      <c r="E892" t="s">
        <v>22</v>
      </c>
      <c r="F892" s="27">
        <v>45756</v>
      </c>
      <c r="G892">
        <v>8</v>
      </c>
      <c r="H892">
        <v>8</v>
      </c>
      <c r="I892" t="s">
        <v>587</v>
      </c>
      <c r="J892" s="27">
        <v>45762</v>
      </c>
      <c r="L892" s="29">
        <v>718.39080454545456</v>
      </c>
      <c r="M892" s="29">
        <v>5747.1264363636365</v>
      </c>
      <c r="N892" s="15">
        <v>45748</v>
      </c>
    </row>
    <row r="893" spans="1:14" x14ac:dyDescent="0.25">
      <c r="A893">
        <v>411817</v>
      </c>
      <c r="B893" t="s">
        <v>35</v>
      </c>
      <c r="C893">
        <v>52114</v>
      </c>
      <c r="D893" t="s">
        <v>37</v>
      </c>
      <c r="E893" t="s">
        <v>22</v>
      </c>
      <c r="F893" s="27">
        <v>45756</v>
      </c>
      <c r="G893">
        <v>8</v>
      </c>
      <c r="H893">
        <v>8</v>
      </c>
      <c r="I893" t="s">
        <v>493</v>
      </c>
      <c r="J893" s="27">
        <v>45777</v>
      </c>
      <c r="L893" s="29">
        <v>431.03448295454547</v>
      </c>
      <c r="M893" s="29">
        <v>3448.2758636363637</v>
      </c>
      <c r="N893" s="15">
        <v>45748</v>
      </c>
    </row>
    <row r="894" spans="1:14" x14ac:dyDescent="0.25">
      <c r="A894">
        <v>413892</v>
      </c>
      <c r="B894" t="s">
        <v>31</v>
      </c>
      <c r="C894">
        <v>13970</v>
      </c>
      <c r="D894" t="s">
        <v>49</v>
      </c>
      <c r="E894" t="s">
        <v>19</v>
      </c>
      <c r="F894" s="27">
        <v>45756</v>
      </c>
      <c r="G894">
        <v>11.5</v>
      </c>
      <c r="H894">
        <v>11.5</v>
      </c>
      <c r="I894" t="s">
        <v>492</v>
      </c>
      <c r="J894" s="27">
        <v>45782</v>
      </c>
      <c r="L894" s="29">
        <v>1077.5862068181818</v>
      </c>
      <c r="M894" s="29">
        <v>12392.241378409091</v>
      </c>
      <c r="N894" s="15">
        <v>45748</v>
      </c>
    </row>
    <row r="895" spans="1:14" x14ac:dyDescent="0.25">
      <c r="A895">
        <v>402386</v>
      </c>
      <c r="B895" t="s">
        <v>29</v>
      </c>
      <c r="C895">
        <v>52952</v>
      </c>
      <c r="D895" t="s">
        <v>44</v>
      </c>
      <c r="E895" t="s">
        <v>22</v>
      </c>
      <c r="F895" s="27">
        <v>45756</v>
      </c>
      <c r="G895">
        <v>5</v>
      </c>
      <c r="H895">
        <v>5</v>
      </c>
      <c r="I895" t="s">
        <v>598</v>
      </c>
      <c r="J895" s="27">
        <v>45756</v>
      </c>
      <c r="L895" s="29">
        <v>2011.494252840909</v>
      </c>
      <c r="M895" s="29">
        <v>10057.471264204545</v>
      </c>
      <c r="N895" s="15">
        <v>45748</v>
      </c>
    </row>
    <row r="896" spans="1:14" x14ac:dyDescent="0.25">
      <c r="A896">
        <v>412380</v>
      </c>
      <c r="B896" t="s">
        <v>35</v>
      </c>
      <c r="C896">
        <v>47569</v>
      </c>
      <c r="D896" t="s">
        <v>30</v>
      </c>
      <c r="E896" t="s">
        <v>22</v>
      </c>
      <c r="F896" s="27">
        <v>45756</v>
      </c>
      <c r="G896">
        <v>8</v>
      </c>
      <c r="H896">
        <v>8</v>
      </c>
      <c r="I896" t="s">
        <v>494</v>
      </c>
      <c r="J896" s="27">
        <v>45777</v>
      </c>
      <c r="L896" s="29">
        <v>574.71264374999998</v>
      </c>
      <c r="M896" s="29">
        <v>4597.7011499999999</v>
      </c>
      <c r="N896" s="15">
        <v>45748</v>
      </c>
    </row>
    <row r="897" spans="1:14" x14ac:dyDescent="0.25">
      <c r="A897">
        <v>402406</v>
      </c>
      <c r="B897" t="s">
        <v>20</v>
      </c>
      <c r="C897">
        <v>50787</v>
      </c>
      <c r="D897" t="s">
        <v>21</v>
      </c>
      <c r="E897" t="s">
        <v>22</v>
      </c>
      <c r="F897" s="27">
        <v>45756</v>
      </c>
      <c r="G897">
        <v>0.5</v>
      </c>
      <c r="H897">
        <v>0.5</v>
      </c>
      <c r="I897" t="s">
        <v>599</v>
      </c>
      <c r="J897" s="27">
        <v>45756</v>
      </c>
      <c r="L897" s="29">
        <v>1616.3793102272728</v>
      </c>
      <c r="M897" s="29">
        <v>808.18965511363638</v>
      </c>
      <c r="N897" s="15">
        <v>45748</v>
      </c>
    </row>
    <row r="898" spans="1:14" x14ac:dyDescent="0.25">
      <c r="A898">
        <v>402407</v>
      </c>
      <c r="B898" t="s">
        <v>20</v>
      </c>
      <c r="C898">
        <v>52830</v>
      </c>
      <c r="D898" t="s">
        <v>21</v>
      </c>
      <c r="E898" t="s">
        <v>22</v>
      </c>
      <c r="F898" s="27">
        <v>45756</v>
      </c>
      <c r="G898">
        <v>2</v>
      </c>
      <c r="H898">
        <v>2</v>
      </c>
      <c r="I898" t="s">
        <v>600</v>
      </c>
      <c r="J898" s="27">
        <v>45756</v>
      </c>
      <c r="L898" s="29">
        <v>1616.3793102272728</v>
      </c>
      <c r="M898" s="29">
        <v>3232.7586204545455</v>
      </c>
      <c r="N898" s="15">
        <v>45748</v>
      </c>
    </row>
    <row r="899" spans="1:14" x14ac:dyDescent="0.25">
      <c r="A899">
        <v>402408</v>
      </c>
      <c r="B899" t="s">
        <v>20</v>
      </c>
      <c r="C899">
        <v>52830</v>
      </c>
      <c r="D899" t="s">
        <v>21</v>
      </c>
      <c r="E899" t="s">
        <v>22</v>
      </c>
      <c r="F899" s="27">
        <v>45756</v>
      </c>
      <c r="G899">
        <v>1.5</v>
      </c>
      <c r="H899">
        <v>1.5</v>
      </c>
      <c r="I899" t="s">
        <v>601</v>
      </c>
      <c r="J899" s="27">
        <v>45756</v>
      </c>
      <c r="L899" s="29">
        <v>1616.3793102272728</v>
      </c>
      <c r="M899" s="29">
        <v>2424.568965340909</v>
      </c>
      <c r="N899" s="15">
        <v>45748</v>
      </c>
    </row>
    <row r="900" spans="1:14" x14ac:dyDescent="0.25">
      <c r="A900">
        <v>402409</v>
      </c>
      <c r="B900" t="s">
        <v>20</v>
      </c>
      <c r="C900">
        <v>45336</v>
      </c>
      <c r="D900" t="s">
        <v>21</v>
      </c>
      <c r="E900" t="s">
        <v>22</v>
      </c>
      <c r="F900" s="27">
        <v>45756</v>
      </c>
      <c r="G900">
        <v>0.5</v>
      </c>
      <c r="H900">
        <v>0.5</v>
      </c>
      <c r="I900" t="s">
        <v>602</v>
      </c>
      <c r="J900" s="27">
        <v>45756</v>
      </c>
      <c r="L900" s="29">
        <v>1616.3793102272728</v>
      </c>
      <c r="M900" s="29">
        <v>808.18965511363638</v>
      </c>
      <c r="N900" s="15">
        <v>45748</v>
      </c>
    </row>
    <row r="901" spans="1:14" x14ac:dyDescent="0.25">
      <c r="A901">
        <v>402410</v>
      </c>
      <c r="B901" t="s">
        <v>20</v>
      </c>
      <c r="C901">
        <v>52828</v>
      </c>
      <c r="D901" t="s">
        <v>21</v>
      </c>
      <c r="E901" t="s">
        <v>22</v>
      </c>
      <c r="F901" s="27">
        <v>45756</v>
      </c>
      <c r="G901">
        <v>74.5</v>
      </c>
      <c r="H901">
        <v>74.5</v>
      </c>
      <c r="I901" t="s">
        <v>603</v>
      </c>
      <c r="J901" s="27">
        <v>45756</v>
      </c>
      <c r="L901" s="29">
        <v>1616.3793102272728</v>
      </c>
      <c r="M901" s="29">
        <v>120420.25861193181</v>
      </c>
      <c r="N901" s="15">
        <v>45748</v>
      </c>
    </row>
    <row r="902" spans="1:14" x14ac:dyDescent="0.25">
      <c r="A902">
        <v>402937</v>
      </c>
      <c r="B902" t="s">
        <v>48</v>
      </c>
      <c r="C902">
        <v>53040</v>
      </c>
      <c r="D902" t="s">
        <v>36</v>
      </c>
      <c r="E902" t="s">
        <v>22</v>
      </c>
      <c r="F902" s="27">
        <v>45756</v>
      </c>
      <c r="G902">
        <v>1</v>
      </c>
      <c r="H902">
        <v>1</v>
      </c>
      <c r="I902" t="s">
        <v>590</v>
      </c>
      <c r="J902" s="27">
        <v>45757</v>
      </c>
      <c r="L902" s="29">
        <v>1724.1379312500001</v>
      </c>
      <c r="M902" s="29">
        <v>1724.1379312500001</v>
      </c>
      <c r="N902" s="15">
        <v>45748</v>
      </c>
    </row>
    <row r="903" spans="1:14" x14ac:dyDescent="0.25">
      <c r="A903">
        <v>402938</v>
      </c>
      <c r="B903" t="s">
        <v>48</v>
      </c>
      <c r="C903">
        <v>53041</v>
      </c>
      <c r="D903" t="s">
        <v>36</v>
      </c>
      <c r="E903" t="s">
        <v>22</v>
      </c>
      <c r="F903" s="27">
        <v>45756</v>
      </c>
      <c r="G903">
        <v>1</v>
      </c>
      <c r="H903">
        <v>1</v>
      </c>
      <c r="I903" t="s">
        <v>604</v>
      </c>
      <c r="J903" s="27">
        <v>45757</v>
      </c>
      <c r="L903" s="29">
        <v>1724.1379312500001</v>
      </c>
      <c r="M903" s="29">
        <v>1724.1379312500001</v>
      </c>
      <c r="N903" s="15">
        <v>45748</v>
      </c>
    </row>
    <row r="904" spans="1:14" x14ac:dyDescent="0.25">
      <c r="A904">
        <v>402939</v>
      </c>
      <c r="B904" t="s">
        <v>48</v>
      </c>
      <c r="C904">
        <v>53042</v>
      </c>
      <c r="D904" t="s">
        <v>36</v>
      </c>
      <c r="E904" t="s">
        <v>22</v>
      </c>
      <c r="F904" s="27">
        <v>45756</v>
      </c>
      <c r="G904">
        <v>4</v>
      </c>
      <c r="H904">
        <v>4</v>
      </c>
      <c r="I904" t="s">
        <v>605</v>
      </c>
      <c r="J904" s="27">
        <v>45757</v>
      </c>
      <c r="L904" s="29">
        <v>1724.1379312500001</v>
      </c>
      <c r="M904" s="29">
        <v>6896.5517250000003</v>
      </c>
      <c r="N904" s="15">
        <v>45748</v>
      </c>
    </row>
    <row r="905" spans="1:14" x14ac:dyDescent="0.25">
      <c r="A905">
        <v>403764</v>
      </c>
      <c r="B905" t="s">
        <v>35</v>
      </c>
      <c r="C905">
        <v>47572</v>
      </c>
      <c r="D905" t="s">
        <v>42</v>
      </c>
      <c r="E905" t="s">
        <v>22</v>
      </c>
      <c r="F905" s="27">
        <v>45755</v>
      </c>
      <c r="G905">
        <v>0.5</v>
      </c>
      <c r="H905">
        <v>0.5</v>
      </c>
      <c r="I905" t="s">
        <v>576</v>
      </c>
      <c r="J905" s="27">
        <v>45760</v>
      </c>
      <c r="L905" s="29">
        <v>1418</v>
      </c>
      <c r="M905" s="29">
        <v>709</v>
      </c>
      <c r="N905" s="15">
        <v>45748</v>
      </c>
    </row>
    <row r="906" spans="1:14" x14ac:dyDescent="0.25">
      <c r="A906">
        <v>403774</v>
      </c>
      <c r="B906" t="s">
        <v>35</v>
      </c>
      <c r="C906">
        <v>47614</v>
      </c>
      <c r="D906" t="s">
        <v>42</v>
      </c>
      <c r="E906" t="s">
        <v>22</v>
      </c>
      <c r="F906" s="27">
        <v>45755</v>
      </c>
      <c r="G906">
        <v>1</v>
      </c>
      <c r="H906">
        <v>1</v>
      </c>
      <c r="I906" t="s">
        <v>606</v>
      </c>
      <c r="J906" s="27">
        <v>45760</v>
      </c>
      <c r="L906" s="29">
        <v>1418</v>
      </c>
      <c r="M906" s="29">
        <v>1418</v>
      </c>
      <c r="N906" s="15">
        <v>45748</v>
      </c>
    </row>
    <row r="907" spans="1:14" x14ac:dyDescent="0.25">
      <c r="A907">
        <v>403775</v>
      </c>
      <c r="B907" t="s">
        <v>35</v>
      </c>
      <c r="C907">
        <v>47614</v>
      </c>
      <c r="D907" t="s">
        <v>42</v>
      </c>
      <c r="E907" t="s">
        <v>22</v>
      </c>
      <c r="F907" s="27">
        <v>45755</v>
      </c>
      <c r="G907">
        <v>4</v>
      </c>
      <c r="H907">
        <v>4</v>
      </c>
      <c r="I907">
        <v>1807</v>
      </c>
      <c r="J907" s="27">
        <v>45760</v>
      </c>
      <c r="L907" s="29">
        <v>1418</v>
      </c>
      <c r="M907" s="29">
        <v>5672</v>
      </c>
      <c r="N907" s="15">
        <v>45748</v>
      </c>
    </row>
    <row r="908" spans="1:14" x14ac:dyDescent="0.25">
      <c r="A908">
        <v>404357</v>
      </c>
      <c r="B908" t="s">
        <v>29</v>
      </c>
      <c r="C908">
        <v>52587</v>
      </c>
      <c r="D908" t="s">
        <v>39</v>
      </c>
      <c r="E908" t="s">
        <v>22</v>
      </c>
      <c r="F908" s="27">
        <v>45755</v>
      </c>
      <c r="G908">
        <v>8</v>
      </c>
      <c r="H908">
        <v>8</v>
      </c>
      <c r="I908" t="s">
        <v>587</v>
      </c>
      <c r="J908" s="27">
        <v>45762</v>
      </c>
      <c r="L908" s="29">
        <v>718.39080454545456</v>
      </c>
      <c r="M908" s="29">
        <v>5747.1264363636365</v>
      </c>
      <c r="N908" s="15">
        <v>45748</v>
      </c>
    </row>
    <row r="909" spans="1:14" x14ac:dyDescent="0.25">
      <c r="A909">
        <v>411816</v>
      </c>
      <c r="B909" t="s">
        <v>35</v>
      </c>
      <c r="C909">
        <v>52114</v>
      </c>
      <c r="D909" t="s">
        <v>37</v>
      </c>
      <c r="E909" t="s">
        <v>22</v>
      </c>
      <c r="F909" s="27">
        <v>45755</v>
      </c>
      <c r="G909">
        <v>8</v>
      </c>
      <c r="H909">
        <v>8</v>
      </c>
      <c r="I909" t="s">
        <v>607</v>
      </c>
      <c r="J909" s="27">
        <v>45777</v>
      </c>
      <c r="L909" s="29">
        <v>431.03448295454547</v>
      </c>
      <c r="M909" s="29">
        <v>3448.2758636363637</v>
      </c>
      <c r="N909" s="15">
        <v>45748</v>
      </c>
    </row>
    <row r="910" spans="1:14" x14ac:dyDescent="0.25">
      <c r="A910">
        <v>402119</v>
      </c>
      <c r="B910" t="s">
        <v>35</v>
      </c>
      <c r="C910">
        <v>47572</v>
      </c>
      <c r="D910" t="s">
        <v>46</v>
      </c>
      <c r="E910" t="s">
        <v>22</v>
      </c>
      <c r="F910" s="27">
        <v>45755</v>
      </c>
      <c r="G910">
        <v>1</v>
      </c>
      <c r="H910">
        <v>1</v>
      </c>
      <c r="I910" t="s">
        <v>331</v>
      </c>
      <c r="J910" s="27">
        <v>45755</v>
      </c>
      <c r="L910" s="29">
        <v>1077.5862068181818</v>
      </c>
      <c r="M910" s="29">
        <v>1077.5862068181818</v>
      </c>
      <c r="N910" s="15">
        <v>45748</v>
      </c>
    </row>
    <row r="911" spans="1:14" x14ac:dyDescent="0.25">
      <c r="A911">
        <v>402120</v>
      </c>
      <c r="B911" t="s">
        <v>35</v>
      </c>
      <c r="C911">
        <v>47569</v>
      </c>
      <c r="D911" t="s">
        <v>46</v>
      </c>
      <c r="E911" t="s">
        <v>22</v>
      </c>
      <c r="F911" s="27">
        <v>45755</v>
      </c>
      <c r="G911">
        <v>7</v>
      </c>
      <c r="H911">
        <v>7</v>
      </c>
      <c r="I911" t="s">
        <v>574</v>
      </c>
      <c r="J911" s="27">
        <v>45755</v>
      </c>
      <c r="L911" s="29">
        <v>1077.5862068181818</v>
      </c>
      <c r="M911" s="29">
        <v>7543.1034477272733</v>
      </c>
      <c r="N911" s="15">
        <v>45748</v>
      </c>
    </row>
    <row r="912" spans="1:14" x14ac:dyDescent="0.25">
      <c r="A912">
        <v>404181</v>
      </c>
      <c r="B912" t="s">
        <v>28</v>
      </c>
      <c r="C912">
        <v>51263</v>
      </c>
      <c r="D912" t="s">
        <v>27</v>
      </c>
      <c r="E912" t="s">
        <v>22</v>
      </c>
      <c r="F912" s="27">
        <v>45755</v>
      </c>
      <c r="G912">
        <v>10</v>
      </c>
      <c r="H912">
        <v>10</v>
      </c>
      <c r="I912" t="s">
        <v>608</v>
      </c>
      <c r="J912" s="27">
        <v>45761</v>
      </c>
      <c r="L912" s="29">
        <v>574.71264374999998</v>
      </c>
      <c r="M912" s="29">
        <v>5747.1264375000001</v>
      </c>
      <c r="N912" s="15">
        <v>45748</v>
      </c>
    </row>
    <row r="913" spans="1:14" x14ac:dyDescent="0.25">
      <c r="A913">
        <v>412379</v>
      </c>
      <c r="B913" t="s">
        <v>35</v>
      </c>
      <c r="C913">
        <v>47570</v>
      </c>
      <c r="D913" t="s">
        <v>30</v>
      </c>
      <c r="E913" t="s">
        <v>22</v>
      </c>
      <c r="F913" s="27">
        <v>45755</v>
      </c>
      <c r="G913">
        <v>8</v>
      </c>
      <c r="H913">
        <v>8</v>
      </c>
      <c r="I913" t="s">
        <v>494</v>
      </c>
      <c r="J913" s="27">
        <v>45777</v>
      </c>
      <c r="L913" s="29">
        <v>574.71264374999998</v>
      </c>
      <c r="M913" s="29">
        <v>4597.7011499999999</v>
      </c>
      <c r="N913" s="15">
        <v>45748</v>
      </c>
    </row>
    <row r="914" spans="1:14" x14ac:dyDescent="0.25">
      <c r="A914">
        <v>402405</v>
      </c>
      <c r="B914" t="s">
        <v>20</v>
      </c>
      <c r="C914">
        <v>52830</v>
      </c>
      <c r="D914" t="s">
        <v>21</v>
      </c>
      <c r="E914" t="s">
        <v>22</v>
      </c>
      <c r="F914" s="27">
        <v>45755</v>
      </c>
      <c r="G914">
        <v>6</v>
      </c>
      <c r="H914">
        <v>6</v>
      </c>
      <c r="I914" t="s">
        <v>609</v>
      </c>
      <c r="J914" s="27">
        <v>45756</v>
      </c>
      <c r="L914" s="29">
        <v>1616.3793102272728</v>
      </c>
      <c r="M914" s="29">
        <v>9698.2758613636361</v>
      </c>
      <c r="N914" s="15">
        <v>45748</v>
      </c>
    </row>
    <row r="915" spans="1:14" x14ac:dyDescent="0.25">
      <c r="A915">
        <v>403702</v>
      </c>
      <c r="B915" t="s">
        <v>31</v>
      </c>
      <c r="C915">
        <v>13970</v>
      </c>
      <c r="D915" t="s">
        <v>33</v>
      </c>
      <c r="E915" t="s">
        <v>19</v>
      </c>
      <c r="F915" s="27">
        <v>45755</v>
      </c>
      <c r="G915">
        <v>40</v>
      </c>
      <c r="H915">
        <v>40</v>
      </c>
      <c r="I915" t="s">
        <v>610</v>
      </c>
      <c r="J915" s="27">
        <v>45759</v>
      </c>
      <c r="L915" s="29">
        <v>1436.7816090909091</v>
      </c>
      <c r="M915" s="29">
        <v>57471.264363636365</v>
      </c>
      <c r="N915" s="15">
        <v>45748</v>
      </c>
    </row>
    <row r="916" spans="1:14" x14ac:dyDescent="0.25">
      <c r="A916">
        <v>402935</v>
      </c>
      <c r="B916" t="s">
        <v>48</v>
      </c>
      <c r="C916">
        <v>53040</v>
      </c>
      <c r="D916" t="s">
        <v>36</v>
      </c>
      <c r="E916" t="s">
        <v>22</v>
      </c>
      <c r="F916" s="27">
        <v>45755</v>
      </c>
      <c r="G916">
        <v>2.25</v>
      </c>
      <c r="H916">
        <v>2.25</v>
      </c>
      <c r="I916" t="s">
        <v>590</v>
      </c>
      <c r="J916" s="27">
        <v>45757</v>
      </c>
      <c r="L916" s="29">
        <v>1724.1379312500001</v>
      </c>
      <c r="M916" s="29">
        <v>3879.3103453125</v>
      </c>
      <c r="N916" s="15">
        <v>45748</v>
      </c>
    </row>
    <row r="917" spans="1:14" x14ac:dyDescent="0.25">
      <c r="A917">
        <v>401438</v>
      </c>
      <c r="B917" t="s">
        <v>29</v>
      </c>
      <c r="C917">
        <v>52587</v>
      </c>
      <c r="D917" t="s">
        <v>39</v>
      </c>
      <c r="E917" t="s">
        <v>22</v>
      </c>
      <c r="F917" s="27">
        <v>45754</v>
      </c>
      <c r="G917">
        <v>4</v>
      </c>
      <c r="H917">
        <v>4</v>
      </c>
      <c r="I917" t="s">
        <v>587</v>
      </c>
      <c r="J917" s="27">
        <v>45754</v>
      </c>
      <c r="L917" s="29">
        <v>718.39080454545456</v>
      </c>
      <c r="M917" s="29">
        <v>2873.5632181818182</v>
      </c>
      <c r="N917" s="15">
        <v>45748</v>
      </c>
    </row>
    <row r="918" spans="1:14" x14ac:dyDescent="0.25">
      <c r="A918">
        <v>401443</v>
      </c>
      <c r="B918" t="s">
        <v>20</v>
      </c>
      <c r="C918">
        <v>52830</v>
      </c>
      <c r="D918" t="s">
        <v>21</v>
      </c>
      <c r="E918" t="s">
        <v>22</v>
      </c>
      <c r="F918" s="27">
        <v>45754</v>
      </c>
      <c r="G918">
        <v>4.5</v>
      </c>
      <c r="H918">
        <v>4.5</v>
      </c>
      <c r="I918" t="s">
        <v>611</v>
      </c>
      <c r="J918" s="27">
        <v>45754</v>
      </c>
      <c r="L918" s="29">
        <v>1616.3793102272728</v>
      </c>
      <c r="M918" s="29">
        <v>7273.7068960227271</v>
      </c>
      <c r="N918" s="15">
        <v>45748</v>
      </c>
    </row>
    <row r="919" spans="1:14" x14ac:dyDescent="0.25">
      <c r="A919">
        <v>401704</v>
      </c>
      <c r="B919" t="s">
        <v>28</v>
      </c>
      <c r="C919">
        <v>51263</v>
      </c>
      <c r="D919" t="s">
        <v>27</v>
      </c>
      <c r="E919" t="s">
        <v>22</v>
      </c>
      <c r="F919" s="27">
        <v>45754</v>
      </c>
      <c r="G919">
        <v>10</v>
      </c>
      <c r="H919">
        <v>10</v>
      </c>
      <c r="I919" t="s">
        <v>612</v>
      </c>
      <c r="J919" s="27">
        <v>45754</v>
      </c>
      <c r="L919" s="29">
        <v>574.71264374999998</v>
      </c>
      <c r="M919" s="29">
        <v>5747.1264375000001</v>
      </c>
      <c r="N919" s="15">
        <v>45748</v>
      </c>
    </row>
    <row r="920" spans="1:14" x14ac:dyDescent="0.25">
      <c r="A920">
        <v>401709</v>
      </c>
      <c r="B920" t="s">
        <v>35</v>
      </c>
      <c r="C920">
        <v>47572</v>
      </c>
      <c r="D920" t="s">
        <v>46</v>
      </c>
      <c r="E920" t="s">
        <v>22</v>
      </c>
      <c r="F920" s="27">
        <v>45754</v>
      </c>
      <c r="G920">
        <v>1</v>
      </c>
      <c r="H920">
        <v>1</v>
      </c>
      <c r="I920" t="s">
        <v>331</v>
      </c>
      <c r="J920" s="27">
        <v>45755</v>
      </c>
      <c r="L920" s="29">
        <v>1077.5862068181818</v>
      </c>
      <c r="M920" s="29">
        <v>1077.5862068181818</v>
      </c>
      <c r="N920" s="15">
        <v>45748</v>
      </c>
    </row>
    <row r="921" spans="1:14" x14ac:dyDescent="0.25">
      <c r="A921">
        <v>401710</v>
      </c>
      <c r="B921" t="s">
        <v>35</v>
      </c>
      <c r="C921">
        <v>47569</v>
      </c>
      <c r="D921" t="s">
        <v>46</v>
      </c>
      <c r="E921" t="s">
        <v>22</v>
      </c>
      <c r="F921" s="27">
        <v>45754</v>
      </c>
      <c r="G921">
        <v>7</v>
      </c>
      <c r="H921">
        <v>7</v>
      </c>
      <c r="I921" t="s">
        <v>574</v>
      </c>
      <c r="J921" s="27">
        <v>45755</v>
      </c>
      <c r="L921" s="29">
        <v>1077.5862068181818</v>
      </c>
      <c r="M921" s="29">
        <v>7543.1034477272733</v>
      </c>
      <c r="N921" s="15">
        <v>45748</v>
      </c>
    </row>
    <row r="922" spans="1:14" x14ac:dyDescent="0.25">
      <c r="A922">
        <v>403763</v>
      </c>
      <c r="B922" t="s">
        <v>35</v>
      </c>
      <c r="C922">
        <v>47572</v>
      </c>
      <c r="D922" t="s">
        <v>42</v>
      </c>
      <c r="E922" t="s">
        <v>22</v>
      </c>
      <c r="F922" s="27">
        <v>45754</v>
      </c>
      <c r="G922">
        <v>0.5</v>
      </c>
      <c r="H922">
        <v>0.5</v>
      </c>
      <c r="I922" t="s">
        <v>295</v>
      </c>
      <c r="J922" s="27">
        <v>45760</v>
      </c>
      <c r="L922" s="29">
        <v>1418</v>
      </c>
      <c r="M922" s="29">
        <v>709</v>
      </c>
      <c r="N922" s="15">
        <v>45748</v>
      </c>
    </row>
    <row r="923" spans="1:14" x14ac:dyDescent="0.25">
      <c r="A923">
        <v>403770</v>
      </c>
      <c r="B923" t="s">
        <v>35</v>
      </c>
      <c r="C923">
        <v>47614</v>
      </c>
      <c r="D923" t="s">
        <v>42</v>
      </c>
      <c r="E923" t="s">
        <v>22</v>
      </c>
      <c r="F923" s="27">
        <v>45754</v>
      </c>
      <c r="G923">
        <v>1</v>
      </c>
      <c r="H923">
        <v>1</v>
      </c>
      <c r="I923" t="s">
        <v>613</v>
      </c>
      <c r="J923" s="27">
        <v>45760</v>
      </c>
      <c r="L923" s="29">
        <v>1418</v>
      </c>
      <c r="M923" s="29">
        <v>1418</v>
      </c>
      <c r="N923" s="15">
        <v>45748</v>
      </c>
    </row>
    <row r="924" spans="1:14" x14ac:dyDescent="0.25">
      <c r="A924">
        <v>403771</v>
      </c>
      <c r="B924" t="s">
        <v>35</v>
      </c>
      <c r="C924">
        <v>47614</v>
      </c>
      <c r="D924" t="s">
        <v>42</v>
      </c>
      <c r="E924" t="s">
        <v>22</v>
      </c>
      <c r="F924" s="27">
        <v>45754</v>
      </c>
      <c r="G924">
        <v>1</v>
      </c>
      <c r="H924">
        <v>1</v>
      </c>
      <c r="I924" t="s">
        <v>614</v>
      </c>
      <c r="J924" s="27">
        <v>45760</v>
      </c>
      <c r="L924" s="29">
        <v>1418</v>
      </c>
      <c r="M924" s="29">
        <v>1418</v>
      </c>
      <c r="N924" s="15">
        <v>45748</v>
      </c>
    </row>
    <row r="925" spans="1:14" x14ac:dyDescent="0.25">
      <c r="A925">
        <v>403772</v>
      </c>
      <c r="B925" t="s">
        <v>35</v>
      </c>
      <c r="C925">
        <v>47614</v>
      </c>
      <c r="D925" t="s">
        <v>42</v>
      </c>
      <c r="E925" t="s">
        <v>22</v>
      </c>
      <c r="F925" s="27">
        <v>45754</v>
      </c>
      <c r="G925">
        <v>2</v>
      </c>
      <c r="H925">
        <v>2</v>
      </c>
      <c r="I925">
        <v>1807</v>
      </c>
      <c r="J925" s="27">
        <v>45760</v>
      </c>
      <c r="L925" s="29">
        <v>1418</v>
      </c>
      <c r="M925" s="29">
        <v>2836</v>
      </c>
      <c r="N925" s="15">
        <v>45748</v>
      </c>
    </row>
    <row r="926" spans="1:14" x14ac:dyDescent="0.25">
      <c r="A926">
        <v>403773</v>
      </c>
      <c r="B926" t="s">
        <v>35</v>
      </c>
      <c r="C926">
        <v>47614</v>
      </c>
      <c r="D926" t="s">
        <v>42</v>
      </c>
      <c r="E926" t="s">
        <v>22</v>
      </c>
      <c r="F926" s="27">
        <v>45754</v>
      </c>
      <c r="G926">
        <v>1</v>
      </c>
      <c r="H926">
        <v>1</v>
      </c>
      <c r="I926" t="s">
        <v>606</v>
      </c>
      <c r="J926" s="27">
        <v>45760</v>
      </c>
      <c r="L926" s="29">
        <v>1418</v>
      </c>
      <c r="M926" s="29">
        <v>1418</v>
      </c>
      <c r="N926" s="15">
        <v>45748</v>
      </c>
    </row>
    <row r="927" spans="1:14" x14ac:dyDescent="0.25">
      <c r="A927">
        <v>406866</v>
      </c>
      <c r="B927" t="s">
        <v>35</v>
      </c>
      <c r="C927">
        <v>47537</v>
      </c>
      <c r="D927" t="s">
        <v>25</v>
      </c>
      <c r="E927" t="s">
        <v>22</v>
      </c>
      <c r="F927" s="27">
        <v>45754</v>
      </c>
      <c r="G927">
        <v>2</v>
      </c>
      <c r="H927">
        <v>2</v>
      </c>
      <c r="I927" t="s">
        <v>615</v>
      </c>
      <c r="J927" s="27">
        <v>45768</v>
      </c>
      <c r="L927" s="29">
        <v>1077.5862068181818</v>
      </c>
      <c r="M927" s="29">
        <v>2155.1724136363637</v>
      </c>
      <c r="N927" s="15">
        <v>45748</v>
      </c>
    </row>
    <row r="928" spans="1:14" x14ac:dyDescent="0.25">
      <c r="A928">
        <v>441192</v>
      </c>
      <c r="B928" t="s">
        <v>952</v>
      </c>
      <c r="C928">
        <v>53893</v>
      </c>
      <c r="D928" t="s">
        <v>43</v>
      </c>
      <c r="E928" t="s">
        <v>22</v>
      </c>
      <c r="F928" s="27">
        <v>45754</v>
      </c>
      <c r="G928">
        <v>29</v>
      </c>
      <c r="H928">
        <v>29</v>
      </c>
      <c r="I928" t="s">
        <v>1013</v>
      </c>
      <c r="J928" s="27">
        <v>45859</v>
      </c>
      <c r="L928" s="29">
        <v>359.19540227272728</v>
      </c>
      <c r="M928" s="29">
        <v>10416.666665909092</v>
      </c>
      <c r="N928" s="15">
        <v>45748</v>
      </c>
    </row>
    <row r="929" spans="1:14" x14ac:dyDescent="0.25">
      <c r="A929">
        <v>411815</v>
      </c>
      <c r="B929" t="s">
        <v>35</v>
      </c>
      <c r="C929">
        <v>52114</v>
      </c>
      <c r="D929" t="s">
        <v>37</v>
      </c>
      <c r="E929" t="s">
        <v>22</v>
      </c>
      <c r="F929" s="27">
        <v>45754</v>
      </c>
      <c r="G929">
        <v>8</v>
      </c>
      <c r="H929">
        <v>8</v>
      </c>
      <c r="I929" t="s">
        <v>493</v>
      </c>
      <c r="J929" s="27">
        <v>45777</v>
      </c>
      <c r="L929" s="29">
        <v>431.03448295454547</v>
      </c>
      <c r="M929" s="29">
        <v>3448.2758636363637</v>
      </c>
      <c r="N929" s="15">
        <v>45748</v>
      </c>
    </row>
    <row r="930" spans="1:14" x14ac:dyDescent="0.25">
      <c r="A930">
        <v>413888</v>
      </c>
      <c r="B930" t="s">
        <v>31</v>
      </c>
      <c r="C930">
        <v>13970</v>
      </c>
      <c r="D930" t="s">
        <v>49</v>
      </c>
      <c r="E930" t="s">
        <v>19</v>
      </c>
      <c r="F930" s="27">
        <v>45754</v>
      </c>
      <c r="G930">
        <v>13.5</v>
      </c>
      <c r="H930">
        <v>13.5</v>
      </c>
      <c r="I930" t="s">
        <v>616</v>
      </c>
      <c r="J930" s="27">
        <v>45782</v>
      </c>
      <c r="L930" s="29">
        <v>1077.5862068181818</v>
      </c>
      <c r="M930" s="29">
        <v>14547.413792045454</v>
      </c>
      <c r="N930" s="15">
        <v>45748</v>
      </c>
    </row>
    <row r="931" spans="1:14" x14ac:dyDescent="0.25">
      <c r="A931">
        <v>402385</v>
      </c>
      <c r="B931" t="s">
        <v>29</v>
      </c>
      <c r="C931">
        <v>52952</v>
      </c>
      <c r="D931" t="s">
        <v>44</v>
      </c>
      <c r="E931" t="s">
        <v>22</v>
      </c>
      <c r="F931" s="27">
        <v>45754</v>
      </c>
      <c r="G931">
        <v>8</v>
      </c>
      <c r="H931">
        <v>8</v>
      </c>
      <c r="I931" t="s">
        <v>617</v>
      </c>
      <c r="J931" s="27">
        <v>45756</v>
      </c>
      <c r="L931" s="29">
        <v>2011.494252840909</v>
      </c>
      <c r="M931" s="29">
        <v>16091.954022727272</v>
      </c>
      <c r="N931" s="15">
        <v>45748</v>
      </c>
    </row>
    <row r="932" spans="1:14" x14ac:dyDescent="0.25">
      <c r="A932">
        <v>412378</v>
      </c>
      <c r="B932" t="s">
        <v>35</v>
      </c>
      <c r="C932">
        <v>47569</v>
      </c>
      <c r="D932" t="s">
        <v>30</v>
      </c>
      <c r="E932" t="s">
        <v>22</v>
      </c>
      <c r="F932" s="27">
        <v>45754</v>
      </c>
      <c r="G932">
        <v>8</v>
      </c>
      <c r="H932">
        <v>8</v>
      </c>
      <c r="I932" t="s">
        <v>494</v>
      </c>
      <c r="J932" s="27">
        <v>45777</v>
      </c>
      <c r="L932" s="29">
        <v>574.71264374999998</v>
      </c>
      <c r="M932" s="29">
        <v>4597.7011499999999</v>
      </c>
      <c r="N932" s="15">
        <v>45748</v>
      </c>
    </row>
    <row r="933" spans="1:14" x14ac:dyDescent="0.25">
      <c r="A933">
        <v>402934</v>
      </c>
      <c r="B933" t="s">
        <v>48</v>
      </c>
      <c r="C933">
        <v>53040</v>
      </c>
      <c r="D933" t="s">
        <v>36</v>
      </c>
      <c r="E933" t="s">
        <v>22</v>
      </c>
      <c r="F933" s="27">
        <v>45754</v>
      </c>
      <c r="G933">
        <v>1.5</v>
      </c>
      <c r="H933">
        <v>1.5</v>
      </c>
      <c r="I933" t="s">
        <v>590</v>
      </c>
      <c r="J933" s="27">
        <v>45757</v>
      </c>
      <c r="L933" s="29">
        <v>1724.1379312500001</v>
      </c>
      <c r="M933" s="29">
        <v>2586.206896875</v>
      </c>
      <c r="N933" s="15">
        <v>45748</v>
      </c>
    </row>
    <row r="934" spans="1:14" x14ac:dyDescent="0.25">
      <c r="A934">
        <v>403703</v>
      </c>
      <c r="B934" t="s">
        <v>48</v>
      </c>
      <c r="C934">
        <v>53094</v>
      </c>
      <c r="D934" t="s">
        <v>33</v>
      </c>
      <c r="E934" t="s">
        <v>22</v>
      </c>
      <c r="F934" s="27">
        <v>45754</v>
      </c>
      <c r="G934">
        <v>70</v>
      </c>
      <c r="H934">
        <v>70</v>
      </c>
      <c r="I934" t="s">
        <v>618</v>
      </c>
      <c r="J934" s="27">
        <v>45759</v>
      </c>
      <c r="L934" s="29">
        <v>1436.7816090909091</v>
      </c>
      <c r="M934" s="29">
        <v>100574.71263636363</v>
      </c>
      <c r="N934" s="15">
        <v>45748</v>
      </c>
    </row>
    <row r="935" spans="1:14" x14ac:dyDescent="0.25">
      <c r="A935">
        <v>403704</v>
      </c>
      <c r="B935" t="s">
        <v>34</v>
      </c>
      <c r="C935">
        <v>21152</v>
      </c>
      <c r="D935" t="s">
        <v>33</v>
      </c>
      <c r="E935" t="s">
        <v>19</v>
      </c>
      <c r="F935" s="27">
        <v>45754</v>
      </c>
      <c r="G935">
        <v>20</v>
      </c>
      <c r="H935">
        <v>20</v>
      </c>
      <c r="I935" t="s">
        <v>619</v>
      </c>
      <c r="J935" s="27">
        <v>45759</v>
      </c>
      <c r="L935" s="29">
        <v>1436.7816090909091</v>
      </c>
      <c r="M935" s="29">
        <v>28735.632181818182</v>
      </c>
      <c r="N935" s="15">
        <v>45748</v>
      </c>
    </row>
    <row r="936" spans="1:14" x14ac:dyDescent="0.25">
      <c r="A936">
        <v>401439</v>
      </c>
      <c r="B936" t="s">
        <v>20</v>
      </c>
      <c r="C936">
        <v>52830</v>
      </c>
      <c r="D936" t="s">
        <v>21</v>
      </c>
      <c r="E936" t="s">
        <v>22</v>
      </c>
      <c r="F936" s="27">
        <v>45752</v>
      </c>
      <c r="G936">
        <v>15</v>
      </c>
      <c r="H936">
        <v>15</v>
      </c>
      <c r="I936" t="s">
        <v>620</v>
      </c>
      <c r="J936" s="27">
        <v>45754</v>
      </c>
      <c r="L936" s="29">
        <v>1616.3793102272728</v>
      </c>
      <c r="M936" s="29">
        <v>24245.689653409092</v>
      </c>
      <c r="N936" s="15">
        <v>45748</v>
      </c>
    </row>
    <row r="937" spans="1:14" x14ac:dyDescent="0.25">
      <c r="A937">
        <v>400926</v>
      </c>
      <c r="B937" t="s">
        <v>35</v>
      </c>
      <c r="C937">
        <v>47572</v>
      </c>
      <c r="D937" t="s">
        <v>46</v>
      </c>
      <c r="E937" t="s">
        <v>22</v>
      </c>
      <c r="F937" s="27">
        <v>45751</v>
      </c>
      <c r="G937">
        <v>1</v>
      </c>
      <c r="H937">
        <v>1</v>
      </c>
      <c r="I937" t="s">
        <v>331</v>
      </c>
      <c r="J937" s="27">
        <v>45751</v>
      </c>
      <c r="L937" s="29">
        <v>1077.5862068181818</v>
      </c>
      <c r="M937" s="29">
        <v>1077.5862068181818</v>
      </c>
      <c r="N937" s="15">
        <v>45748</v>
      </c>
    </row>
    <row r="938" spans="1:14" x14ac:dyDescent="0.25">
      <c r="A938">
        <v>400927</v>
      </c>
      <c r="B938" t="s">
        <v>35</v>
      </c>
      <c r="C938">
        <v>47569</v>
      </c>
      <c r="D938" t="s">
        <v>46</v>
      </c>
      <c r="E938" t="s">
        <v>22</v>
      </c>
      <c r="F938" s="27">
        <v>45751</v>
      </c>
      <c r="G938">
        <v>7.5</v>
      </c>
      <c r="H938">
        <v>7.5</v>
      </c>
      <c r="I938" t="s">
        <v>574</v>
      </c>
      <c r="J938" s="27">
        <v>45751</v>
      </c>
      <c r="L938" s="29">
        <v>1077.5862068181818</v>
      </c>
      <c r="M938" s="29">
        <v>8081.896551136364</v>
      </c>
      <c r="N938" s="15">
        <v>45748</v>
      </c>
    </row>
    <row r="939" spans="1:14" x14ac:dyDescent="0.25">
      <c r="A939">
        <v>403762</v>
      </c>
      <c r="B939" t="s">
        <v>35</v>
      </c>
      <c r="C939">
        <v>47572</v>
      </c>
      <c r="D939" t="s">
        <v>42</v>
      </c>
      <c r="E939" t="s">
        <v>22</v>
      </c>
      <c r="F939" s="27">
        <v>45751</v>
      </c>
      <c r="G939">
        <v>0.5</v>
      </c>
      <c r="H939">
        <v>0.5</v>
      </c>
      <c r="I939" t="s">
        <v>621</v>
      </c>
      <c r="J939" s="27">
        <v>45760</v>
      </c>
      <c r="L939" s="29">
        <v>1418</v>
      </c>
      <c r="M939" s="29">
        <v>709</v>
      </c>
      <c r="N939" s="15">
        <v>45748</v>
      </c>
    </row>
    <row r="940" spans="1:14" x14ac:dyDescent="0.25">
      <c r="A940">
        <v>403769</v>
      </c>
      <c r="B940" t="s">
        <v>35</v>
      </c>
      <c r="C940">
        <v>47614</v>
      </c>
      <c r="D940" t="s">
        <v>42</v>
      </c>
      <c r="E940" t="s">
        <v>22</v>
      </c>
      <c r="F940" s="27">
        <v>45751</v>
      </c>
      <c r="G940">
        <v>6</v>
      </c>
      <c r="H940">
        <v>6</v>
      </c>
      <c r="I940">
        <v>1573</v>
      </c>
      <c r="J940" s="27">
        <v>45760</v>
      </c>
      <c r="L940" s="29">
        <v>1418</v>
      </c>
      <c r="M940" s="29">
        <v>8508</v>
      </c>
      <c r="N940" s="15">
        <v>45748</v>
      </c>
    </row>
    <row r="941" spans="1:14" x14ac:dyDescent="0.25">
      <c r="A941">
        <v>406884</v>
      </c>
      <c r="B941" t="s">
        <v>35</v>
      </c>
      <c r="C941">
        <v>47537</v>
      </c>
      <c r="D941" t="s">
        <v>25</v>
      </c>
      <c r="E941" t="s">
        <v>22</v>
      </c>
      <c r="F941" s="27">
        <v>45751</v>
      </c>
      <c r="G941">
        <v>4</v>
      </c>
      <c r="H941">
        <v>4</v>
      </c>
      <c r="I941" t="s">
        <v>622</v>
      </c>
      <c r="J941" s="27">
        <v>45768</v>
      </c>
      <c r="L941" s="29">
        <v>1077.5862068181818</v>
      </c>
      <c r="M941" s="29">
        <v>4310.3448272727273</v>
      </c>
      <c r="N941" s="15">
        <v>45748</v>
      </c>
    </row>
    <row r="942" spans="1:14" x14ac:dyDescent="0.25">
      <c r="A942">
        <v>401056</v>
      </c>
      <c r="B942" t="s">
        <v>28</v>
      </c>
      <c r="C942">
        <v>51262</v>
      </c>
      <c r="D942" t="s">
        <v>44</v>
      </c>
      <c r="E942" t="s">
        <v>22</v>
      </c>
      <c r="F942" s="27">
        <v>45751</v>
      </c>
      <c r="G942">
        <v>23</v>
      </c>
      <c r="H942">
        <v>23</v>
      </c>
      <c r="I942" t="s">
        <v>623</v>
      </c>
      <c r="J942" s="27">
        <v>45753</v>
      </c>
      <c r="L942" s="29">
        <v>2011.494252840909</v>
      </c>
      <c r="M942" s="29">
        <v>46264.367815340906</v>
      </c>
      <c r="N942" s="15">
        <v>45748</v>
      </c>
    </row>
    <row r="943" spans="1:14" x14ac:dyDescent="0.25">
      <c r="A943">
        <v>401057</v>
      </c>
      <c r="B943" t="s">
        <v>29</v>
      </c>
      <c r="C943">
        <v>52508</v>
      </c>
      <c r="D943" t="s">
        <v>44</v>
      </c>
      <c r="E943" t="s">
        <v>22</v>
      </c>
      <c r="F943" s="27">
        <v>45751</v>
      </c>
      <c r="G943">
        <v>7</v>
      </c>
      <c r="H943">
        <v>7</v>
      </c>
      <c r="I943" t="s">
        <v>624</v>
      </c>
      <c r="J943" s="27">
        <v>45753</v>
      </c>
      <c r="L943" s="29">
        <v>2011.494252840909</v>
      </c>
      <c r="M943" s="29">
        <v>14080.459769886364</v>
      </c>
      <c r="N943" s="15">
        <v>45748</v>
      </c>
    </row>
    <row r="944" spans="1:14" x14ac:dyDescent="0.25">
      <c r="A944">
        <v>411814</v>
      </c>
      <c r="B944" t="s">
        <v>35</v>
      </c>
      <c r="C944">
        <v>52114</v>
      </c>
      <c r="D944" t="s">
        <v>37</v>
      </c>
      <c r="E944" t="s">
        <v>22</v>
      </c>
      <c r="F944" s="27">
        <v>45751</v>
      </c>
      <c r="G944">
        <v>8</v>
      </c>
      <c r="H944">
        <v>8</v>
      </c>
      <c r="I944" t="s">
        <v>493</v>
      </c>
      <c r="J944" s="27">
        <v>45777</v>
      </c>
      <c r="L944" s="29">
        <v>431.03448295454547</v>
      </c>
      <c r="M944" s="29">
        <v>3448.2758636363637</v>
      </c>
      <c r="N944" s="15">
        <v>45748</v>
      </c>
    </row>
    <row r="945" spans="1:14" x14ac:dyDescent="0.25">
      <c r="A945">
        <v>415177</v>
      </c>
      <c r="B945" t="s">
        <v>35</v>
      </c>
      <c r="C945">
        <v>47569</v>
      </c>
      <c r="D945" t="s">
        <v>30</v>
      </c>
      <c r="E945" t="s">
        <v>22</v>
      </c>
      <c r="F945" s="27">
        <v>45751</v>
      </c>
      <c r="G945">
        <v>8</v>
      </c>
      <c r="H945">
        <v>8</v>
      </c>
      <c r="I945" t="s">
        <v>494</v>
      </c>
      <c r="J945" s="27">
        <v>45784</v>
      </c>
      <c r="L945" s="29">
        <v>574.71264374999998</v>
      </c>
      <c r="M945" s="29">
        <v>4597.7011499999999</v>
      </c>
      <c r="N945" s="15">
        <v>45748</v>
      </c>
    </row>
    <row r="946" spans="1:14" x14ac:dyDescent="0.25">
      <c r="A946">
        <v>402383</v>
      </c>
      <c r="B946" t="s">
        <v>29</v>
      </c>
      <c r="C946">
        <v>52951</v>
      </c>
      <c r="D946" t="s">
        <v>44</v>
      </c>
      <c r="E946" t="s">
        <v>22</v>
      </c>
      <c r="F946" s="27">
        <v>45751</v>
      </c>
      <c r="G946">
        <v>3</v>
      </c>
      <c r="H946">
        <v>3</v>
      </c>
      <c r="I946" t="s">
        <v>625</v>
      </c>
      <c r="J946" s="27">
        <v>45756</v>
      </c>
      <c r="L946" s="29">
        <v>2011.494252840909</v>
      </c>
      <c r="M946" s="29">
        <v>6034.4827585227267</v>
      </c>
      <c r="N946" s="15">
        <v>45748</v>
      </c>
    </row>
    <row r="947" spans="1:14" x14ac:dyDescent="0.25">
      <c r="A947">
        <v>402403</v>
      </c>
      <c r="B947" t="s">
        <v>20</v>
      </c>
      <c r="C947">
        <v>50787</v>
      </c>
      <c r="D947" t="s">
        <v>21</v>
      </c>
      <c r="E947" t="s">
        <v>22</v>
      </c>
      <c r="F947" s="27">
        <v>45751</v>
      </c>
      <c r="G947">
        <v>1</v>
      </c>
      <c r="H947">
        <v>1</v>
      </c>
      <c r="I947" t="s">
        <v>626</v>
      </c>
      <c r="J947" s="27">
        <v>45756</v>
      </c>
      <c r="L947" s="29">
        <v>1616.3793102272728</v>
      </c>
      <c r="M947" s="29">
        <v>1616.3793102272728</v>
      </c>
      <c r="N947" s="15">
        <v>45748</v>
      </c>
    </row>
    <row r="948" spans="1:14" x14ac:dyDescent="0.25">
      <c r="A948">
        <v>402404</v>
      </c>
      <c r="B948" t="s">
        <v>20</v>
      </c>
      <c r="C948">
        <v>52830</v>
      </c>
      <c r="D948" t="s">
        <v>21</v>
      </c>
      <c r="E948" t="s">
        <v>22</v>
      </c>
      <c r="F948" s="27">
        <v>45751</v>
      </c>
      <c r="G948">
        <v>4</v>
      </c>
      <c r="H948">
        <v>4</v>
      </c>
      <c r="I948" t="s">
        <v>627</v>
      </c>
      <c r="J948" s="27">
        <v>45756</v>
      </c>
      <c r="L948" s="29">
        <v>1616.3793102272728</v>
      </c>
      <c r="M948" s="29">
        <v>6465.517240909091</v>
      </c>
      <c r="N948" s="15">
        <v>45748</v>
      </c>
    </row>
    <row r="949" spans="1:14" x14ac:dyDescent="0.25">
      <c r="A949">
        <v>432102</v>
      </c>
      <c r="B949" t="s">
        <v>24</v>
      </c>
      <c r="C949">
        <v>54160</v>
      </c>
      <c r="D949" t="s">
        <v>39</v>
      </c>
      <c r="E949" t="s">
        <v>22</v>
      </c>
      <c r="F949" s="27">
        <v>45751</v>
      </c>
      <c r="G949">
        <v>8</v>
      </c>
      <c r="H949">
        <v>8</v>
      </c>
      <c r="I949" t="s">
        <v>628</v>
      </c>
      <c r="J949" s="27">
        <v>45835</v>
      </c>
      <c r="L949" s="29">
        <v>718.39080454545456</v>
      </c>
      <c r="M949" s="29">
        <v>5747.1264363636365</v>
      </c>
      <c r="N949" s="15">
        <v>45748</v>
      </c>
    </row>
    <row r="950" spans="1:14" x14ac:dyDescent="0.25">
      <c r="A950">
        <v>402933</v>
      </c>
      <c r="B950" t="s">
        <v>48</v>
      </c>
      <c r="C950">
        <v>53042</v>
      </c>
      <c r="D950" t="s">
        <v>36</v>
      </c>
      <c r="E950" t="s">
        <v>22</v>
      </c>
      <c r="F950" s="27">
        <v>45751</v>
      </c>
      <c r="G950">
        <v>2.25</v>
      </c>
      <c r="H950">
        <v>2.25</v>
      </c>
      <c r="I950" t="s">
        <v>629</v>
      </c>
      <c r="J950" s="27">
        <v>45757</v>
      </c>
      <c r="L950" s="29">
        <v>1724.1379312500001</v>
      </c>
      <c r="M950" s="29">
        <v>3879.3103453125</v>
      </c>
      <c r="N950" s="15">
        <v>45748</v>
      </c>
    </row>
    <row r="951" spans="1:14" x14ac:dyDescent="0.25">
      <c r="A951">
        <v>410621</v>
      </c>
      <c r="B951" t="s">
        <v>28</v>
      </c>
      <c r="C951">
        <v>51263</v>
      </c>
      <c r="D951" t="s">
        <v>27</v>
      </c>
      <c r="E951" t="s">
        <v>22</v>
      </c>
      <c r="F951" s="27">
        <v>45751</v>
      </c>
      <c r="G951">
        <v>8</v>
      </c>
      <c r="H951">
        <v>8</v>
      </c>
      <c r="I951" t="s">
        <v>630</v>
      </c>
      <c r="J951" s="27">
        <v>45775</v>
      </c>
      <c r="L951" s="29">
        <v>574.71264374999998</v>
      </c>
      <c r="M951" s="29">
        <v>4597.7011499999999</v>
      </c>
      <c r="N951" s="15">
        <v>45748</v>
      </c>
    </row>
    <row r="952" spans="1:14" x14ac:dyDescent="0.25">
      <c r="A952">
        <v>400925</v>
      </c>
      <c r="B952" t="s">
        <v>35</v>
      </c>
      <c r="C952">
        <v>47569</v>
      </c>
      <c r="D952" t="s">
        <v>46</v>
      </c>
      <c r="E952" t="s">
        <v>22</v>
      </c>
      <c r="F952" s="27">
        <v>45750</v>
      </c>
      <c r="G952">
        <v>3</v>
      </c>
      <c r="H952">
        <v>3</v>
      </c>
      <c r="I952" t="s">
        <v>574</v>
      </c>
      <c r="J952" s="27">
        <v>45751</v>
      </c>
      <c r="L952" s="29">
        <v>1077.5862068181818</v>
      </c>
      <c r="M952" s="29">
        <v>3232.7586204545455</v>
      </c>
      <c r="N952" s="15">
        <v>45748</v>
      </c>
    </row>
    <row r="953" spans="1:14" x14ac:dyDescent="0.25">
      <c r="A953">
        <v>403768</v>
      </c>
      <c r="B953" t="s">
        <v>35</v>
      </c>
      <c r="C953">
        <v>47614</v>
      </c>
      <c r="D953" t="s">
        <v>42</v>
      </c>
      <c r="E953" t="s">
        <v>22</v>
      </c>
      <c r="F953" s="27">
        <v>45750</v>
      </c>
      <c r="G953">
        <v>3</v>
      </c>
      <c r="H953">
        <v>3</v>
      </c>
      <c r="I953">
        <v>1573</v>
      </c>
      <c r="J953" s="27">
        <v>45760</v>
      </c>
      <c r="L953" s="29">
        <v>1418</v>
      </c>
      <c r="M953" s="29">
        <v>4254</v>
      </c>
      <c r="N953" s="15">
        <v>45748</v>
      </c>
    </row>
    <row r="954" spans="1:14" x14ac:dyDescent="0.25">
      <c r="A954">
        <v>442450</v>
      </c>
      <c r="B954" t="s">
        <v>1011</v>
      </c>
      <c r="C954">
        <v>54696</v>
      </c>
      <c r="D954" t="s">
        <v>43</v>
      </c>
      <c r="E954" t="s">
        <v>22</v>
      </c>
      <c r="F954" s="27">
        <v>45750</v>
      </c>
      <c r="G954">
        <v>1</v>
      </c>
      <c r="H954">
        <v>1</v>
      </c>
      <c r="I954" t="s">
        <v>1065</v>
      </c>
      <c r="J954" s="27">
        <v>45862</v>
      </c>
      <c r="L954" s="29">
        <v>359.19540227272728</v>
      </c>
      <c r="M954" s="29">
        <v>359.19540227272728</v>
      </c>
      <c r="N954" s="15">
        <v>45748</v>
      </c>
    </row>
    <row r="955" spans="1:14" x14ac:dyDescent="0.25">
      <c r="A955">
        <v>442451</v>
      </c>
      <c r="B955" t="s">
        <v>1011</v>
      </c>
      <c r="C955">
        <v>54696</v>
      </c>
      <c r="D955" t="s">
        <v>33</v>
      </c>
      <c r="E955" t="s">
        <v>22</v>
      </c>
      <c r="F955" s="27">
        <v>45750</v>
      </c>
      <c r="G955">
        <v>1</v>
      </c>
      <c r="H955">
        <v>1</v>
      </c>
      <c r="I955" t="s">
        <v>1066</v>
      </c>
      <c r="J955" s="27">
        <v>45862</v>
      </c>
      <c r="L955" s="29">
        <v>1436.7816090909091</v>
      </c>
      <c r="M955" s="29">
        <v>1436.7816090909091</v>
      </c>
      <c r="N955" s="15">
        <v>45748</v>
      </c>
    </row>
    <row r="956" spans="1:14" x14ac:dyDescent="0.25">
      <c r="A956">
        <v>442452</v>
      </c>
      <c r="B956" t="s">
        <v>1011</v>
      </c>
      <c r="C956">
        <v>54696</v>
      </c>
      <c r="D956" t="s">
        <v>33</v>
      </c>
      <c r="E956" t="s">
        <v>22</v>
      </c>
      <c r="F956" s="27">
        <v>45750</v>
      </c>
      <c r="G956">
        <v>1</v>
      </c>
      <c r="H956">
        <v>1</v>
      </c>
      <c r="I956" t="s">
        <v>1067</v>
      </c>
      <c r="J956" s="27">
        <v>45862</v>
      </c>
      <c r="L956" s="29">
        <v>1436.7816090909091</v>
      </c>
      <c r="M956" s="29">
        <v>1436.7816090909091</v>
      </c>
      <c r="N956" s="15">
        <v>45748</v>
      </c>
    </row>
    <row r="957" spans="1:14" x14ac:dyDescent="0.25">
      <c r="A957">
        <v>442453</v>
      </c>
      <c r="B957" t="s">
        <v>1011</v>
      </c>
      <c r="C957">
        <v>54696</v>
      </c>
      <c r="D957" t="s">
        <v>33</v>
      </c>
      <c r="E957" t="s">
        <v>22</v>
      </c>
      <c r="F957" s="27">
        <v>45750</v>
      </c>
      <c r="G957">
        <v>1</v>
      </c>
      <c r="H957">
        <v>1</v>
      </c>
      <c r="I957" t="s">
        <v>1068</v>
      </c>
      <c r="J957" s="27">
        <v>45862</v>
      </c>
      <c r="L957" s="29">
        <v>1436.7816090909091</v>
      </c>
      <c r="M957" s="29">
        <v>1436.7816090909091</v>
      </c>
      <c r="N957" s="15">
        <v>45748</v>
      </c>
    </row>
    <row r="958" spans="1:14" x14ac:dyDescent="0.25">
      <c r="A958">
        <v>442454</v>
      </c>
      <c r="B958" t="s">
        <v>1011</v>
      </c>
      <c r="C958">
        <v>54696</v>
      </c>
      <c r="D958" t="s">
        <v>33</v>
      </c>
      <c r="E958" t="s">
        <v>22</v>
      </c>
      <c r="F958" s="27">
        <v>45750</v>
      </c>
      <c r="G958">
        <v>1</v>
      </c>
      <c r="H958">
        <v>1</v>
      </c>
      <c r="I958" t="s">
        <v>1069</v>
      </c>
      <c r="J958" s="27">
        <v>45862</v>
      </c>
      <c r="L958" s="29">
        <v>1436.7816090909091</v>
      </c>
      <c r="M958" s="29">
        <v>1436.7816090909091</v>
      </c>
      <c r="N958" s="15">
        <v>45748</v>
      </c>
    </row>
    <row r="959" spans="1:14" x14ac:dyDescent="0.25">
      <c r="A959">
        <v>442455</v>
      </c>
      <c r="B959" t="s">
        <v>1011</v>
      </c>
      <c r="C959">
        <v>54696</v>
      </c>
      <c r="D959" t="s">
        <v>33</v>
      </c>
      <c r="E959" t="s">
        <v>22</v>
      </c>
      <c r="F959" s="27">
        <v>45750</v>
      </c>
      <c r="G959">
        <v>1</v>
      </c>
      <c r="H959">
        <v>1</v>
      </c>
      <c r="I959" t="s">
        <v>1070</v>
      </c>
      <c r="J959" s="27">
        <v>45862</v>
      </c>
      <c r="L959" s="29">
        <v>1436.7816090909091</v>
      </c>
      <c r="M959" s="29">
        <v>1436.7816090909091</v>
      </c>
      <c r="N959" s="15">
        <v>45748</v>
      </c>
    </row>
    <row r="960" spans="1:14" x14ac:dyDescent="0.25">
      <c r="A960">
        <v>442456</v>
      </c>
      <c r="B960" t="s">
        <v>1011</v>
      </c>
      <c r="C960">
        <v>54696</v>
      </c>
      <c r="D960" t="s">
        <v>33</v>
      </c>
      <c r="E960" t="s">
        <v>22</v>
      </c>
      <c r="F960" s="27">
        <v>45750</v>
      </c>
      <c r="G960">
        <v>1</v>
      </c>
      <c r="H960">
        <v>1</v>
      </c>
      <c r="I960" t="s">
        <v>1071</v>
      </c>
      <c r="J960" s="27">
        <v>45862</v>
      </c>
      <c r="L960" s="29">
        <v>1436.7816090909091</v>
      </c>
      <c r="M960" s="29">
        <v>1436.7816090909091</v>
      </c>
      <c r="N960" s="15">
        <v>45748</v>
      </c>
    </row>
    <row r="961" spans="1:14" x14ac:dyDescent="0.25">
      <c r="A961">
        <v>406883</v>
      </c>
      <c r="B961" t="s">
        <v>35</v>
      </c>
      <c r="C961">
        <v>47537</v>
      </c>
      <c r="D961" t="s">
        <v>25</v>
      </c>
      <c r="E961" t="s">
        <v>22</v>
      </c>
      <c r="F961" s="27">
        <v>45750</v>
      </c>
      <c r="G961">
        <v>2</v>
      </c>
      <c r="H961">
        <v>2</v>
      </c>
      <c r="I961" t="s">
        <v>622</v>
      </c>
      <c r="J961" s="27">
        <v>45768</v>
      </c>
      <c r="L961" s="29">
        <v>1077.5862068181818</v>
      </c>
      <c r="M961" s="29">
        <v>2155.1724136363637</v>
      </c>
      <c r="N961" s="15">
        <v>45748</v>
      </c>
    </row>
    <row r="962" spans="1:14" x14ac:dyDescent="0.25">
      <c r="A962">
        <v>400280</v>
      </c>
      <c r="B962" t="s">
        <v>35</v>
      </c>
      <c r="C962">
        <v>47569</v>
      </c>
      <c r="D962" t="s">
        <v>46</v>
      </c>
      <c r="E962" t="s">
        <v>22</v>
      </c>
      <c r="F962" s="27">
        <v>45750</v>
      </c>
      <c r="G962">
        <v>5</v>
      </c>
      <c r="H962">
        <v>5</v>
      </c>
      <c r="I962" t="s">
        <v>574</v>
      </c>
      <c r="J962" s="27">
        <v>45750</v>
      </c>
      <c r="L962" s="29">
        <v>1077.5862068181818</v>
      </c>
      <c r="M962" s="29">
        <v>5387.9310340909087</v>
      </c>
      <c r="N962" s="15">
        <v>45748</v>
      </c>
    </row>
    <row r="963" spans="1:14" x14ac:dyDescent="0.25">
      <c r="A963">
        <v>400289</v>
      </c>
      <c r="B963" t="s">
        <v>28</v>
      </c>
      <c r="C963">
        <v>51263</v>
      </c>
      <c r="D963" t="s">
        <v>27</v>
      </c>
      <c r="E963" t="s">
        <v>22</v>
      </c>
      <c r="F963" s="27">
        <v>45750</v>
      </c>
      <c r="G963">
        <v>8</v>
      </c>
      <c r="H963">
        <v>8</v>
      </c>
      <c r="I963" t="s">
        <v>631</v>
      </c>
      <c r="J963" s="27">
        <v>45750</v>
      </c>
      <c r="L963" s="29">
        <v>574.71264374999998</v>
      </c>
      <c r="M963" s="29">
        <v>4597.7011499999999</v>
      </c>
      <c r="N963" s="15">
        <v>45748</v>
      </c>
    </row>
    <row r="964" spans="1:14" x14ac:dyDescent="0.25">
      <c r="A964">
        <v>411813</v>
      </c>
      <c r="B964" t="s">
        <v>35</v>
      </c>
      <c r="C964">
        <v>52114</v>
      </c>
      <c r="D964" t="s">
        <v>37</v>
      </c>
      <c r="E964" t="s">
        <v>22</v>
      </c>
      <c r="F964" s="27">
        <v>45750</v>
      </c>
      <c r="G964">
        <v>8</v>
      </c>
      <c r="H964">
        <v>8</v>
      </c>
      <c r="I964" t="s">
        <v>493</v>
      </c>
      <c r="J964" s="27">
        <v>45777</v>
      </c>
      <c r="L964" s="29">
        <v>431.03448295454547</v>
      </c>
      <c r="M964" s="29">
        <v>3448.2758636363637</v>
      </c>
      <c r="N964" s="15">
        <v>45748</v>
      </c>
    </row>
    <row r="965" spans="1:14" x14ac:dyDescent="0.25">
      <c r="A965">
        <v>400823</v>
      </c>
      <c r="B965" t="s">
        <v>35</v>
      </c>
      <c r="C965">
        <v>47537</v>
      </c>
      <c r="D965" t="s">
        <v>36</v>
      </c>
      <c r="E965" t="s">
        <v>22</v>
      </c>
      <c r="F965" s="27">
        <v>45750</v>
      </c>
      <c r="G965">
        <v>1.5</v>
      </c>
      <c r="H965">
        <v>1.5</v>
      </c>
      <c r="I965" t="s">
        <v>632</v>
      </c>
      <c r="J965" s="27">
        <v>45751</v>
      </c>
      <c r="L965" s="29">
        <v>1724.1379312500001</v>
      </c>
      <c r="M965" s="29">
        <v>2586.206896875</v>
      </c>
      <c r="N965" s="15">
        <v>45748</v>
      </c>
    </row>
    <row r="966" spans="1:14" x14ac:dyDescent="0.25">
      <c r="A966">
        <v>400825</v>
      </c>
      <c r="B966" t="s">
        <v>35</v>
      </c>
      <c r="C966">
        <v>47570</v>
      </c>
      <c r="D966" t="s">
        <v>36</v>
      </c>
      <c r="E966" t="s">
        <v>22</v>
      </c>
      <c r="F966" s="27">
        <v>45750</v>
      </c>
      <c r="G966">
        <v>1</v>
      </c>
      <c r="H966">
        <v>1</v>
      </c>
      <c r="I966" t="s">
        <v>633</v>
      </c>
      <c r="J966" s="27">
        <v>45751</v>
      </c>
      <c r="L966" s="29">
        <v>1724.1379312500001</v>
      </c>
      <c r="M966" s="29">
        <v>1724.1379312500001</v>
      </c>
      <c r="N966" s="15">
        <v>45748</v>
      </c>
    </row>
    <row r="967" spans="1:14" x14ac:dyDescent="0.25">
      <c r="A967">
        <v>415176</v>
      </c>
      <c r="B967" t="s">
        <v>35</v>
      </c>
      <c r="C967">
        <v>47569</v>
      </c>
      <c r="D967" t="s">
        <v>30</v>
      </c>
      <c r="E967" t="s">
        <v>22</v>
      </c>
      <c r="F967" s="27">
        <v>45750</v>
      </c>
      <c r="G967">
        <v>32</v>
      </c>
      <c r="H967">
        <v>32</v>
      </c>
      <c r="I967" t="s">
        <v>494</v>
      </c>
      <c r="J967" s="27">
        <v>45784</v>
      </c>
      <c r="L967" s="29">
        <v>574.71264374999998</v>
      </c>
      <c r="M967" s="29">
        <v>18390.804599999999</v>
      </c>
      <c r="N967" s="15">
        <v>45748</v>
      </c>
    </row>
    <row r="968" spans="1:14" x14ac:dyDescent="0.25">
      <c r="A968">
        <v>402401</v>
      </c>
      <c r="B968" t="s">
        <v>20</v>
      </c>
      <c r="C968">
        <v>52828</v>
      </c>
      <c r="D968" t="s">
        <v>21</v>
      </c>
      <c r="E968" t="s">
        <v>22</v>
      </c>
      <c r="F968" s="27">
        <v>45750</v>
      </c>
      <c r="G968">
        <v>5</v>
      </c>
      <c r="H968">
        <v>5</v>
      </c>
      <c r="I968" t="s">
        <v>634</v>
      </c>
      <c r="J968" s="27">
        <v>45756</v>
      </c>
      <c r="L968" s="29">
        <v>1616.3793102272728</v>
      </c>
      <c r="M968" s="29">
        <v>8081.896551136364</v>
      </c>
      <c r="N968" s="15">
        <v>45748</v>
      </c>
    </row>
    <row r="969" spans="1:14" x14ac:dyDescent="0.25">
      <c r="A969">
        <v>402402</v>
      </c>
      <c r="B969" t="s">
        <v>20</v>
      </c>
      <c r="C969">
        <v>50787</v>
      </c>
      <c r="D969" t="s">
        <v>21</v>
      </c>
      <c r="E969" t="s">
        <v>22</v>
      </c>
      <c r="F969" s="27">
        <v>45750</v>
      </c>
      <c r="G969">
        <v>1.5</v>
      </c>
      <c r="H969">
        <v>1.5</v>
      </c>
      <c r="I969" t="s">
        <v>635</v>
      </c>
      <c r="J969" s="27">
        <v>45756</v>
      </c>
      <c r="L969" s="29">
        <v>1616.3793102272728</v>
      </c>
      <c r="M969" s="29">
        <v>2424.568965340909</v>
      </c>
      <c r="N969" s="15">
        <v>45748</v>
      </c>
    </row>
    <row r="970" spans="1:14" x14ac:dyDescent="0.25">
      <c r="A970">
        <v>432101</v>
      </c>
      <c r="B970" t="s">
        <v>24</v>
      </c>
      <c r="C970">
        <v>54160</v>
      </c>
      <c r="D970" t="s">
        <v>39</v>
      </c>
      <c r="E970" t="s">
        <v>22</v>
      </c>
      <c r="F970" s="27">
        <v>45750</v>
      </c>
      <c r="G970">
        <v>8</v>
      </c>
      <c r="H970">
        <v>8</v>
      </c>
      <c r="I970" t="s">
        <v>628</v>
      </c>
      <c r="J970" s="27">
        <v>45835</v>
      </c>
      <c r="L970" s="29">
        <v>718.39080454545456</v>
      </c>
      <c r="M970" s="29">
        <v>5747.1264363636365</v>
      </c>
      <c r="N970" s="15">
        <v>45748</v>
      </c>
    </row>
    <row r="971" spans="1:14" x14ac:dyDescent="0.25">
      <c r="A971">
        <v>402932</v>
      </c>
      <c r="B971" t="s">
        <v>48</v>
      </c>
      <c r="C971">
        <v>53040</v>
      </c>
      <c r="D971" t="s">
        <v>36</v>
      </c>
      <c r="E971" t="s">
        <v>22</v>
      </c>
      <c r="F971" s="27">
        <v>45750</v>
      </c>
      <c r="G971">
        <v>3.05</v>
      </c>
      <c r="H971">
        <v>3.05</v>
      </c>
      <c r="I971" t="s">
        <v>418</v>
      </c>
      <c r="J971" s="27">
        <v>45757</v>
      </c>
      <c r="L971" s="29">
        <v>1724.1379312500001</v>
      </c>
      <c r="M971" s="29">
        <v>5258.6206903125003</v>
      </c>
      <c r="N971" s="15">
        <v>45748</v>
      </c>
    </row>
    <row r="972" spans="1:14" x14ac:dyDescent="0.25">
      <c r="A972">
        <v>403760</v>
      </c>
      <c r="B972" t="s">
        <v>35</v>
      </c>
      <c r="C972">
        <v>47572</v>
      </c>
      <c r="D972" t="s">
        <v>42</v>
      </c>
      <c r="E972" t="s">
        <v>22</v>
      </c>
      <c r="F972" s="27">
        <v>45749</v>
      </c>
      <c r="G972">
        <v>0.5</v>
      </c>
      <c r="H972">
        <v>0.5</v>
      </c>
      <c r="I972" t="s">
        <v>621</v>
      </c>
      <c r="J972" s="27">
        <v>45760</v>
      </c>
      <c r="L972" s="29">
        <v>1418</v>
      </c>
      <c r="M972" s="29">
        <v>709</v>
      </c>
      <c r="N972" s="15">
        <v>45748</v>
      </c>
    </row>
    <row r="973" spans="1:14" x14ac:dyDescent="0.25">
      <c r="A973">
        <v>403767</v>
      </c>
      <c r="B973" t="s">
        <v>35</v>
      </c>
      <c r="C973">
        <v>47614</v>
      </c>
      <c r="D973" t="s">
        <v>42</v>
      </c>
      <c r="E973" t="s">
        <v>22</v>
      </c>
      <c r="F973" s="27">
        <v>45749</v>
      </c>
      <c r="G973">
        <v>1</v>
      </c>
      <c r="H973">
        <v>1</v>
      </c>
      <c r="I973" t="s">
        <v>613</v>
      </c>
      <c r="J973" s="27">
        <v>45760</v>
      </c>
      <c r="L973" s="29">
        <v>1418</v>
      </c>
      <c r="M973" s="29">
        <v>1418</v>
      </c>
      <c r="N973" s="15">
        <v>45748</v>
      </c>
    </row>
    <row r="974" spans="1:14" x14ac:dyDescent="0.25">
      <c r="A974">
        <v>399711</v>
      </c>
      <c r="B974" t="s">
        <v>35</v>
      </c>
      <c r="C974">
        <v>47570</v>
      </c>
      <c r="D974" t="s">
        <v>36</v>
      </c>
      <c r="E974" t="s">
        <v>22</v>
      </c>
      <c r="F974" s="27">
        <v>45749</v>
      </c>
      <c r="G974">
        <v>2.75</v>
      </c>
      <c r="H974">
        <v>2.75</v>
      </c>
      <c r="I974" t="s">
        <v>310</v>
      </c>
      <c r="J974" s="27">
        <v>45749</v>
      </c>
      <c r="L974" s="29">
        <v>1724.1379312500001</v>
      </c>
      <c r="M974" s="29">
        <v>4741.3793109375001</v>
      </c>
      <c r="N974" s="15">
        <v>45748</v>
      </c>
    </row>
    <row r="975" spans="1:14" x14ac:dyDescent="0.25">
      <c r="A975">
        <v>399712</v>
      </c>
      <c r="B975" t="s">
        <v>35</v>
      </c>
      <c r="C975">
        <v>47537</v>
      </c>
      <c r="D975" t="s">
        <v>36</v>
      </c>
      <c r="E975" t="s">
        <v>22</v>
      </c>
      <c r="F975" s="27">
        <v>45749</v>
      </c>
      <c r="G975">
        <v>1</v>
      </c>
      <c r="H975">
        <v>1</v>
      </c>
      <c r="I975" t="s">
        <v>636</v>
      </c>
      <c r="J975" s="27">
        <v>45749</v>
      </c>
      <c r="L975" s="29">
        <v>1724.1379312500001</v>
      </c>
      <c r="M975" s="29">
        <v>1724.1379312500001</v>
      </c>
      <c r="N975" s="15">
        <v>45748</v>
      </c>
    </row>
    <row r="976" spans="1:14" x14ac:dyDescent="0.25">
      <c r="A976">
        <v>399713</v>
      </c>
      <c r="B976" t="s">
        <v>35</v>
      </c>
      <c r="C976">
        <v>47572</v>
      </c>
      <c r="D976" t="s">
        <v>36</v>
      </c>
      <c r="E976" t="s">
        <v>22</v>
      </c>
      <c r="F976" s="27">
        <v>45749</v>
      </c>
      <c r="G976">
        <v>1.25</v>
      </c>
      <c r="H976">
        <v>1.25</v>
      </c>
      <c r="I976" t="s">
        <v>637</v>
      </c>
      <c r="J976" s="27">
        <v>45749</v>
      </c>
      <c r="L976" s="29">
        <v>1724.1379312500001</v>
      </c>
      <c r="M976" s="29">
        <v>2155.1724140625001</v>
      </c>
      <c r="N976" s="15">
        <v>45748</v>
      </c>
    </row>
    <row r="977" spans="1:14" x14ac:dyDescent="0.25">
      <c r="A977">
        <v>399714</v>
      </c>
      <c r="B977" t="s">
        <v>35</v>
      </c>
      <c r="C977">
        <v>50244</v>
      </c>
      <c r="D977" t="s">
        <v>36</v>
      </c>
      <c r="E977" t="s">
        <v>22</v>
      </c>
      <c r="F977" s="27">
        <v>45749</v>
      </c>
      <c r="G977">
        <v>1</v>
      </c>
      <c r="H977">
        <v>1</v>
      </c>
      <c r="I977" t="s">
        <v>638</v>
      </c>
      <c r="J977" s="27">
        <v>45749</v>
      </c>
      <c r="L977" s="29">
        <v>1724.1379312500001</v>
      </c>
      <c r="M977" s="29">
        <v>1724.1379312500001</v>
      </c>
      <c r="N977" s="15">
        <v>45748</v>
      </c>
    </row>
    <row r="978" spans="1:14" x14ac:dyDescent="0.25">
      <c r="A978">
        <v>432262</v>
      </c>
      <c r="B978" t="s">
        <v>45</v>
      </c>
      <c r="C978">
        <v>52540</v>
      </c>
      <c r="D978" t="s">
        <v>26</v>
      </c>
      <c r="E978" t="s">
        <v>22</v>
      </c>
      <c r="F978" s="27">
        <v>45749</v>
      </c>
      <c r="G978">
        <v>154</v>
      </c>
      <c r="H978">
        <v>154</v>
      </c>
      <c r="I978" t="s">
        <v>486</v>
      </c>
      <c r="J978" s="27">
        <v>45836</v>
      </c>
      <c r="L978" s="29">
        <v>933.90804602272726</v>
      </c>
      <c r="M978" s="29">
        <v>143821.8390875</v>
      </c>
      <c r="N978" s="15">
        <v>45748</v>
      </c>
    </row>
    <row r="979" spans="1:14" x14ac:dyDescent="0.25">
      <c r="A979">
        <v>399763</v>
      </c>
      <c r="B979" t="s">
        <v>28</v>
      </c>
      <c r="C979">
        <v>51263</v>
      </c>
      <c r="D979" t="s">
        <v>27</v>
      </c>
      <c r="E979" t="s">
        <v>22</v>
      </c>
      <c r="F979" s="27">
        <v>45749</v>
      </c>
      <c r="G979">
        <v>10</v>
      </c>
      <c r="H979">
        <v>10</v>
      </c>
      <c r="I979" t="s">
        <v>639</v>
      </c>
      <c r="J979" s="27">
        <v>45749</v>
      </c>
      <c r="L979" s="29">
        <v>574.71264374999998</v>
      </c>
      <c r="M979" s="29">
        <v>5747.1264375000001</v>
      </c>
      <c r="N979" s="15">
        <v>45748</v>
      </c>
    </row>
    <row r="980" spans="1:14" x14ac:dyDescent="0.25">
      <c r="A980">
        <v>399764</v>
      </c>
      <c r="B980" t="s">
        <v>35</v>
      </c>
      <c r="C980">
        <v>47572</v>
      </c>
      <c r="D980" t="s">
        <v>46</v>
      </c>
      <c r="E980" t="s">
        <v>22</v>
      </c>
      <c r="F980" s="27">
        <v>45749</v>
      </c>
      <c r="G980">
        <v>1</v>
      </c>
      <c r="H980">
        <v>1</v>
      </c>
      <c r="I980" t="s">
        <v>331</v>
      </c>
      <c r="J980" s="27">
        <v>45749</v>
      </c>
      <c r="L980" s="29">
        <v>1077.5862068181818</v>
      </c>
      <c r="M980" s="29">
        <v>1077.5862068181818</v>
      </c>
      <c r="N980" s="15">
        <v>45748</v>
      </c>
    </row>
    <row r="981" spans="1:14" x14ac:dyDescent="0.25">
      <c r="A981">
        <v>399765</v>
      </c>
      <c r="B981" t="s">
        <v>35</v>
      </c>
      <c r="C981">
        <v>47569</v>
      </c>
      <c r="D981" t="s">
        <v>46</v>
      </c>
      <c r="E981" t="s">
        <v>22</v>
      </c>
      <c r="F981" s="27">
        <v>45749</v>
      </c>
      <c r="G981">
        <v>8</v>
      </c>
      <c r="H981">
        <v>8</v>
      </c>
      <c r="I981" t="s">
        <v>640</v>
      </c>
      <c r="J981" s="27">
        <v>45749</v>
      </c>
      <c r="L981" s="29">
        <v>1077.5862068181818</v>
      </c>
      <c r="M981" s="29">
        <v>8620.6896545454547</v>
      </c>
      <c r="N981" s="15">
        <v>45748</v>
      </c>
    </row>
    <row r="982" spans="1:14" x14ac:dyDescent="0.25">
      <c r="A982">
        <v>411812</v>
      </c>
      <c r="B982" t="s">
        <v>35</v>
      </c>
      <c r="C982">
        <v>52114</v>
      </c>
      <c r="D982" t="s">
        <v>37</v>
      </c>
      <c r="E982" t="s">
        <v>22</v>
      </c>
      <c r="F982" s="27">
        <v>45749</v>
      </c>
      <c r="G982">
        <v>8</v>
      </c>
      <c r="H982">
        <v>8</v>
      </c>
      <c r="I982" t="s">
        <v>493</v>
      </c>
      <c r="J982" s="27">
        <v>45777</v>
      </c>
      <c r="L982" s="29">
        <v>431.03448295454547</v>
      </c>
      <c r="M982" s="29">
        <v>3448.2758636363637</v>
      </c>
      <c r="N982" s="15">
        <v>45748</v>
      </c>
    </row>
    <row r="983" spans="1:14" x14ac:dyDescent="0.25">
      <c r="A983">
        <v>415175</v>
      </c>
      <c r="B983" t="s">
        <v>35</v>
      </c>
      <c r="C983">
        <v>47570</v>
      </c>
      <c r="D983" t="s">
        <v>30</v>
      </c>
      <c r="E983" t="s">
        <v>22</v>
      </c>
      <c r="F983" s="27">
        <v>45749</v>
      </c>
      <c r="G983">
        <v>8</v>
      </c>
      <c r="H983">
        <v>8</v>
      </c>
      <c r="I983" t="s">
        <v>494</v>
      </c>
      <c r="J983" s="27">
        <v>45784</v>
      </c>
      <c r="L983" s="29">
        <v>574.71264374999998</v>
      </c>
      <c r="M983" s="29">
        <v>4597.7011499999999</v>
      </c>
      <c r="N983" s="15">
        <v>45748</v>
      </c>
    </row>
    <row r="984" spans="1:14" x14ac:dyDescent="0.25">
      <c r="A984">
        <v>402400</v>
      </c>
      <c r="B984" t="s">
        <v>20</v>
      </c>
      <c r="C984">
        <v>52830</v>
      </c>
      <c r="D984" t="s">
        <v>21</v>
      </c>
      <c r="E984" t="s">
        <v>22</v>
      </c>
      <c r="F984" s="27">
        <v>45749</v>
      </c>
      <c r="G984">
        <v>3</v>
      </c>
      <c r="H984">
        <v>3</v>
      </c>
      <c r="I984" t="s">
        <v>397</v>
      </c>
      <c r="J984" s="27">
        <v>45756</v>
      </c>
      <c r="L984" s="29">
        <v>1616.3793102272728</v>
      </c>
      <c r="M984" s="29">
        <v>4849.137930681818</v>
      </c>
      <c r="N984" s="15">
        <v>45748</v>
      </c>
    </row>
    <row r="985" spans="1:14" x14ac:dyDescent="0.25">
      <c r="A985">
        <v>432100</v>
      </c>
      <c r="B985" t="s">
        <v>24</v>
      </c>
      <c r="C985">
        <v>54160</v>
      </c>
      <c r="D985" t="s">
        <v>39</v>
      </c>
      <c r="E985" t="s">
        <v>22</v>
      </c>
      <c r="F985" s="27">
        <v>45749</v>
      </c>
      <c r="G985">
        <v>8</v>
      </c>
      <c r="H985">
        <v>8</v>
      </c>
      <c r="I985" t="s">
        <v>628</v>
      </c>
      <c r="J985" s="27">
        <v>45835</v>
      </c>
      <c r="L985" s="29">
        <v>718.39080454545456</v>
      </c>
      <c r="M985" s="29">
        <v>5747.1264363636365</v>
      </c>
      <c r="N985" s="15">
        <v>45748</v>
      </c>
    </row>
    <row r="986" spans="1:14" x14ac:dyDescent="0.25">
      <c r="A986">
        <v>402931</v>
      </c>
      <c r="B986" t="s">
        <v>48</v>
      </c>
      <c r="C986">
        <v>53039</v>
      </c>
      <c r="D986" t="s">
        <v>36</v>
      </c>
      <c r="E986" t="s">
        <v>22</v>
      </c>
      <c r="F986" s="27">
        <v>45749</v>
      </c>
      <c r="G986">
        <v>2</v>
      </c>
      <c r="H986">
        <v>2</v>
      </c>
      <c r="I986" t="s">
        <v>641</v>
      </c>
      <c r="J986" s="27">
        <v>45757</v>
      </c>
      <c r="L986" s="29">
        <v>1724.1379312500001</v>
      </c>
      <c r="M986" s="29">
        <v>3448.2758625000001</v>
      </c>
      <c r="N986" s="15">
        <v>45748</v>
      </c>
    </row>
    <row r="987" spans="1:14" x14ac:dyDescent="0.25">
      <c r="A987">
        <v>398592</v>
      </c>
      <c r="B987" t="s">
        <v>29</v>
      </c>
      <c r="C987">
        <v>52508</v>
      </c>
      <c r="D987" t="s">
        <v>39</v>
      </c>
      <c r="E987" t="s">
        <v>22</v>
      </c>
      <c r="F987" s="27">
        <v>45748</v>
      </c>
      <c r="G987">
        <v>8</v>
      </c>
      <c r="H987">
        <v>8</v>
      </c>
      <c r="I987" t="s">
        <v>553</v>
      </c>
      <c r="J987" s="27">
        <v>45748</v>
      </c>
      <c r="L987" s="29">
        <v>718.39080454545456</v>
      </c>
      <c r="M987" s="29">
        <v>5747.1264363636365</v>
      </c>
      <c r="N987" s="15">
        <v>45748</v>
      </c>
    </row>
    <row r="988" spans="1:14" x14ac:dyDescent="0.25">
      <c r="A988">
        <v>413952</v>
      </c>
      <c r="B988" t="s">
        <v>18</v>
      </c>
      <c r="C988">
        <v>34</v>
      </c>
      <c r="D988" t="s">
        <v>43</v>
      </c>
      <c r="E988" t="s">
        <v>19</v>
      </c>
      <c r="F988" s="27">
        <v>45748</v>
      </c>
      <c r="G988">
        <v>32</v>
      </c>
      <c r="H988">
        <v>32</v>
      </c>
      <c r="I988" t="s">
        <v>642</v>
      </c>
      <c r="J988" s="27">
        <v>45782</v>
      </c>
      <c r="L988" s="29">
        <v>359.19540227272728</v>
      </c>
      <c r="M988" s="29">
        <v>11494.252872727273</v>
      </c>
      <c r="N988" s="15">
        <v>45748</v>
      </c>
    </row>
    <row r="989" spans="1:14" x14ac:dyDescent="0.25">
      <c r="A989">
        <v>398619</v>
      </c>
      <c r="B989" t="s">
        <v>952</v>
      </c>
      <c r="C989">
        <v>52500</v>
      </c>
      <c r="D989" t="s">
        <v>41</v>
      </c>
      <c r="E989" t="s">
        <v>22</v>
      </c>
      <c r="F989" s="27">
        <v>45748</v>
      </c>
      <c r="G989">
        <v>56</v>
      </c>
      <c r="H989">
        <v>56</v>
      </c>
      <c r="I989" t="s">
        <v>255</v>
      </c>
      <c r="J989" s="27">
        <v>45748</v>
      </c>
      <c r="L989" s="29">
        <v>1436.7816090909091</v>
      </c>
      <c r="M989" s="29">
        <v>80459.77010909091</v>
      </c>
      <c r="N989" s="15">
        <v>45748</v>
      </c>
    </row>
    <row r="990" spans="1:14" x14ac:dyDescent="0.25">
      <c r="A990">
        <v>403757</v>
      </c>
      <c r="B990" t="s">
        <v>35</v>
      </c>
      <c r="C990">
        <v>47614</v>
      </c>
      <c r="D990" t="s">
        <v>42</v>
      </c>
      <c r="E990" t="s">
        <v>22</v>
      </c>
      <c r="F990" s="27">
        <v>45748</v>
      </c>
      <c r="G990">
        <v>2</v>
      </c>
      <c r="H990">
        <v>2</v>
      </c>
      <c r="I990">
        <v>1573</v>
      </c>
      <c r="J990" s="27">
        <v>45760</v>
      </c>
      <c r="L990" s="29">
        <v>1418</v>
      </c>
      <c r="M990" s="29">
        <v>2836</v>
      </c>
      <c r="N990" s="15">
        <v>45748</v>
      </c>
    </row>
    <row r="991" spans="1:14" x14ac:dyDescent="0.25">
      <c r="A991">
        <v>403761</v>
      </c>
      <c r="B991" t="s">
        <v>35</v>
      </c>
      <c r="C991">
        <v>47572</v>
      </c>
      <c r="D991" t="s">
        <v>42</v>
      </c>
      <c r="E991" t="s">
        <v>22</v>
      </c>
      <c r="F991" s="27">
        <v>45748</v>
      </c>
      <c r="G991">
        <v>0.5</v>
      </c>
      <c r="H991">
        <v>0.5</v>
      </c>
      <c r="I991" t="s">
        <v>621</v>
      </c>
      <c r="J991" s="27">
        <v>45760</v>
      </c>
      <c r="L991" s="29">
        <v>1418</v>
      </c>
      <c r="M991" s="29">
        <v>709</v>
      </c>
      <c r="N991" s="15">
        <v>45748</v>
      </c>
    </row>
    <row r="992" spans="1:14" x14ac:dyDescent="0.25">
      <c r="A992">
        <v>399158</v>
      </c>
      <c r="B992" t="s">
        <v>35</v>
      </c>
      <c r="C992">
        <v>47572</v>
      </c>
      <c r="D992" t="s">
        <v>46</v>
      </c>
      <c r="E992" t="s">
        <v>22</v>
      </c>
      <c r="F992" s="27">
        <v>45748</v>
      </c>
      <c r="G992">
        <v>1</v>
      </c>
      <c r="H992">
        <v>1</v>
      </c>
      <c r="I992" t="s">
        <v>331</v>
      </c>
      <c r="J992" s="27">
        <v>45748</v>
      </c>
      <c r="L992" s="29">
        <v>1077.5862068181818</v>
      </c>
      <c r="M992" s="29">
        <v>1077.5862068181818</v>
      </c>
      <c r="N992" s="15">
        <v>45748</v>
      </c>
    </row>
    <row r="993" spans="1:14" x14ac:dyDescent="0.25">
      <c r="A993">
        <v>399159</v>
      </c>
      <c r="B993" t="s">
        <v>35</v>
      </c>
      <c r="C993">
        <v>47569</v>
      </c>
      <c r="D993" t="s">
        <v>46</v>
      </c>
      <c r="E993" t="s">
        <v>22</v>
      </c>
      <c r="F993" s="27">
        <v>45748</v>
      </c>
      <c r="G993">
        <v>7.5</v>
      </c>
      <c r="H993">
        <v>7.5</v>
      </c>
      <c r="I993" t="s">
        <v>640</v>
      </c>
      <c r="J993" s="27">
        <v>45748</v>
      </c>
      <c r="L993" s="29">
        <v>1077.5862068181818</v>
      </c>
      <c r="M993" s="29">
        <v>8081.896551136364</v>
      </c>
      <c r="N993" s="15">
        <v>45748</v>
      </c>
    </row>
    <row r="994" spans="1:14" x14ac:dyDescent="0.25">
      <c r="A994">
        <v>399176</v>
      </c>
      <c r="B994" t="s">
        <v>28</v>
      </c>
      <c r="C994">
        <v>51263</v>
      </c>
      <c r="D994" t="s">
        <v>27</v>
      </c>
      <c r="E994" t="s">
        <v>22</v>
      </c>
      <c r="F994" s="27">
        <v>45748</v>
      </c>
      <c r="G994">
        <v>8</v>
      </c>
      <c r="H994">
        <v>8</v>
      </c>
      <c r="I994" t="s">
        <v>643</v>
      </c>
      <c r="J994" s="27">
        <v>45748</v>
      </c>
      <c r="L994" s="29">
        <v>574.71264374999998</v>
      </c>
      <c r="M994" s="29">
        <v>4597.7011499999999</v>
      </c>
      <c r="N994" s="15">
        <v>45748</v>
      </c>
    </row>
    <row r="995" spans="1:14" x14ac:dyDescent="0.25">
      <c r="A995">
        <v>442457</v>
      </c>
      <c r="B995" t="s">
        <v>1011</v>
      </c>
      <c r="C995">
        <v>54696</v>
      </c>
      <c r="D995" t="s">
        <v>33</v>
      </c>
      <c r="E995" t="s">
        <v>22</v>
      </c>
      <c r="F995" s="27">
        <v>45748</v>
      </c>
      <c r="G995">
        <v>1</v>
      </c>
      <c r="H995">
        <v>1</v>
      </c>
      <c r="I995" t="s">
        <v>1072</v>
      </c>
      <c r="J995" s="27">
        <v>45862</v>
      </c>
      <c r="L995" s="29">
        <v>1436.7816090909091</v>
      </c>
      <c r="M995" s="29">
        <v>1436.7816090909091</v>
      </c>
      <c r="N995" s="15">
        <v>45748</v>
      </c>
    </row>
    <row r="996" spans="1:14" x14ac:dyDescent="0.25">
      <c r="A996">
        <v>399706</v>
      </c>
      <c r="B996" t="s">
        <v>35</v>
      </c>
      <c r="C996">
        <v>47570</v>
      </c>
      <c r="D996" t="s">
        <v>36</v>
      </c>
      <c r="E996" t="s">
        <v>22</v>
      </c>
      <c r="F996" s="27">
        <v>45748</v>
      </c>
      <c r="G996">
        <v>2</v>
      </c>
      <c r="H996">
        <v>2</v>
      </c>
      <c r="I996" t="s">
        <v>644</v>
      </c>
      <c r="J996" s="27">
        <v>45749</v>
      </c>
      <c r="L996" s="29">
        <v>1724.1379312500001</v>
      </c>
      <c r="M996" s="29">
        <v>3448.2758625000001</v>
      </c>
      <c r="N996" s="15">
        <v>45748</v>
      </c>
    </row>
    <row r="997" spans="1:14" x14ac:dyDescent="0.25">
      <c r="A997">
        <v>442458</v>
      </c>
      <c r="B997" t="s">
        <v>1011</v>
      </c>
      <c r="C997">
        <v>54696</v>
      </c>
      <c r="D997" t="s">
        <v>33</v>
      </c>
      <c r="E997" t="s">
        <v>22</v>
      </c>
      <c r="F997" s="27">
        <v>45748</v>
      </c>
      <c r="G997">
        <v>1</v>
      </c>
      <c r="H997">
        <v>1</v>
      </c>
      <c r="I997" t="s">
        <v>1073</v>
      </c>
      <c r="J997" s="27">
        <v>45862</v>
      </c>
      <c r="L997" s="29">
        <v>1436.7816090909091</v>
      </c>
      <c r="M997" s="29">
        <v>1436.7816090909091</v>
      </c>
      <c r="N997" s="15">
        <v>45748</v>
      </c>
    </row>
    <row r="998" spans="1:14" x14ac:dyDescent="0.25">
      <c r="A998">
        <v>399707</v>
      </c>
      <c r="B998" t="s">
        <v>35</v>
      </c>
      <c r="C998">
        <v>47569</v>
      </c>
      <c r="D998" t="s">
        <v>36</v>
      </c>
      <c r="E998" t="s">
        <v>22</v>
      </c>
      <c r="F998" s="27">
        <v>45748</v>
      </c>
      <c r="G998">
        <v>4</v>
      </c>
      <c r="H998">
        <v>4</v>
      </c>
      <c r="I998" t="s">
        <v>645</v>
      </c>
      <c r="J998" s="27">
        <v>45749</v>
      </c>
      <c r="L998" s="29">
        <v>1724.1379312500001</v>
      </c>
      <c r="M998" s="29">
        <v>6896.5517250000003</v>
      </c>
      <c r="N998" s="15">
        <v>45748</v>
      </c>
    </row>
    <row r="999" spans="1:14" x14ac:dyDescent="0.25">
      <c r="A999">
        <v>442459</v>
      </c>
      <c r="B999" t="s">
        <v>1011</v>
      </c>
      <c r="C999">
        <v>52593</v>
      </c>
      <c r="D999" t="s">
        <v>43</v>
      </c>
      <c r="E999" t="s">
        <v>22</v>
      </c>
      <c r="F999" s="27">
        <v>45748</v>
      </c>
      <c r="G999">
        <v>1</v>
      </c>
      <c r="H999">
        <v>1</v>
      </c>
      <c r="I999" t="s">
        <v>1074</v>
      </c>
      <c r="J999" s="27">
        <v>45862</v>
      </c>
      <c r="L999" s="29">
        <v>359.19540227272728</v>
      </c>
      <c r="M999" s="29">
        <v>359.19540227272728</v>
      </c>
      <c r="N999" s="15">
        <v>45748</v>
      </c>
    </row>
    <row r="1000" spans="1:14" x14ac:dyDescent="0.25">
      <c r="A1000">
        <v>442460</v>
      </c>
      <c r="B1000" t="s">
        <v>1011</v>
      </c>
      <c r="C1000">
        <v>52593</v>
      </c>
      <c r="D1000" t="s">
        <v>43</v>
      </c>
      <c r="E1000" t="s">
        <v>22</v>
      </c>
      <c r="F1000" s="27">
        <v>45748</v>
      </c>
      <c r="G1000">
        <v>1</v>
      </c>
      <c r="H1000">
        <v>1</v>
      </c>
      <c r="I1000" t="s">
        <v>1075</v>
      </c>
      <c r="J1000" s="27">
        <v>45862</v>
      </c>
      <c r="L1000" s="29">
        <v>359.19540227272728</v>
      </c>
      <c r="M1000" s="29">
        <v>359.19540227272728</v>
      </c>
      <c r="N1000" s="15">
        <v>45748</v>
      </c>
    </row>
    <row r="1001" spans="1:14" x14ac:dyDescent="0.25">
      <c r="A1001">
        <v>399709</v>
      </c>
      <c r="B1001" t="s">
        <v>35</v>
      </c>
      <c r="C1001">
        <v>47572</v>
      </c>
      <c r="D1001" t="s">
        <v>36</v>
      </c>
      <c r="E1001" t="s">
        <v>22</v>
      </c>
      <c r="F1001" s="27">
        <v>45748</v>
      </c>
      <c r="G1001">
        <v>1.5</v>
      </c>
      <c r="H1001">
        <v>1.5</v>
      </c>
      <c r="I1001" t="s">
        <v>637</v>
      </c>
      <c r="J1001" s="27">
        <v>45749</v>
      </c>
      <c r="L1001" s="29">
        <v>1724.1379312500001</v>
      </c>
      <c r="M1001" s="29">
        <v>2586.206896875</v>
      </c>
      <c r="N1001" s="15">
        <v>45748</v>
      </c>
    </row>
    <row r="1002" spans="1:14" x14ac:dyDescent="0.25">
      <c r="A1002">
        <v>406879</v>
      </c>
      <c r="B1002" t="s">
        <v>35</v>
      </c>
      <c r="C1002">
        <v>47537</v>
      </c>
      <c r="D1002" t="s">
        <v>25</v>
      </c>
      <c r="E1002" t="s">
        <v>22</v>
      </c>
      <c r="F1002" s="27">
        <v>45748</v>
      </c>
      <c r="G1002">
        <v>9</v>
      </c>
      <c r="H1002">
        <v>9</v>
      </c>
      <c r="I1002" t="s">
        <v>646</v>
      </c>
      <c r="J1002" s="27">
        <v>45768</v>
      </c>
      <c r="L1002" s="29">
        <v>1077.5862068181818</v>
      </c>
      <c r="M1002" s="29">
        <v>9698.2758613636361</v>
      </c>
      <c r="N1002" s="15">
        <v>45748</v>
      </c>
    </row>
    <row r="1003" spans="1:14" x14ac:dyDescent="0.25">
      <c r="A1003">
        <v>411811</v>
      </c>
      <c r="B1003" t="s">
        <v>35</v>
      </c>
      <c r="C1003">
        <v>52114</v>
      </c>
      <c r="D1003" t="s">
        <v>37</v>
      </c>
      <c r="E1003" t="s">
        <v>22</v>
      </c>
      <c r="F1003" s="27">
        <v>45748</v>
      </c>
      <c r="G1003">
        <v>8</v>
      </c>
      <c r="H1003">
        <v>8</v>
      </c>
      <c r="I1003" t="s">
        <v>493</v>
      </c>
      <c r="J1003" s="27">
        <v>45777</v>
      </c>
      <c r="L1003" s="29">
        <v>431.03448295454547</v>
      </c>
      <c r="M1003" s="29">
        <v>3448.2758636363637</v>
      </c>
      <c r="N1003" s="15">
        <v>45748</v>
      </c>
    </row>
    <row r="1004" spans="1:14" x14ac:dyDescent="0.25">
      <c r="A1004">
        <v>415173</v>
      </c>
      <c r="B1004" t="s">
        <v>35</v>
      </c>
      <c r="C1004">
        <v>47569</v>
      </c>
      <c r="D1004" t="s">
        <v>30</v>
      </c>
      <c r="E1004" t="s">
        <v>22</v>
      </c>
      <c r="F1004" s="27">
        <v>45748</v>
      </c>
      <c r="G1004">
        <v>8</v>
      </c>
      <c r="H1004">
        <v>8</v>
      </c>
      <c r="I1004" t="s">
        <v>494</v>
      </c>
      <c r="J1004" s="27">
        <v>45784</v>
      </c>
      <c r="L1004" s="29">
        <v>574.71264374999998</v>
      </c>
      <c r="M1004" s="29">
        <v>4597.7011499999999</v>
      </c>
      <c r="N1004" s="15">
        <v>45748</v>
      </c>
    </row>
    <row r="1005" spans="1:14" x14ac:dyDescent="0.25">
      <c r="A1005">
        <v>402399</v>
      </c>
      <c r="B1005" t="s">
        <v>20</v>
      </c>
      <c r="C1005">
        <v>52830</v>
      </c>
      <c r="D1005" t="s">
        <v>21</v>
      </c>
      <c r="E1005" t="s">
        <v>22</v>
      </c>
      <c r="F1005" s="27">
        <v>45748</v>
      </c>
      <c r="G1005">
        <v>6</v>
      </c>
      <c r="H1005">
        <v>6</v>
      </c>
      <c r="I1005" t="s">
        <v>397</v>
      </c>
      <c r="J1005" s="27">
        <v>45756</v>
      </c>
      <c r="L1005" s="29">
        <v>1616.3793102272728</v>
      </c>
      <c r="M1005" s="29">
        <v>9698.2758613636361</v>
      </c>
      <c r="N1005" s="15">
        <v>45748</v>
      </c>
    </row>
    <row r="1006" spans="1:14" x14ac:dyDescent="0.25">
      <c r="A1006">
        <v>400619</v>
      </c>
      <c r="B1006" t="s">
        <v>28</v>
      </c>
      <c r="C1006">
        <v>51251</v>
      </c>
      <c r="D1006" t="s">
        <v>33</v>
      </c>
      <c r="E1006" t="s">
        <v>22</v>
      </c>
      <c r="F1006" s="27">
        <v>45748</v>
      </c>
      <c r="G1006">
        <v>7</v>
      </c>
      <c r="H1006">
        <v>7</v>
      </c>
      <c r="I1006" t="s">
        <v>647</v>
      </c>
      <c r="J1006" s="27">
        <v>45751</v>
      </c>
      <c r="L1006" s="29">
        <v>1436.7816090909091</v>
      </c>
      <c r="M1006" s="29">
        <v>10057.471263636364</v>
      </c>
      <c r="N1006" s="15">
        <v>45748</v>
      </c>
    </row>
    <row r="1007" spans="1:14" x14ac:dyDescent="0.25">
      <c r="A1007">
        <v>400621</v>
      </c>
      <c r="B1007" t="s">
        <v>35</v>
      </c>
      <c r="C1007">
        <v>47570</v>
      </c>
      <c r="D1007" t="s">
        <v>33</v>
      </c>
      <c r="E1007" t="s">
        <v>22</v>
      </c>
      <c r="F1007" s="27">
        <v>45748</v>
      </c>
      <c r="G1007">
        <v>26.5</v>
      </c>
      <c r="H1007">
        <v>26.5</v>
      </c>
      <c r="I1007" t="s">
        <v>648</v>
      </c>
      <c r="J1007" s="27">
        <v>45751</v>
      </c>
      <c r="L1007" s="29">
        <v>1436.7816090909091</v>
      </c>
      <c r="M1007" s="29">
        <v>38074.712640909092</v>
      </c>
      <c r="N1007" s="15">
        <v>45748</v>
      </c>
    </row>
    <row r="1008" spans="1:14" x14ac:dyDescent="0.25">
      <c r="A1008">
        <v>402930</v>
      </c>
      <c r="B1008" t="s">
        <v>48</v>
      </c>
      <c r="C1008">
        <v>53039</v>
      </c>
      <c r="D1008" t="s">
        <v>36</v>
      </c>
      <c r="E1008" t="s">
        <v>22</v>
      </c>
      <c r="F1008" s="27">
        <v>45748</v>
      </c>
      <c r="G1008">
        <v>22</v>
      </c>
      <c r="H1008">
        <v>22</v>
      </c>
      <c r="I1008" t="s">
        <v>641</v>
      </c>
      <c r="J1008" s="27">
        <v>45757</v>
      </c>
      <c r="L1008" s="29">
        <v>1724.1379312500001</v>
      </c>
      <c r="M1008" s="29">
        <v>37931.034487500001</v>
      </c>
      <c r="N1008" s="15">
        <v>45748</v>
      </c>
    </row>
    <row r="1009" spans="1:14" x14ac:dyDescent="0.25">
      <c r="A1009">
        <v>398598</v>
      </c>
      <c r="B1009" t="s">
        <v>952</v>
      </c>
      <c r="C1009">
        <v>52454</v>
      </c>
      <c r="D1009" t="s">
        <v>41</v>
      </c>
      <c r="E1009" t="s">
        <v>22</v>
      </c>
      <c r="F1009" s="27">
        <v>45747</v>
      </c>
      <c r="G1009">
        <v>37</v>
      </c>
      <c r="H1009">
        <v>37</v>
      </c>
      <c r="I1009" t="s">
        <v>1002</v>
      </c>
      <c r="J1009" s="27">
        <v>45748</v>
      </c>
      <c r="L1009" s="29">
        <v>1505.1997809523809</v>
      </c>
      <c r="M1009" s="29">
        <v>55692.391895238092</v>
      </c>
      <c r="N1009" s="15">
        <v>45717</v>
      </c>
    </row>
    <row r="1010" spans="1:14" x14ac:dyDescent="0.25">
      <c r="A1010">
        <v>401451</v>
      </c>
      <c r="B1010" t="s">
        <v>35</v>
      </c>
      <c r="C1010">
        <v>47569</v>
      </c>
      <c r="D1010" t="s">
        <v>21</v>
      </c>
      <c r="E1010" t="s">
        <v>22</v>
      </c>
      <c r="F1010" s="27">
        <v>45747</v>
      </c>
      <c r="G1010">
        <v>6</v>
      </c>
      <c r="H1010">
        <v>6</v>
      </c>
      <c r="I1010" t="s">
        <v>649</v>
      </c>
      <c r="J1010" s="27">
        <v>45754</v>
      </c>
      <c r="L1010" s="29">
        <v>1693.3497535714287</v>
      </c>
      <c r="M1010" s="29">
        <v>10160.098521428572</v>
      </c>
      <c r="N1010" s="15">
        <v>45717</v>
      </c>
    </row>
    <row r="1011" spans="1:14" x14ac:dyDescent="0.25">
      <c r="A1011">
        <v>401452</v>
      </c>
      <c r="B1011" t="s">
        <v>35</v>
      </c>
      <c r="C1011">
        <v>47591</v>
      </c>
      <c r="D1011" t="s">
        <v>21</v>
      </c>
      <c r="E1011" t="s">
        <v>22</v>
      </c>
      <c r="F1011" s="27">
        <v>45747</v>
      </c>
      <c r="G1011">
        <v>2</v>
      </c>
      <c r="H1011">
        <v>2</v>
      </c>
      <c r="I1011" t="s">
        <v>650</v>
      </c>
      <c r="J1011" s="27">
        <v>45754</v>
      </c>
      <c r="L1011" s="29">
        <v>1693.3497535714287</v>
      </c>
      <c r="M1011" s="29">
        <v>3386.6995071428573</v>
      </c>
      <c r="N1011" s="15">
        <v>45717</v>
      </c>
    </row>
    <row r="1012" spans="1:14" x14ac:dyDescent="0.25">
      <c r="A1012">
        <v>442462</v>
      </c>
      <c r="B1012" t="s">
        <v>1011</v>
      </c>
      <c r="C1012">
        <v>52593</v>
      </c>
      <c r="D1012" t="s">
        <v>43</v>
      </c>
      <c r="E1012" t="s">
        <v>22</v>
      </c>
      <c r="F1012" s="27">
        <v>45747</v>
      </c>
      <c r="G1012">
        <v>8</v>
      </c>
      <c r="H1012">
        <v>8</v>
      </c>
      <c r="I1012" t="s">
        <v>1076</v>
      </c>
      <c r="J1012" s="27">
        <v>45862</v>
      </c>
      <c r="L1012" s="29">
        <v>376.29994523809523</v>
      </c>
      <c r="M1012" s="29">
        <v>3010.3995619047619</v>
      </c>
      <c r="N1012" s="15">
        <v>45717</v>
      </c>
    </row>
    <row r="1013" spans="1:14" x14ac:dyDescent="0.25">
      <c r="A1013">
        <v>442232</v>
      </c>
      <c r="B1013" t="s">
        <v>47</v>
      </c>
      <c r="C1013">
        <v>53726</v>
      </c>
      <c r="D1013" t="s">
        <v>49</v>
      </c>
      <c r="E1013" t="s">
        <v>22</v>
      </c>
      <c r="F1013" s="27">
        <v>45747</v>
      </c>
      <c r="G1013">
        <v>72</v>
      </c>
      <c r="H1013">
        <v>72</v>
      </c>
      <c r="I1013" t="s">
        <v>255</v>
      </c>
      <c r="J1013" s="27">
        <v>45862</v>
      </c>
      <c r="L1013" s="29">
        <v>1128.8998357142857</v>
      </c>
      <c r="M1013" s="29">
        <v>81280.788171428576</v>
      </c>
      <c r="N1013" s="15">
        <v>45717</v>
      </c>
    </row>
    <row r="1014" spans="1:14" x14ac:dyDescent="0.25">
      <c r="A1014">
        <v>397448</v>
      </c>
      <c r="B1014" t="s">
        <v>29</v>
      </c>
      <c r="C1014">
        <v>52508</v>
      </c>
      <c r="D1014" t="s">
        <v>44</v>
      </c>
      <c r="E1014" t="s">
        <v>22</v>
      </c>
      <c r="F1014" s="27">
        <v>45747</v>
      </c>
      <c r="G1014">
        <v>3</v>
      </c>
      <c r="H1014">
        <v>3</v>
      </c>
      <c r="I1014" t="s">
        <v>651</v>
      </c>
      <c r="J1014" s="27">
        <v>45747</v>
      </c>
      <c r="L1014" s="29">
        <v>2107.2796934523808</v>
      </c>
      <c r="M1014" s="29">
        <v>6321.8390803571419</v>
      </c>
      <c r="N1014" s="15">
        <v>45717</v>
      </c>
    </row>
    <row r="1015" spans="1:14" x14ac:dyDescent="0.25">
      <c r="A1015">
        <v>432270</v>
      </c>
      <c r="B1015" t="s">
        <v>18</v>
      </c>
      <c r="C1015">
        <v>29</v>
      </c>
      <c r="D1015" t="s">
        <v>37</v>
      </c>
      <c r="E1015" t="s">
        <v>19</v>
      </c>
      <c r="F1015" s="27">
        <v>45747</v>
      </c>
      <c r="G1015">
        <v>80</v>
      </c>
      <c r="H1015">
        <v>80</v>
      </c>
      <c r="I1015" t="s">
        <v>255</v>
      </c>
      <c r="J1015" s="27">
        <v>45836</v>
      </c>
      <c r="L1015" s="29">
        <v>451.55993452380955</v>
      </c>
      <c r="M1015" s="29">
        <v>36124.794761904763</v>
      </c>
      <c r="N1015" s="15">
        <v>45717</v>
      </c>
    </row>
    <row r="1016" spans="1:14" x14ac:dyDescent="0.25">
      <c r="A1016">
        <v>432292</v>
      </c>
      <c r="B1016" t="s">
        <v>18</v>
      </c>
      <c r="C1016">
        <v>29</v>
      </c>
      <c r="D1016" t="s">
        <v>21</v>
      </c>
      <c r="E1016" t="s">
        <v>19</v>
      </c>
      <c r="F1016" s="27">
        <v>45747</v>
      </c>
      <c r="G1016">
        <v>40</v>
      </c>
      <c r="H1016">
        <v>40</v>
      </c>
      <c r="I1016" t="s">
        <v>255</v>
      </c>
      <c r="J1016" s="27">
        <v>45836</v>
      </c>
      <c r="L1016" s="29">
        <v>1693.3497535714287</v>
      </c>
      <c r="M1016" s="29">
        <v>67733.990142857147</v>
      </c>
      <c r="N1016" s="15">
        <v>45717</v>
      </c>
    </row>
    <row r="1017" spans="1:14" x14ac:dyDescent="0.25">
      <c r="A1017">
        <v>432300</v>
      </c>
      <c r="B1017" t="s">
        <v>35</v>
      </c>
      <c r="C1017">
        <v>47569</v>
      </c>
      <c r="D1017" t="s">
        <v>257</v>
      </c>
      <c r="E1017" t="s">
        <v>22</v>
      </c>
      <c r="F1017" s="27">
        <v>45747</v>
      </c>
      <c r="G1017">
        <v>29</v>
      </c>
      <c r="H1017">
        <v>29</v>
      </c>
      <c r="I1017" t="s">
        <v>294</v>
      </c>
      <c r="J1017" s="27">
        <v>45836</v>
      </c>
      <c r="L1017" s="29">
        <v>1354.6798029761903</v>
      </c>
      <c r="M1017" s="29">
        <v>39285.714286309521</v>
      </c>
      <c r="N1017" s="15">
        <v>45717</v>
      </c>
    </row>
    <row r="1018" spans="1:14" x14ac:dyDescent="0.25">
      <c r="A1018">
        <v>398275</v>
      </c>
      <c r="B1018" t="s">
        <v>35</v>
      </c>
      <c r="C1018">
        <v>47614</v>
      </c>
      <c r="D1018" t="s">
        <v>42</v>
      </c>
      <c r="E1018" t="s">
        <v>22</v>
      </c>
      <c r="F1018" s="27">
        <v>45747</v>
      </c>
      <c r="G1018">
        <v>2</v>
      </c>
      <c r="H1018">
        <v>2</v>
      </c>
      <c r="I1018">
        <v>1719</v>
      </c>
      <c r="J1018" s="27">
        <v>45747</v>
      </c>
      <c r="L1018" s="29">
        <v>1418</v>
      </c>
      <c r="M1018" s="29">
        <v>2836</v>
      </c>
      <c r="N1018" s="15">
        <v>45717</v>
      </c>
    </row>
    <row r="1019" spans="1:14" x14ac:dyDescent="0.25">
      <c r="A1019">
        <v>398276</v>
      </c>
      <c r="B1019" t="s">
        <v>35</v>
      </c>
      <c r="C1019">
        <v>47614</v>
      </c>
      <c r="D1019" t="s">
        <v>42</v>
      </c>
      <c r="E1019" t="s">
        <v>22</v>
      </c>
      <c r="F1019" s="27">
        <v>45747</v>
      </c>
      <c r="G1019">
        <v>4</v>
      </c>
      <c r="H1019">
        <v>4</v>
      </c>
      <c r="I1019">
        <v>1735</v>
      </c>
      <c r="J1019" s="27">
        <v>45747</v>
      </c>
      <c r="L1019" s="29">
        <v>1418</v>
      </c>
      <c r="M1019" s="29">
        <v>5672</v>
      </c>
      <c r="N1019" s="15">
        <v>45717</v>
      </c>
    </row>
    <row r="1020" spans="1:14" x14ac:dyDescent="0.25">
      <c r="A1020">
        <v>398057</v>
      </c>
      <c r="B1020" t="s">
        <v>28</v>
      </c>
      <c r="C1020">
        <v>51263</v>
      </c>
      <c r="D1020" t="s">
        <v>27</v>
      </c>
      <c r="E1020" t="s">
        <v>22</v>
      </c>
      <c r="F1020" s="27">
        <v>45747</v>
      </c>
      <c r="G1020">
        <v>8</v>
      </c>
      <c r="H1020">
        <v>8</v>
      </c>
      <c r="I1020" t="s">
        <v>652</v>
      </c>
      <c r="J1020" s="27">
        <v>45747</v>
      </c>
      <c r="L1020" s="29">
        <v>602.07991249999998</v>
      </c>
      <c r="M1020" s="29">
        <v>4816.6392999999998</v>
      </c>
      <c r="N1020" s="15">
        <v>45717</v>
      </c>
    </row>
    <row r="1021" spans="1:14" x14ac:dyDescent="0.25">
      <c r="A1021">
        <v>432116</v>
      </c>
      <c r="B1021" t="s">
        <v>60</v>
      </c>
      <c r="C1021">
        <v>55514</v>
      </c>
      <c r="D1021" t="s">
        <v>39</v>
      </c>
      <c r="E1021" t="s">
        <v>22</v>
      </c>
      <c r="F1021" s="27">
        <v>45747</v>
      </c>
      <c r="G1021">
        <v>144</v>
      </c>
      <c r="H1021">
        <v>144</v>
      </c>
      <c r="I1021" t="s">
        <v>653</v>
      </c>
      <c r="J1021" s="27">
        <v>45835</v>
      </c>
      <c r="L1021" s="29">
        <v>752.59989047619047</v>
      </c>
      <c r="M1021" s="29">
        <v>108374.38422857143</v>
      </c>
      <c r="N1021" s="15">
        <v>45717</v>
      </c>
    </row>
    <row r="1022" spans="1:14" x14ac:dyDescent="0.25">
      <c r="A1022">
        <v>398073</v>
      </c>
      <c r="B1022" t="s">
        <v>35</v>
      </c>
      <c r="C1022">
        <v>47572</v>
      </c>
      <c r="D1022" t="s">
        <v>46</v>
      </c>
      <c r="E1022" t="s">
        <v>22</v>
      </c>
      <c r="F1022" s="27">
        <v>45747</v>
      </c>
      <c r="G1022">
        <v>1</v>
      </c>
      <c r="H1022">
        <v>1</v>
      </c>
      <c r="I1022" t="s">
        <v>331</v>
      </c>
      <c r="J1022" s="27">
        <v>45747</v>
      </c>
      <c r="L1022" s="29">
        <v>1128.8998357142857</v>
      </c>
      <c r="M1022" s="29">
        <v>1128.8998357142857</v>
      </c>
      <c r="N1022" s="15">
        <v>45717</v>
      </c>
    </row>
    <row r="1023" spans="1:14" x14ac:dyDescent="0.25">
      <c r="A1023">
        <v>398074</v>
      </c>
      <c r="B1023" t="s">
        <v>35</v>
      </c>
      <c r="C1023">
        <v>47569</v>
      </c>
      <c r="D1023" t="s">
        <v>46</v>
      </c>
      <c r="E1023" t="s">
        <v>22</v>
      </c>
      <c r="F1023" s="27">
        <v>45747</v>
      </c>
      <c r="G1023">
        <v>7.5</v>
      </c>
      <c r="H1023">
        <v>7.5</v>
      </c>
      <c r="I1023" t="s">
        <v>640</v>
      </c>
      <c r="J1023" s="27">
        <v>45747</v>
      </c>
      <c r="L1023" s="29">
        <v>1128.8998357142857</v>
      </c>
      <c r="M1023" s="29">
        <v>8466.7487678571433</v>
      </c>
      <c r="N1023" s="15">
        <v>45717</v>
      </c>
    </row>
    <row r="1024" spans="1:14" x14ac:dyDescent="0.25">
      <c r="A1024">
        <v>398586</v>
      </c>
      <c r="B1024" t="s">
        <v>953</v>
      </c>
      <c r="C1024">
        <v>30334</v>
      </c>
      <c r="D1024" t="s">
        <v>41</v>
      </c>
      <c r="E1024" t="s">
        <v>22</v>
      </c>
      <c r="F1024" s="27">
        <v>45747</v>
      </c>
      <c r="G1024">
        <v>36</v>
      </c>
      <c r="H1024">
        <v>36</v>
      </c>
      <c r="I1024" t="s">
        <v>1003</v>
      </c>
      <c r="J1024" s="27">
        <v>45748</v>
      </c>
      <c r="L1024" s="29">
        <v>1505.1997809523809</v>
      </c>
      <c r="M1024" s="29">
        <v>54187.192114285717</v>
      </c>
      <c r="N1024" s="15">
        <v>45717</v>
      </c>
    </row>
    <row r="1025" spans="1:14" x14ac:dyDescent="0.25">
      <c r="A1025">
        <v>432125</v>
      </c>
      <c r="B1025" t="s">
        <v>60</v>
      </c>
      <c r="C1025">
        <v>55514</v>
      </c>
      <c r="D1025" t="s">
        <v>33</v>
      </c>
      <c r="E1025" t="s">
        <v>22</v>
      </c>
      <c r="F1025" s="27">
        <v>45747</v>
      </c>
      <c r="G1025">
        <v>17</v>
      </c>
      <c r="H1025">
        <v>17</v>
      </c>
      <c r="I1025" t="s">
        <v>654</v>
      </c>
      <c r="J1025" s="27">
        <v>45835</v>
      </c>
      <c r="L1025" s="29">
        <v>1505.1997809523809</v>
      </c>
      <c r="M1025" s="29">
        <v>25588.396276190477</v>
      </c>
      <c r="N1025" s="15">
        <v>45717</v>
      </c>
    </row>
    <row r="1026" spans="1:14" x14ac:dyDescent="0.25">
      <c r="A1026">
        <v>398591</v>
      </c>
      <c r="B1026" t="s">
        <v>29</v>
      </c>
      <c r="C1026">
        <v>52508</v>
      </c>
      <c r="D1026" t="s">
        <v>39</v>
      </c>
      <c r="E1026" t="s">
        <v>22</v>
      </c>
      <c r="F1026" s="27">
        <v>45747</v>
      </c>
      <c r="G1026">
        <v>8</v>
      </c>
      <c r="H1026">
        <v>8</v>
      </c>
      <c r="I1026" t="s">
        <v>553</v>
      </c>
      <c r="J1026" s="27">
        <v>45748</v>
      </c>
      <c r="L1026" s="29">
        <v>752.59989047619047</v>
      </c>
      <c r="M1026" s="29">
        <v>6020.7991238095237</v>
      </c>
      <c r="N1026" s="15">
        <v>45717</v>
      </c>
    </row>
    <row r="1027" spans="1:14" x14ac:dyDescent="0.25">
      <c r="A1027">
        <v>398224</v>
      </c>
      <c r="B1027" t="s">
        <v>35</v>
      </c>
      <c r="C1027">
        <v>47614</v>
      </c>
      <c r="D1027" t="s">
        <v>42</v>
      </c>
      <c r="E1027" t="s">
        <v>22</v>
      </c>
      <c r="F1027" s="27">
        <v>45746</v>
      </c>
      <c r="G1027">
        <v>9</v>
      </c>
      <c r="H1027">
        <v>9</v>
      </c>
      <c r="I1027">
        <v>1567</v>
      </c>
      <c r="J1027" s="27">
        <v>45747</v>
      </c>
      <c r="L1027" s="29">
        <v>1418</v>
      </c>
      <c r="M1027" s="29">
        <v>12762</v>
      </c>
      <c r="N1027" s="15">
        <v>45717</v>
      </c>
    </row>
    <row r="1028" spans="1:14" x14ac:dyDescent="0.25">
      <c r="A1028">
        <v>398222</v>
      </c>
      <c r="B1028" t="s">
        <v>35</v>
      </c>
      <c r="C1028">
        <v>47614</v>
      </c>
      <c r="D1028" t="s">
        <v>42</v>
      </c>
      <c r="E1028" t="s">
        <v>22</v>
      </c>
      <c r="F1028" s="27">
        <v>45745</v>
      </c>
      <c r="G1028">
        <v>8</v>
      </c>
      <c r="H1028">
        <v>8</v>
      </c>
      <c r="I1028">
        <v>1568</v>
      </c>
      <c r="J1028" s="27">
        <v>45747</v>
      </c>
      <c r="L1028" s="29">
        <v>1418</v>
      </c>
      <c r="M1028" s="29">
        <v>11344</v>
      </c>
      <c r="N1028" s="15">
        <v>45717</v>
      </c>
    </row>
    <row r="1029" spans="1:14" x14ac:dyDescent="0.25">
      <c r="A1029">
        <v>401448</v>
      </c>
      <c r="B1029" t="s">
        <v>35</v>
      </c>
      <c r="C1029">
        <v>47570</v>
      </c>
      <c r="D1029" t="s">
        <v>21</v>
      </c>
      <c r="E1029" t="s">
        <v>22</v>
      </c>
      <c r="F1029" s="27">
        <v>45744</v>
      </c>
      <c r="G1029">
        <v>3</v>
      </c>
      <c r="H1029">
        <v>3</v>
      </c>
      <c r="I1029" t="s">
        <v>655</v>
      </c>
      <c r="J1029" s="27">
        <v>45754</v>
      </c>
      <c r="L1029" s="29">
        <v>1693.3497535714287</v>
      </c>
      <c r="M1029" s="29">
        <v>5080.049260714286</v>
      </c>
      <c r="N1029" s="15">
        <v>45717</v>
      </c>
    </row>
    <row r="1030" spans="1:14" x14ac:dyDescent="0.25">
      <c r="A1030">
        <v>401449</v>
      </c>
      <c r="B1030" t="s">
        <v>35</v>
      </c>
      <c r="C1030">
        <v>47537</v>
      </c>
      <c r="D1030" t="s">
        <v>21</v>
      </c>
      <c r="E1030" t="s">
        <v>22</v>
      </c>
      <c r="F1030" s="27">
        <v>45744</v>
      </c>
      <c r="G1030">
        <v>1</v>
      </c>
      <c r="H1030">
        <v>1</v>
      </c>
      <c r="I1030" t="s">
        <v>656</v>
      </c>
      <c r="J1030" s="27">
        <v>45754</v>
      </c>
      <c r="L1030" s="29">
        <v>1693.3497535714287</v>
      </c>
      <c r="M1030" s="29">
        <v>1693.3497535714287</v>
      </c>
      <c r="N1030" s="15">
        <v>45717</v>
      </c>
    </row>
    <row r="1031" spans="1:14" x14ac:dyDescent="0.25">
      <c r="A1031">
        <v>401450</v>
      </c>
      <c r="B1031" t="s">
        <v>20</v>
      </c>
      <c r="C1031">
        <v>52830</v>
      </c>
      <c r="D1031" t="s">
        <v>21</v>
      </c>
      <c r="E1031" t="s">
        <v>22</v>
      </c>
      <c r="F1031" s="27">
        <v>45744</v>
      </c>
      <c r="G1031">
        <v>5</v>
      </c>
      <c r="H1031">
        <v>5</v>
      </c>
      <c r="I1031" t="s">
        <v>657</v>
      </c>
      <c r="J1031" s="27">
        <v>45754</v>
      </c>
      <c r="L1031" s="29">
        <v>1693.3497535714287</v>
      </c>
      <c r="M1031" s="29">
        <v>8466.7487678571433</v>
      </c>
      <c r="N1031" s="15">
        <v>45717</v>
      </c>
    </row>
    <row r="1032" spans="1:14" x14ac:dyDescent="0.25">
      <c r="A1032">
        <v>398162</v>
      </c>
      <c r="B1032" t="s">
        <v>35</v>
      </c>
      <c r="C1032">
        <v>47614</v>
      </c>
      <c r="D1032" t="s">
        <v>42</v>
      </c>
      <c r="E1032" t="s">
        <v>22</v>
      </c>
      <c r="F1032" s="27">
        <v>45744</v>
      </c>
      <c r="G1032">
        <v>0.5</v>
      </c>
      <c r="H1032">
        <v>0.5</v>
      </c>
      <c r="I1032">
        <v>1567</v>
      </c>
      <c r="J1032" s="27">
        <v>45747</v>
      </c>
      <c r="L1032" s="29">
        <v>1418</v>
      </c>
      <c r="M1032" s="29">
        <v>709</v>
      </c>
      <c r="N1032" s="15">
        <v>45717</v>
      </c>
    </row>
    <row r="1033" spans="1:14" x14ac:dyDescent="0.25">
      <c r="A1033">
        <v>442463</v>
      </c>
      <c r="B1033" t="s">
        <v>1011</v>
      </c>
      <c r="C1033">
        <v>52593</v>
      </c>
      <c r="D1033" t="s">
        <v>43</v>
      </c>
      <c r="E1033" t="s">
        <v>22</v>
      </c>
      <c r="F1033" s="27">
        <v>45744</v>
      </c>
      <c r="G1033">
        <v>8</v>
      </c>
      <c r="H1033">
        <v>8</v>
      </c>
      <c r="I1033" t="s">
        <v>1077</v>
      </c>
      <c r="J1033" s="27">
        <v>45862</v>
      </c>
      <c r="L1033" s="29">
        <v>376.29994523809523</v>
      </c>
      <c r="M1033" s="29">
        <v>3010.3995619047619</v>
      </c>
      <c r="N1033" s="15">
        <v>45717</v>
      </c>
    </row>
    <row r="1034" spans="1:14" x14ac:dyDescent="0.25">
      <c r="A1034">
        <v>396654</v>
      </c>
      <c r="B1034" t="s">
        <v>35</v>
      </c>
      <c r="C1034">
        <v>47572</v>
      </c>
      <c r="D1034" t="s">
        <v>46</v>
      </c>
      <c r="E1034" t="s">
        <v>22</v>
      </c>
      <c r="F1034" s="27">
        <v>45744</v>
      </c>
      <c r="G1034">
        <v>1</v>
      </c>
      <c r="H1034">
        <v>1</v>
      </c>
      <c r="I1034" t="s">
        <v>331</v>
      </c>
      <c r="J1034" s="27">
        <v>45744</v>
      </c>
      <c r="L1034" s="29">
        <v>1128.8998357142857</v>
      </c>
      <c r="M1034" s="29">
        <v>1128.8998357142857</v>
      </c>
      <c r="N1034" s="15">
        <v>45717</v>
      </c>
    </row>
    <row r="1035" spans="1:14" x14ac:dyDescent="0.25">
      <c r="A1035">
        <v>396655</v>
      </c>
      <c r="B1035" t="s">
        <v>35</v>
      </c>
      <c r="C1035">
        <v>47569</v>
      </c>
      <c r="D1035" t="s">
        <v>46</v>
      </c>
      <c r="E1035" t="s">
        <v>22</v>
      </c>
      <c r="F1035" s="27">
        <v>45744</v>
      </c>
      <c r="G1035">
        <v>7</v>
      </c>
      <c r="H1035">
        <v>7</v>
      </c>
      <c r="I1035" t="s">
        <v>640</v>
      </c>
      <c r="J1035" s="27">
        <v>45744</v>
      </c>
      <c r="L1035" s="29">
        <v>1128.8998357142857</v>
      </c>
      <c r="M1035" s="29">
        <v>7902.2988500000001</v>
      </c>
      <c r="N1035" s="15">
        <v>45717</v>
      </c>
    </row>
    <row r="1036" spans="1:14" x14ac:dyDescent="0.25">
      <c r="A1036">
        <v>398191</v>
      </c>
      <c r="B1036" t="s">
        <v>35</v>
      </c>
      <c r="C1036">
        <v>47614</v>
      </c>
      <c r="D1036" t="s">
        <v>42</v>
      </c>
      <c r="E1036" t="s">
        <v>22</v>
      </c>
      <c r="F1036" s="27">
        <v>45744</v>
      </c>
      <c r="G1036">
        <v>1.5</v>
      </c>
      <c r="H1036">
        <v>1.5</v>
      </c>
      <c r="I1036" t="s">
        <v>658</v>
      </c>
      <c r="J1036" s="27">
        <v>45747</v>
      </c>
      <c r="L1036" s="29">
        <v>1418</v>
      </c>
      <c r="M1036" s="29">
        <v>2127</v>
      </c>
      <c r="N1036" s="15">
        <v>45717</v>
      </c>
    </row>
    <row r="1037" spans="1:14" x14ac:dyDescent="0.25">
      <c r="A1037">
        <v>397441</v>
      </c>
      <c r="B1037" t="s">
        <v>35</v>
      </c>
      <c r="C1037">
        <v>47615</v>
      </c>
      <c r="D1037" t="s">
        <v>25</v>
      </c>
      <c r="E1037" t="s">
        <v>22</v>
      </c>
      <c r="F1037" s="27">
        <v>45744</v>
      </c>
      <c r="G1037">
        <v>1.5</v>
      </c>
      <c r="H1037">
        <v>1.5</v>
      </c>
      <c r="I1037" t="s">
        <v>659</v>
      </c>
      <c r="J1037" s="27">
        <v>45747</v>
      </c>
      <c r="L1037" s="29">
        <v>1128.8998357142857</v>
      </c>
      <c r="M1037" s="29">
        <v>1693.3497535714287</v>
      </c>
      <c r="N1037" s="15">
        <v>45717</v>
      </c>
    </row>
    <row r="1038" spans="1:14" x14ac:dyDescent="0.25">
      <c r="A1038">
        <v>397442</v>
      </c>
      <c r="B1038" t="s">
        <v>28</v>
      </c>
      <c r="C1038">
        <v>51262</v>
      </c>
      <c r="D1038" t="s">
        <v>44</v>
      </c>
      <c r="E1038" t="s">
        <v>22</v>
      </c>
      <c r="F1038" s="27">
        <v>45744</v>
      </c>
      <c r="G1038">
        <v>24</v>
      </c>
      <c r="H1038">
        <v>24</v>
      </c>
      <c r="I1038" t="s">
        <v>660</v>
      </c>
      <c r="J1038" s="27">
        <v>45747</v>
      </c>
      <c r="L1038" s="29">
        <v>2107.2796934523808</v>
      </c>
      <c r="M1038" s="29">
        <v>50574.712642857136</v>
      </c>
      <c r="N1038" s="15">
        <v>45717</v>
      </c>
    </row>
    <row r="1039" spans="1:14" x14ac:dyDescent="0.25">
      <c r="A1039">
        <v>432276</v>
      </c>
      <c r="B1039" t="s">
        <v>35</v>
      </c>
      <c r="C1039">
        <v>47614</v>
      </c>
      <c r="D1039" t="s">
        <v>252</v>
      </c>
      <c r="E1039" t="s">
        <v>22</v>
      </c>
      <c r="F1039" s="27">
        <v>45744</v>
      </c>
      <c r="G1039">
        <v>155</v>
      </c>
      <c r="H1039">
        <v>155</v>
      </c>
      <c r="I1039" t="s">
        <v>294</v>
      </c>
      <c r="J1039" s="27">
        <v>45836</v>
      </c>
      <c r="L1039" s="29">
        <v>1380</v>
      </c>
      <c r="M1039" s="29">
        <v>213900</v>
      </c>
      <c r="N1039" s="15">
        <v>45717</v>
      </c>
    </row>
    <row r="1040" spans="1:14" x14ac:dyDescent="0.25">
      <c r="A1040">
        <v>398266</v>
      </c>
      <c r="B1040" t="s">
        <v>35</v>
      </c>
      <c r="C1040">
        <v>47614</v>
      </c>
      <c r="D1040" t="s">
        <v>42</v>
      </c>
      <c r="E1040" t="s">
        <v>22</v>
      </c>
      <c r="F1040" s="27">
        <v>45744</v>
      </c>
      <c r="G1040">
        <v>5</v>
      </c>
      <c r="H1040">
        <v>5</v>
      </c>
      <c r="I1040">
        <v>1565</v>
      </c>
      <c r="J1040" s="27">
        <v>45747</v>
      </c>
      <c r="L1040" s="29">
        <v>1418</v>
      </c>
      <c r="M1040" s="29">
        <v>7090</v>
      </c>
      <c r="N1040" s="15">
        <v>45717</v>
      </c>
    </row>
    <row r="1041" spans="1:14" x14ac:dyDescent="0.25">
      <c r="A1041">
        <v>398271</v>
      </c>
      <c r="B1041" t="s">
        <v>35</v>
      </c>
      <c r="C1041">
        <v>47614</v>
      </c>
      <c r="D1041" t="s">
        <v>42</v>
      </c>
      <c r="E1041" t="s">
        <v>22</v>
      </c>
      <c r="F1041" s="27">
        <v>45744</v>
      </c>
      <c r="G1041">
        <v>0.5</v>
      </c>
      <c r="H1041">
        <v>0.5</v>
      </c>
      <c r="I1041" t="s">
        <v>661</v>
      </c>
      <c r="J1041" s="27">
        <v>45747</v>
      </c>
      <c r="L1041" s="29">
        <v>1418</v>
      </c>
      <c r="M1041" s="29">
        <v>709</v>
      </c>
      <c r="N1041" s="15">
        <v>45717</v>
      </c>
    </row>
    <row r="1042" spans="1:14" x14ac:dyDescent="0.25">
      <c r="A1042">
        <v>412377</v>
      </c>
      <c r="B1042" t="s">
        <v>35</v>
      </c>
      <c r="C1042">
        <v>47569</v>
      </c>
      <c r="D1042" t="s">
        <v>30</v>
      </c>
      <c r="E1042" t="s">
        <v>22</v>
      </c>
      <c r="F1042" s="27">
        <v>45744</v>
      </c>
      <c r="G1042">
        <v>8</v>
      </c>
      <c r="H1042">
        <v>8</v>
      </c>
      <c r="I1042" t="s">
        <v>494</v>
      </c>
      <c r="J1042" s="27">
        <v>45777</v>
      </c>
      <c r="L1042" s="29">
        <v>602.07991249999998</v>
      </c>
      <c r="M1042" s="29">
        <v>4816.6392999999998</v>
      </c>
      <c r="N1042" s="15">
        <v>45717</v>
      </c>
    </row>
    <row r="1043" spans="1:14" x14ac:dyDescent="0.25">
      <c r="A1043">
        <v>398059</v>
      </c>
      <c r="B1043" t="s">
        <v>18</v>
      </c>
      <c r="C1043">
        <v>17</v>
      </c>
      <c r="D1043" t="s">
        <v>27</v>
      </c>
      <c r="E1043" t="s">
        <v>19</v>
      </c>
      <c r="F1043" s="27">
        <v>45744</v>
      </c>
      <c r="G1043">
        <v>8</v>
      </c>
      <c r="H1043">
        <v>8</v>
      </c>
      <c r="I1043" t="s">
        <v>463</v>
      </c>
      <c r="J1043" s="27">
        <v>45747</v>
      </c>
      <c r="L1043" s="29">
        <v>602.07991249999998</v>
      </c>
      <c r="M1043" s="29">
        <v>4816.6392999999998</v>
      </c>
      <c r="N1043" s="15">
        <v>45717</v>
      </c>
    </row>
    <row r="1044" spans="1:14" x14ac:dyDescent="0.25">
      <c r="A1044">
        <v>398590</v>
      </c>
      <c r="B1044" t="s">
        <v>29</v>
      </c>
      <c r="C1044">
        <v>52508</v>
      </c>
      <c r="D1044" t="s">
        <v>39</v>
      </c>
      <c r="E1044" t="s">
        <v>22</v>
      </c>
      <c r="F1044" s="27">
        <v>45744</v>
      </c>
      <c r="G1044">
        <v>8</v>
      </c>
      <c r="H1044">
        <v>8</v>
      </c>
      <c r="I1044" t="s">
        <v>553</v>
      </c>
      <c r="J1044" s="27">
        <v>45748</v>
      </c>
      <c r="L1044" s="29">
        <v>752.59989047619047</v>
      </c>
      <c r="M1044" s="29">
        <v>6020.7991238095237</v>
      </c>
      <c r="N1044" s="15">
        <v>45717</v>
      </c>
    </row>
    <row r="1045" spans="1:14" x14ac:dyDescent="0.25">
      <c r="A1045">
        <v>396044</v>
      </c>
      <c r="B1045" t="s">
        <v>35</v>
      </c>
      <c r="C1045">
        <v>47569</v>
      </c>
      <c r="D1045" t="s">
        <v>46</v>
      </c>
      <c r="E1045" t="s">
        <v>22</v>
      </c>
      <c r="F1045" s="27">
        <v>45743</v>
      </c>
      <c r="G1045">
        <v>37</v>
      </c>
      <c r="H1045">
        <v>37</v>
      </c>
      <c r="I1045" t="s">
        <v>640</v>
      </c>
      <c r="J1045" s="27">
        <v>45743</v>
      </c>
      <c r="L1045" s="29">
        <v>1128.8998357142857</v>
      </c>
      <c r="M1045" s="29">
        <v>41769.293921428573</v>
      </c>
      <c r="N1045" s="15">
        <v>45717</v>
      </c>
    </row>
    <row r="1046" spans="1:14" x14ac:dyDescent="0.25">
      <c r="A1046">
        <v>398106</v>
      </c>
      <c r="B1046" t="s">
        <v>35</v>
      </c>
      <c r="C1046">
        <v>47572</v>
      </c>
      <c r="D1046" t="s">
        <v>42</v>
      </c>
      <c r="E1046" t="s">
        <v>22</v>
      </c>
      <c r="F1046" s="27">
        <v>45743</v>
      </c>
      <c r="G1046">
        <v>0.5</v>
      </c>
      <c r="H1046">
        <v>0.5</v>
      </c>
      <c r="I1046" t="s">
        <v>621</v>
      </c>
      <c r="J1046" s="27">
        <v>45747</v>
      </c>
      <c r="L1046" s="29">
        <v>1418</v>
      </c>
      <c r="M1046" s="29">
        <v>709</v>
      </c>
      <c r="N1046" s="15">
        <v>45717</v>
      </c>
    </row>
    <row r="1047" spans="1:14" x14ac:dyDescent="0.25">
      <c r="A1047">
        <v>401444</v>
      </c>
      <c r="B1047" t="s">
        <v>35</v>
      </c>
      <c r="C1047">
        <v>47570</v>
      </c>
      <c r="D1047" t="s">
        <v>21</v>
      </c>
      <c r="E1047" t="s">
        <v>22</v>
      </c>
      <c r="F1047" s="27">
        <v>45743</v>
      </c>
      <c r="G1047">
        <v>3</v>
      </c>
      <c r="H1047">
        <v>3</v>
      </c>
      <c r="I1047" t="s">
        <v>662</v>
      </c>
      <c r="J1047" s="27">
        <v>45754</v>
      </c>
      <c r="L1047" s="29">
        <v>1693.3497535714287</v>
      </c>
      <c r="M1047" s="29">
        <v>5080.049260714286</v>
      </c>
      <c r="N1047" s="15">
        <v>45717</v>
      </c>
    </row>
    <row r="1048" spans="1:14" x14ac:dyDescent="0.25">
      <c r="A1048">
        <v>401445</v>
      </c>
      <c r="B1048" t="s">
        <v>35</v>
      </c>
      <c r="C1048">
        <v>47569</v>
      </c>
      <c r="D1048" t="s">
        <v>21</v>
      </c>
      <c r="E1048" t="s">
        <v>22</v>
      </c>
      <c r="F1048" s="27">
        <v>45743</v>
      </c>
      <c r="G1048">
        <v>1</v>
      </c>
      <c r="H1048">
        <v>1</v>
      </c>
      <c r="I1048" t="s">
        <v>663</v>
      </c>
      <c r="J1048" s="27">
        <v>45754</v>
      </c>
      <c r="L1048" s="29">
        <v>1693.3497535714287</v>
      </c>
      <c r="M1048" s="29">
        <v>1693.3497535714287</v>
      </c>
      <c r="N1048" s="15">
        <v>45717</v>
      </c>
    </row>
    <row r="1049" spans="1:14" x14ac:dyDescent="0.25">
      <c r="A1049">
        <v>401446</v>
      </c>
      <c r="B1049" t="s">
        <v>35</v>
      </c>
      <c r="C1049">
        <v>47570</v>
      </c>
      <c r="D1049" t="s">
        <v>21</v>
      </c>
      <c r="E1049" t="s">
        <v>22</v>
      </c>
      <c r="F1049" s="27">
        <v>45743</v>
      </c>
      <c r="G1049">
        <v>3</v>
      </c>
      <c r="H1049">
        <v>3</v>
      </c>
      <c r="I1049" t="s">
        <v>664</v>
      </c>
      <c r="J1049" s="27">
        <v>45754</v>
      </c>
      <c r="L1049" s="29">
        <v>1693.3497535714287</v>
      </c>
      <c r="M1049" s="29">
        <v>5080.049260714286</v>
      </c>
      <c r="N1049" s="15">
        <v>45717</v>
      </c>
    </row>
    <row r="1050" spans="1:14" x14ac:dyDescent="0.25">
      <c r="A1050">
        <v>398169</v>
      </c>
      <c r="B1050" t="s">
        <v>35</v>
      </c>
      <c r="C1050">
        <v>47614</v>
      </c>
      <c r="D1050" t="s">
        <v>42</v>
      </c>
      <c r="E1050" t="s">
        <v>22</v>
      </c>
      <c r="F1050" s="27">
        <v>45743</v>
      </c>
      <c r="G1050">
        <v>0.5</v>
      </c>
      <c r="H1050">
        <v>0.5</v>
      </c>
      <c r="I1050">
        <v>1570</v>
      </c>
      <c r="J1050" s="27">
        <v>45747</v>
      </c>
      <c r="L1050" s="29">
        <v>1418</v>
      </c>
      <c r="M1050" s="29">
        <v>709</v>
      </c>
      <c r="N1050" s="15">
        <v>45717</v>
      </c>
    </row>
    <row r="1051" spans="1:14" x14ac:dyDescent="0.25">
      <c r="A1051">
        <v>442464</v>
      </c>
      <c r="B1051" t="s">
        <v>1011</v>
      </c>
      <c r="C1051">
        <v>52593</v>
      </c>
      <c r="D1051" t="s">
        <v>43</v>
      </c>
      <c r="E1051" t="s">
        <v>22</v>
      </c>
      <c r="F1051" s="27">
        <v>45743</v>
      </c>
      <c r="G1051">
        <v>8</v>
      </c>
      <c r="H1051">
        <v>8</v>
      </c>
      <c r="I1051" t="s">
        <v>1078</v>
      </c>
      <c r="J1051" s="27">
        <v>45862</v>
      </c>
      <c r="L1051" s="29">
        <v>376.29994523809523</v>
      </c>
      <c r="M1051" s="29">
        <v>3010.3995619047619</v>
      </c>
      <c r="N1051" s="15">
        <v>45717</v>
      </c>
    </row>
    <row r="1052" spans="1:14" x14ac:dyDescent="0.25">
      <c r="A1052">
        <v>397438</v>
      </c>
      <c r="B1052" t="s">
        <v>35</v>
      </c>
      <c r="C1052">
        <v>47615</v>
      </c>
      <c r="D1052" t="s">
        <v>25</v>
      </c>
      <c r="E1052" t="s">
        <v>22</v>
      </c>
      <c r="F1052" s="27">
        <v>45743</v>
      </c>
      <c r="G1052">
        <v>1</v>
      </c>
      <c r="H1052">
        <v>1</v>
      </c>
      <c r="I1052" t="s">
        <v>659</v>
      </c>
      <c r="J1052" s="27">
        <v>45747</v>
      </c>
      <c r="L1052" s="29">
        <v>1128.8998357142857</v>
      </c>
      <c r="M1052" s="29">
        <v>1128.8998357142857</v>
      </c>
      <c r="N1052" s="15">
        <v>45717</v>
      </c>
    </row>
    <row r="1053" spans="1:14" x14ac:dyDescent="0.25">
      <c r="A1053">
        <v>432256</v>
      </c>
      <c r="B1053" t="s">
        <v>60</v>
      </c>
      <c r="C1053">
        <v>55514</v>
      </c>
      <c r="D1053" t="s">
        <v>36</v>
      </c>
      <c r="E1053" t="s">
        <v>22</v>
      </c>
      <c r="F1053" s="27">
        <v>45743</v>
      </c>
      <c r="G1053">
        <v>44</v>
      </c>
      <c r="H1053">
        <v>44</v>
      </c>
      <c r="I1053" t="s">
        <v>294</v>
      </c>
      <c r="J1053" s="27">
        <v>45836</v>
      </c>
      <c r="L1053" s="29">
        <v>1806.2397375</v>
      </c>
      <c r="M1053" s="29">
        <v>79474.548450000002</v>
      </c>
      <c r="N1053" s="15">
        <v>45717</v>
      </c>
    </row>
    <row r="1054" spans="1:14" x14ac:dyDescent="0.25">
      <c r="A1054">
        <v>432257</v>
      </c>
      <c r="B1054" t="s">
        <v>34</v>
      </c>
      <c r="C1054">
        <v>21152</v>
      </c>
      <c r="D1054" t="s">
        <v>36</v>
      </c>
      <c r="E1054" t="s">
        <v>19</v>
      </c>
      <c r="F1054" s="27">
        <v>45743</v>
      </c>
      <c r="G1054">
        <v>16</v>
      </c>
      <c r="H1054">
        <v>16</v>
      </c>
      <c r="I1054" t="s">
        <v>294</v>
      </c>
      <c r="J1054" s="27">
        <v>45836</v>
      </c>
      <c r="L1054" s="29">
        <v>1806.2397375</v>
      </c>
      <c r="M1054" s="29">
        <v>28899.835800000001</v>
      </c>
      <c r="N1054" s="15">
        <v>45717</v>
      </c>
    </row>
    <row r="1055" spans="1:14" x14ac:dyDescent="0.25">
      <c r="A1055">
        <v>395912</v>
      </c>
      <c r="B1055" t="s">
        <v>35</v>
      </c>
      <c r="C1055">
        <v>47572</v>
      </c>
      <c r="D1055" t="s">
        <v>46</v>
      </c>
      <c r="E1055" t="s">
        <v>22</v>
      </c>
      <c r="F1055" s="27">
        <v>45743</v>
      </c>
      <c r="G1055">
        <v>0.5</v>
      </c>
      <c r="H1055">
        <v>0.5</v>
      </c>
      <c r="I1055" t="s">
        <v>331</v>
      </c>
      <c r="J1055" s="27">
        <v>45743</v>
      </c>
      <c r="L1055" s="29">
        <v>1128.8998357142857</v>
      </c>
      <c r="M1055" s="29">
        <v>564.44991785714285</v>
      </c>
      <c r="N1055" s="15">
        <v>45717</v>
      </c>
    </row>
    <row r="1056" spans="1:14" x14ac:dyDescent="0.25">
      <c r="A1056">
        <v>395923</v>
      </c>
      <c r="B1056" t="s">
        <v>35</v>
      </c>
      <c r="C1056">
        <v>47569</v>
      </c>
      <c r="D1056" t="s">
        <v>46</v>
      </c>
      <c r="E1056" t="s">
        <v>22</v>
      </c>
      <c r="F1056" s="27">
        <v>45743</v>
      </c>
      <c r="G1056">
        <v>5</v>
      </c>
      <c r="H1056">
        <v>5</v>
      </c>
      <c r="I1056" t="s">
        <v>665</v>
      </c>
      <c r="J1056" s="27">
        <v>45743</v>
      </c>
      <c r="L1056" s="29">
        <v>1128.8998357142857</v>
      </c>
      <c r="M1056" s="29">
        <v>5644.4991785714283</v>
      </c>
      <c r="N1056" s="15">
        <v>45717</v>
      </c>
    </row>
    <row r="1057" spans="1:14" x14ac:dyDescent="0.25">
      <c r="A1057">
        <v>412375</v>
      </c>
      <c r="B1057" t="s">
        <v>35</v>
      </c>
      <c r="C1057">
        <v>47570</v>
      </c>
      <c r="D1057" t="s">
        <v>30</v>
      </c>
      <c r="E1057" t="s">
        <v>22</v>
      </c>
      <c r="F1057" s="27">
        <v>45743</v>
      </c>
      <c r="G1057">
        <v>8</v>
      </c>
      <c r="H1057">
        <v>8</v>
      </c>
      <c r="I1057" t="s">
        <v>494</v>
      </c>
      <c r="J1057" s="27">
        <v>45777</v>
      </c>
      <c r="L1057" s="29">
        <v>602.07991249999998</v>
      </c>
      <c r="M1057" s="29">
        <v>4816.6392999999998</v>
      </c>
      <c r="N1057" s="15">
        <v>45717</v>
      </c>
    </row>
    <row r="1058" spans="1:14" x14ac:dyDescent="0.25">
      <c r="A1058">
        <v>398060</v>
      </c>
      <c r="B1058" t="s">
        <v>18</v>
      </c>
      <c r="C1058">
        <v>17</v>
      </c>
      <c r="D1058" t="s">
        <v>27</v>
      </c>
      <c r="E1058" t="s">
        <v>19</v>
      </c>
      <c r="F1058" s="27">
        <v>45743</v>
      </c>
      <c r="G1058">
        <v>8</v>
      </c>
      <c r="H1058">
        <v>8</v>
      </c>
      <c r="I1058" t="s">
        <v>463</v>
      </c>
      <c r="J1058" s="27">
        <v>45747</v>
      </c>
      <c r="L1058" s="29">
        <v>602.07991249999998</v>
      </c>
      <c r="M1058" s="29">
        <v>4816.6392999999998</v>
      </c>
      <c r="N1058" s="15">
        <v>45717</v>
      </c>
    </row>
    <row r="1059" spans="1:14" x14ac:dyDescent="0.25">
      <c r="A1059">
        <v>398589</v>
      </c>
      <c r="B1059" t="s">
        <v>29</v>
      </c>
      <c r="C1059">
        <v>52508</v>
      </c>
      <c r="D1059" t="s">
        <v>39</v>
      </c>
      <c r="E1059" t="s">
        <v>22</v>
      </c>
      <c r="F1059" s="27">
        <v>45743</v>
      </c>
      <c r="G1059">
        <v>8</v>
      </c>
      <c r="H1059">
        <v>8</v>
      </c>
      <c r="I1059" t="s">
        <v>553</v>
      </c>
      <c r="J1059" s="27">
        <v>45748</v>
      </c>
      <c r="L1059" s="29">
        <v>752.59989047619047</v>
      </c>
      <c r="M1059" s="29">
        <v>6020.7991238095237</v>
      </c>
      <c r="N1059" s="15">
        <v>45717</v>
      </c>
    </row>
    <row r="1060" spans="1:14" x14ac:dyDescent="0.25">
      <c r="A1060">
        <v>395522</v>
      </c>
      <c r="B1060" t="s">
        <v>20</v>
      </c>
      <c r="C1060">
        <v>50787</v>
      </c>
      <c r="D1060" t="s">
        <v>21</v>
      </c>
      <c r="E1060" t="s">
        <v>22</v>
      </c>
      <c r="F1060" s="27">
        <v>45742</v>
      </c>
      <c r="G1060">
        <v>8</v>
      </c>
      <c r="H1060">
        <v>8</v>
      </c>
      <c r="I1060" t="s">
        <v>666</v>
      </c>
      <c r="J1060" s="27">
        <v>45742</v>
      </c>
      <c r="L1060" s="29">
        <v>1693.3497535714287</v>
      </c>
      <c r="M1060" s="29">
        <v>13546.798028571429</v>
      </c>
      <c r="N1060" s="15">
        <v>45717</v>
      </c>
    </row>
    <row r="1061" spans="1:14" x14ac:dyDescent="0.25">
      <c r="A1061">
        <v>398135</v>
      </c>
      <c r="B1061" t="s">
        <v>35</v>
      </c>
      <c r="C1061">
        <v>47614</v>
      </c>
      <c r="D1061" t="s">
        <v>42</v>
      </c>
      <c r="E1061" t="s">
        <v>22</v>
      </c>
      <c r="F1061" s="27">
        <v>45742</v>
      </c>
      <c r="G1061">
        <v>7</v>
      </c>
      <c r="H1061">
        <v>7</v>
      </c>
      <c r="I1061">
        <v>1569</v>
      </c>
      <c r="J1061" s="27">
        <v>45747</v>
      </c>
      <c r="L1061" s="29">
        <v>1418</v>
      </c>
      <c r="M1061" s="29">
        <v>9926</v>
      </c>
      <c r="N1061" s="15">
        <v>45717</v>
      </c>
    </row>
    <row r="1062" spans="1:14" x14ac:dyDescent="0.25">
      <c r="A1062">
        <v>398139</v>
      </c>
      <c r="B1062" t="s">
        <v>35</v>
      </c>
      <c r="C1062">
        <v>47614</v>
      </c>
      <c r="D1062" t="s">
        <v>42</v>
      </c>
      <c r="E1062" t="s">
        <v>22</v>
      </c>
      <c r="F1062" s="27">
        <v>45742</v>
      </c>
      <c r="G1062">
        <v>5</v>
      </c>
      <c r="H1062">
        <v>5</v>
      </c>
      <c r="I1062">
        <v>1568</v>
      </c>
      <c r="J1062" s="27">
        <v>45747</v>
      </c>
      <c r="L1062" s="29">
        <v>1418</v>
      </c>
      <c r="M1062" s="29">
        <v>7090</v>
      </c>
      <c r="N1062" s="15">
        <v>45717</v>
      </c>
    </row>
    <row r="1063" spans="1:14" x14ac:dyDescent="0.25">
      <c r="A1063">
        <v>397446</v>
      </c>
      <c r="B1063" t="s">
        <v>29</v>
      </c>
      <c r="C1063">
        <v>52508</v>
      </c>
      <c r="D1063" t="s">
        <v>44</v>
      </c>
      <c r="E1063" t="s">
        <v>22</v>
      </c>
      <c r="F1063" s="27">
        <v>45742</v>
      </c>
      <c r="G1063">
        <v>2</v>
      </c>
      <c r="H1063">
        <v>2</v>
      </c>
      <c r="I1063" t="s">
        <v>667</v>
      </c>
      <c r="J1063" s="27">
        <v>45747</v>
      </c>
      <c r="L1063" s="29">
        <v>2107.2796934523808</v>
      </c>
      <c r="M1063" s="29">
        <v>4214.5593869047616</v>
      </c>
      <c r="N1063" s="15">
        <v>45717</v>
      </c>
    </row>
    <row r="1064" spans="1:14" x14ac:dyDescent="0.25">
      <c r="A1064">
        <v>395408</v>
      </c>
      <c r="B1064" t="s">
        <v>35</v>
      </c>
      <c r="C1064">
        <v>47572</v>
      </c>
      <c r="D1064" t="s">
        <v>46</v>
      </c>
      <c r="E1064" t="s">
        <v>22</v>
      </c>
      <c r="F1064" s="27">
        <v>45742</v>
      </c>
      <c r="G1064">
        <v>1</v>
      </c>
      <c r="H1064">
        <v>1</v>
      </c>
      <c r="I1064" t="s">
        <v>331</v>
      </c>
      <c r="J1064" s="27">
        <v>45742</v>
      </c>
      <c r="L1064" s="29">
        <v>1128.8998357142857</v>
      </c>
      <c r="M1064" s="29">
        <v>1128.8998357142857</v>
      </c>
      <c r="N1064" s="15">
        <v>45717</v>
      </c>
    </row>
    <row r="1065" spans="1:14" x14ac:dyDescent="0.25">
      <c r="A1065">
        <v>395921</v>
      </c>
      <c r="B1065" t="s">
        <v>35</v>
      </c>
      <c r="C1065">
        <v>47615</v>
      </c>
      <c r="D1065" t="s">
        <v>25</v>
      </c>
      <c r="E1065" t="s">
        <v>22</v>
      </c>
      <c r="F1065" s="27">
        <v>45742</v>
      </c>
      <c r="G1065">
        <v>1</v>
      </c>
      <c r="H1065">
        <v>1</v>
      </c>
      <c r="I1065" t="s">
        <v>659</v>
      </c>
      <c r="J1065" s="27">
        <v>45743</v>
      </c>
      <c r="L1065" s="29">
        <v>1128.8998357142857</v>
      </c>
      <c r="M1065" s="29">
        <v>1128.8998357142857</v>
      </c>
      <c r="N1065" s="15">
        <v>45717</v>
      </c>
    </row>
    <row r="1066" spans="1:14" x14ac:dyDescent="0.25">
      <c r="A1066">
        <v>395410</v>
      </c>
      <c r="B1066" t="s">
        <v>35</v>
      </c>
      <c r="C1066">
        <v>47569</v>
      </c>
      <c r="D1066" t="s">
        <v>46</v>
      </c>
      <c r="E1066" t="s">
        <v>22</v>
      </c>
      <c r="F1066" s="27">
        <v>45742</v>
      </c>
      <c r="G1066">
        <v>7</v>
      </c>
      <c r="H1066">
        <v>7</v>
      </c>
      <c r="I1066" t="s">
        <v>668</v>
      </c>
      <c r="J1066" s="27">
        <v>45742</v>
      </c>
      <c r="L1066" s="29">
        <v>1128.8998357142857</v>
      </c>
      <c r="M1066" s="29">
        <v>7902.2988500000001</v>
      </c>
      <c r="N1066" s="15">
        <v>45717</v>
      </c>
    </row>
    <row r="1067" spans="1:14" x14ac:dyDescent="0.25">
      <c r="A1067">
        <v>398062</v>
      </c>
      <c r="B1067" t="s">
        <v>18</v>
      </c>
      <c r="C1067">
        <v>17</v>
      </c>
      <c r="D1067" t="s">
        <v>27</v>
      </c>
      <c r="E1067" t="s">
        <v>19</v>
      </c>
      <c r="F1067" s="27">
        <v>45742</v>
      </c>
      <c r="G1067">
        <v>8</v>
      </c>
      <c r="H1067">
        <v>8</v>
      </c>
      <c r="I1067" t="s">
        <v>463</v>
      </c>
      <c r="J1067" s="27">
        <v>45747</v>
      </c>
      <c r="L1067" s="29">
        <v>602.07991249999998</v>
      </c>
      <c r="M1067" s="29">
        <v>4816.6392999999998</v>
      </c>
      <c r="N1067" s="15">
        <v>45717</v>
      </c>
    </row>
    <row r="1068" spans="1:14" x14ac:dyDescent="0.25">
      <c r="A1068">
        <v>395521</v>
      </c>
      <c r="B1068" t="s">
        <v>20</v>
      </c>
      <c r="C1068">
        <v>50787</v>
      </c>
      <c r="D1068" t="s">
        <v>21</v>
      </c>
      <c r="E1068" t="s">
        <v>22</v>
      </c>
      <c r="F1068" s="27">
        <v>45741</v>
      </c>
      <c r="G1068">
        <v>2</v>
      </c>
      <c r="H1068">
        <v>2</v>
      </c>
      <c r="I1068" t="s">
        <v>669</v>
      </c>
      <c r="J1068" s="27">
        <v>45742</v>
      </c>
      <c r="L1068" s="29">
        <v>1693.3497535714287</v>
      </c>
      <c r="M1068" s="29">
        <v>3386.6995071428573</v>
      </c>
      <c r="N1068" s="15">
        <v>45717</v>
      </c>
    </row>
    <row r="1069" spans="1:14" x14ac:dyDescent="0.25">
      <c r="A1069">
        <v>398104</v>
      </c>
      <c r="B1069" t="s">
        <v>35</v>
      </c>
      <c r="C1069">
        <v>47572</v>
      </c>
      <c r="D1069" t="s">
        <v>42</v>
      </c>
      <c r="E1069" t="s">
        <v>22</v>
      </c>
      <c r="F1069" s="27">
        <v>45741</v>
      </c>
      <c r="G1069">
        <v>0.5</v>
      </c>
      <c r="H1069">
        <v>0.5</v>
      </c>
      <c r="I1069" t="s">
        <v>295</v>
      </c>
      <c r="J1069" s="27">
        <v>45747</v>
      </c>
      <c r="L1069" s="29">
        <v>1418</v>
      </c>
      <c r="M1069" s="29">
        <v>709</v>
      </c>
      <c r="N1069" s="15">
        <v>45717</v>
      </c>
    </row>
    <row r="1070" spans="1:14" x14ac:dyDescent="0.25">
      <c r="A1070">
        <v>395057</v>
      </c>
      <c r="B1070" t="s">
        <v>35</v>
      </c>
      <c r="C1070">
        <v>47572</v>
      </c>
      <c r="D1070" t="s">
        <v>46</v>
      </c>
      <c r="E1070" t="s">
        <v>22</v>
      </c>
      <c r="F1070" s="27">
        <v>45741</v>
      </c>
      <c r="G1070">
        <v>0.5</v>
      </c>
      <c r="H1070">
        <v>0.5</v>
      </c>
      <c r="I1070" t="s">
        <v>331</v>
      </c>
      <c r="J1070" s="27">
        <v>45741</v>
      </c>
      <c r="L1070" s="29">
        <v>1128.8998357142857</v>
      </c>
      <c r="M1070" s="29">
        <v>564.44991785714285</v>
      </c>
      <c r="N1070" s="15">
        <v>45717</v>
      </c>
    </row>
    <row r="1071" spans="1:14" x14ac:dyDescent="0.25">
      <c r="A1071">
        <v>395058</v>
      </c>
      <c r="B1071" t="s">
        <v>35</v>
      </c>
      <c r="C1071">
        <v>52114</v>
      </c>
      <c r="D1071" t="s">
        <v>46</v>
      </c>
      <c r="E1071" t="s">
        <v>22</v>
      </c>
      <c r="F1071" s="27">
        <v>45741</v>
      </c>
      <c r="G1071">
        <v>2</v>
      </c>
      <c r="H1071">
        <v>2</v>
      </c>
      <c r="I1071" t="s">
        <v>670</v>
      </c>
      <c r="J1071" s="27">
        <v>45741</v>
      </c>
      <c r="L1071" s="29">
        <v>1128.8998357142857</v>
      </c>
      <c r="M1071" s="29">
        <v>2257.7996714285714</v>
      </c>
      <c r="N1071" s="15">
        <v>45717</v>
      </c>
    </row>
    <row r="1072" spans="1:14" x14ac:dyDescent="0.25">
      <c r="A1072">
        <v>395060</v>
      </c>
      <c r="B1072" t="s">
        <v>35</v>
      </c>
      <c r="C1072">
        <v>47569</v>
      </c>
      <c r="D1072" t="s">
        <v>46</v>
      </c>
      <c r="E1072" t="s">
        <v>22</v>
      </c>
      <c r="F1072" s="27">
        <v>45741</v>
      </c>
      <c r="G1072">
        <v>5.5</v>
      </c>
      <c r="H1072">
        <v>5.5</v>
      </c>
      <c r="I1072" t="s">
        <v>668</v>
      </c>
      <c r="J1072" s="27">
        <v>45741</v>
      </c>
      <c r="L1072" s="29">
        <v>1128.8998357142857</v>
      </c>
      <c r="M1072" s="29">
        <v>6208.9490964285715</v>
      </c>
      <c r="N1072" s="15">
        <v>45717</v>
      </c>
    </row>
    <row r="1073" spans="1:14" x14ac:dyDescent="0.25">
      <c r="A1073">
        <v>398153</v>
      </c>
      <c r="B1073" t="s">
        <v>35</v>
      </c>
      <c r="C1073">
        <v>47614</v>
      </c>
      <c r="D1073" t="s">
        <v>42</v>
      </c>
      <c r="E1073" t="s">
        <v>22</v>
      </c>
      <c r="F1073" s="27">
        <v>45741</v>
      </c>
      <c r="G1073">
        <v>4</v>
      </c>
      <c r="H1073">
        <v>4</v>
      </c>
      <c r="I1073" t="s">
        <v>658</v>
      </c>
      <c r="J1073" s="27">
        <v>45747</v>
      </c>
      <c r="L1073" s="29">
        <v>1418</v>
      </c>
      <c r="M1073" s="29">
        <v>5672</v>
      </c>
      <c r="N1073" s="15">
        <v>45717</v>
      </c>
    </row>
    <row r="1074" spans="1:14" x14ac:dyDescent="0.25">
      <c r="A1074">
        <v>442465</v>
      </c>
      <c r="B1074" t="s">
        <v>1011</v>
      </c>
      <c r="C1074">
        <v>52593</v>
      </c>
      <c r="D1074" t="s">
        <v>33</v>
      </c>
      <c r="E1074" t="s">
        <v>22</v>
      </c>
      <c r="F1074" s="27">
        <v>45741</v>
      </c>
      <c r="G1074">
        <v>1</v>
      </c>
      <c r="H1074">
        <v>1</v>
      </c>
      <c r="I1074" t="s">
        <v>1079</v>
      </c>
      <c r="J1074" s="27">
        <v>45862</v>
      </c>
      <c r="L1074" s="29">
        <v>1505.1997809523809</v>
      </c>
      <c r="M1074" s="29">
        <v>1505.1997809523809</v>
      </c>
      <c r="N1074" s="15">
        <v>45717</v>
      </c>
    </row>
    <row r="1075" spans="1:14" x14ac:dyDescent="0.25">
      <c r="A1075">
        <v>397445</v>
      </c>
      <c r="B1075" t="s">
        <v>29</v>
      </c>
      <c r="C1075">
        <v>52508</v>
      </c>
      <c r="D1075" t="s">
        <v>44</v>
      </c>
      <c r="E1075" t="s">
        <v>22</v>
      </c>
      <c r="F1075" s="27">
        <v>45741</v>
      </c>
      <c r="G1075">
        <v>16</v>
      </c>
      <c r="H1075">
        <v>16</v>
      </c>
      <c r="I1075" t="s">
        <v>671</v>
      </c>
      <c r="J1075" s="27">
        <v>45747</v>
      </c>
      <c r="L1075" s="29">
        <v>2107.2796934523808</v>
      </c>
      <c r="M1075" s="29">
        <v>33716.475095238093</v>
      </c>
      <c r="N1075" s="15">
        <v>45717</v>
      </c>
    </row>
    <row r="1076" spans="1:14" x14ac:dyDescent="0.25">
      <c r="A1076">
        <v>395918</v>
      </c>
      <c r="B1076" t="s">
        <v>35</v>
      </c>
      <c r="C1076">
        <v>47615</v>
      </c>
      <c r="D1076" t="s">
        <v>25</v>
      </c>
      <c r="E1076" t="s">
        <v>22</v>
      </c>
      <c r="F1076" s="27">
        <v>45741</v>
      </c>
      <c r="G1076">
        <v>2</v>
      </c>
      <c r="H1076">
        <v>2</v>
      </c>
      <c r="I1076" t="s">
        <v>659</v>
      </c>
      <c r="J1076" s="27">
        <v>45743</v>
      </c>
      <c r="L1076" s="29">
        <v>1128.8998357142857</v>
      </c>
      <c r="M1076" s="29">
        <v>2257.7996714285714</v>
      </c>
      <c r="N1076" s="15">
        <v>45717</v>
      </c>
    </row>
    <row r="1077" spans="1:14" x14ac:dyDescent="0.25">
      <c r="A1077">
        <v>412374</v>
      </c>
      <c r="B1077" t="s">
        <v>35</v>
      </c>
      <c r="C1077">
        <v>47569</v>
      </c>
      <c r="D1077" t="s">
        <v>30</v>
      </c>
      <c r="E1077" t="s">
        <v>22</v>
      </c>
      <c r="F1077" s="27">
        <v>45741</v>
      </c>
      <c r="G1077">
        <v>8</v>
      </c>
      <c r="H1077">
        <v>8</v>
      </c>
      <c r="I1077" t="s">
        <v>494</v>
      </c>
      <c r="J1077" s="27">
        <v>45777</v>
      </c>
      <c r="L1077" s="29">
        <v>602.07991249999998</v>
      </c>
      <c r="M1077" s="29">
        <v>4816.6392999999998</v>
      </c>
      <c r="N1077" s="15">
        <v>45717</v>
      </c>
    </row>
    <row r="1078" spans="1:14" x14ac:dyDescent="0.25">
      <c r="A1078">
        <v>398063</v>
      </c>
      <c r="B1078" t="s">
        <v>18</v>
      </c>
      <c r="C1078">
        <v>17</v>
      </c>
      <c r="D1078" t="s">
        <v>27</v>
      </c>
      <c r="E1078" t="s">
        <v>19</v>
      </c>
      <c r="F1078" s="27">
        <v>45741</v>
      </c>
      <c r="G1078">
        <v>8</v>
      </c>
      <c r="H1078">
        <v>8</v>
      </c>
      <c r="I1078" t="s">
        <v>463</v>
      </c>
      <c r="J1078" s="27">
        <v>45747</v>
      </c>
      <c r="L1078" s="29">
        <v>602.07991249999998</v>
      </c>
      <c r="M1078" s="29">
        <v>4816.6392999999998</v>
      </c>
      <c r="N1078" s="15">
        <v>45717</v>
      </c>
    </row>
    <row r="1079" spans="1:14" x14ac:dyDescent="0.25">
      <c r="A1079">
        <v>395517</v>
      </c>
      <c r="B1079" t="s">
        <v>20</v>
      </c>
      <c r="C1079">
        <v>46185</v>
      </c>
      <c r="D1079" t="s">
        <v>21</v>
      </c>
      <c r="E1079" t="s">
        <v>22</v>
      </c>
      <c r="F1079" s="27">
        <v>45741</v>
      </c>
      <c r="G1079">
        <v>2</v>
      </c>
      <c r="H1079">
        <v>2</v>
      </c>
      <c r="I1079" t="s">
        <v>672</v>
      </c>
      <c r="J1079" s="27">
        <v>45742</v>
      </c>
      <c r="L1079" s="29">
        <v>1693.3497535714287</v>
      </c>
      <c r="M1079" s="29">
        <v>3386.6995071428573</v>
      </c>
      <c r="N1079" s="15">
        <v>45717</v>
      </c>
    </row>
    <row r="1080" spans="1:14" x14ac:dyDescent="0.25">
      <c r="A1080">
        <v>395519</v>
      </c>
      <c r="B1080" t="s">
        <v>20</v>
      </c>
      <c r="C1080">
        <v>50787</v>
      </c>
      <c r="D1080" t="s">
        <v>21</v>
      </c>
      <c r="E1080" t="s">
        <v>22</v>
      </c>
      <c r="F1080" s="27">
        <v>45741</v>
      </c>
      <c r="G1080">
        <v>4</v>
      </c>
      <c r="H1080">
        <v>4</v>
      </c>
      <c r="I1080" t="s">
        <v>673</v>
      </c>
      <c r="J1080" s="27">
        <v>45742</v>
      </c>
      <c r="L1080" s="29">
        <v>1693.3497535714287</v>
      </c>
      <c r="M1080" s="29">
        <v>6773.3990142857147</v>
      </c>
      <c r="N1080" s="15">
        <v>45717</v>
      </c>
    </row>
    <row r="1081" spans="1:14" x14ac:dyDescent="0.25">
      <c r="A1081">
        <v>398101</v>
      </c>
      <c r="B1081" t="s">
        <v>35</v>
      </c>
      <c r="C1081">
        <v>47572</v>
      </c>
      <c r="D1081" t="s">
        <v>42</v>
      </c>
      <c r="E1081" t="s">
        <v>22</v>
      </c>
      <c r="F1081" s="27">
        <v>45740</v>
      </c>
      <c r="G1081">
        <v>0.5</v>
      </c>
      <c r="H1081">
        <v>0.5</v>
      </c>
      <c r="I1081" t="s">
        <v>621</v>
      </c>
      <c r="J1081" s="27">
        <v>45747</v>
      </c>
      <c r="L1081" s="29">
        <v>1418</v>
      </c>
      <c r="M1081" s="29">
        <v>709</v>
      </c>
      <c r="N1081" s="15">
        <v>45717</v>
      </c>
    </row>
    <row r="1082" spans="1:14" x14ac:dyDescent="0.25">
      <c r="A1082">
        <v>394798</v>
      </c>
      <c r="B1082" t="s">
        <v>20</v>
      </c>
      <c r="C1082">
        <v>45336</v>
      </c>
      <c r="D1082" t="s">
        <v>21</v>
      </c>
      <c r="E1082" t="s">
        <v>22</v>
      </c>
      <c r="F1082" s="27">
        <v>45740</v>
      </c>
      <c r="G1082">
        <v>4</v>
      </c>
      <c r="H1082">
        <v>4</v>
      </c>
      <c r="I1082" t="s">
        <v>674</v>
      </c>
      <c r="J1082" s="27">
        <v>45740</v>
      </c>
      <c r="L1082" s="29">
        <v>1693.3497535714287</v>
      </c>
      <c r="M1082" s="29">
        <v>6773.3990142857147</v>
      </c>
      <c r="N1082" s="15">
        <v>45717</v>
      </c>
    </row>
    <row r="1083" spans="1:14" x14ac:dyDescent="0.25">
      <c r="A1083">
        <v>394836</v>
      </c>
      <c r="B1083" t="s">
        <v>35</v>
      </c>
      <c r="C1083">
        <v>47572</v>
      </c>
      <c r="D1083" t="s">
        <v>46</v>
      </c>
      <c r="E1083" t="s">
        <v>22</v>
      </c>
      <c r="F1083" s="27">
        <v>45740</v>
      </c>
      <c r="G1083">
        <v>0.5</v>
      </c>
      <c r="H1083">
        <v>0.5</v>
      </c>
      <c r="I1083" t="s">
        <v>331</v>
      </c>
      <c r="J1083" s="27">
        <v>45740</v>
      </c>
      <c r="L1083" s="29">
        <v>1128.8998357142857</v>
      </c>
      <c r="M1083" s="29">
        <v>564.44991785714285</v>
      </c>
      <c r="N1083" s="15">
        <v>45717</v>
      </c>
    </row>
    <row r="1084" spans="1:14" x14ac:dyDescent="0.25">
      <c r="A1084">
        <v>394837</v>
      </c>
      <c r="B1084" t="s">
        <v>35</v>
      </c>
      <c r="C1084">
        <v>47569</v>
      </c>
      <c r="D1084" t="s">
        <v>46</v>
      </c>
      <c r="E1084" t="s">
        <v>22</v>
      </c>
      <c r="F1084" s="27">
        <v>45740</v>
      </c>
      <c r="G1084">
        <v>8</v>
      </c>
      <c r="H1084">
        <v>8</v>
      </c>
      <c r="I1084" t="s">
        <v>670</v>
      </c>
      <c r="J1084" s="27">
        <v>45740</v>
      </c>
      <c r="L1084" s="29">
        <v>1128.8998357142857</v>
      </c>
      <c r="M1084" s="29">
        <v>9031.1986857142856</v>
      </c>
      <c r="N1084" s="15">
        <v>45717</v>
      </c>
    </row>
    <row r="1085" spans="1:14" x14ac:dyDescent="0.25">
      <c r="A1085">
        <v>394849</v>
      </c>
      <c r="B1085" t="s">
        <v>20</v>
      </c>
      <c r="C1085">
        <v>45135</v>
      </c>
      <c r="D1085" t="s">
        <v>21</v>
      </c>
      <c r="E1085" t="s">
        <v>22</v>
      </c>
      <c r="F1085" s="27">
        <v>45740</v>
      </c>
      <c r="G1085">
        <v>1</v>
      </c>
      <c r="H1085">
        <v>1</v>
      </c>
      <c r="I1085" t="s">
        <v>675</v>
      </c>
      <c r="J1085" s="27">
        <v>45741</v>
      </c>
      <c r="L1085" s="29">
        <v>1693.3497535714287</v>
      </c>
      <c r="M1085" s="29">
        <v>1693.3497535714287</v>
      </c>
      <c r="N1085" s="15">
        <v>45717</v>
      </c>
    </row>
    <row r="1086" spans="1:14" x14ac:dyDescent="0.25">
      <c r="A1086">
        <v>394850</v>
      </c>
      <c r="B1086" t="s">
        <v>20</v>
      </c>
      <c r="C1086">
        <v>46185</v>
      </c>
      <c r="D1086" t="s">
        <v>21</v>
      </c>
      <c r="E1086" t="s">
        <v>22</v>
      </c>
      <c r="F1086" s="27">
        <v>45740</v>
      </c>
      <c r="G1086">
        <v>3</v>
      </c>
      <c r="H1086">
        <v>3</v>
      </c>
      <c r="I1086" t="s">
        <v>676</v>
      </c>
      <c r="J1086" s="27">
        <v>45741</v>
      </c>
      <c r="L1086" s="29">
        <v>1693.3497535714287</v>
      </c>
      <c r="M1086" s="29">
        <v>5080.049260714286</v>
      </c>
      <c r="N1086" s="15">
        <v>45717</v>
      </c>
    </row>
    <row r="1087" spans="1:14" x14ac:dyDescent="0.25">
      <c r="A1087">
        <v>442466</v>
      </c>
      <c r="B1087" t="s">
        <v>1011</v>
      </c>
      <c r="C1087">
        <v>52593</v>
      </c>
      <c r="D1087" t="s">
        <v>33</v>
      </c>
      <c r="E1087" t="s">
        <v>22</v>
      </c>
      <c r="F1087" s="27">
        <v>45740</v>
      </c>
      <c r="G1087">
        <v>7</v>
      </c>
      <c r="H1087">
        <v>7</v>
      </c>
      <c r="I1087" t="s">
        <v>1080</v>
      </c>
      <c r="J1087" s="27">
        <v>45862</v>
      </c>
      <c r="L1087" s="29">
        <v>1505.1997809523809</v>
      </c>
      <c r="M1087" s="29">
        <v>10536.398466666666</v>
      </c>
      <c r="N1087" s="15">
        <v>45717</v>
      </c>
    </row>
    <row r="1088" spans="1:14" x14ac:dyDescent="0.25">
      <c r="A1088">
        <v>395917</v>
      </c>
      <c r="B1088" t="s">
        <v>35</v>
      </c>
      <c r="C1088">
        <v>47615</v>
      </c>
      <c r="D1088" t="s">
        <v>25</v>
      </c>
      <c r="E1088" t="s">
        <v>22</v>
      </c>
      <c r="F1088" s="27">
        <v>45740</v>
      </c>
      <c r="G1088">
        <v>6</v>
      </c>
      <c r="H1088">
        <v>6</v>
      </c>
      <c r="I1088" t="s">
        <v>659</v>
      </c>
      <c r="J1088" s="27">
        <v>45743</v>
      </c>
      <c r="L1088" s="29">
        <v>1128.8998357142857</v>
      </c>
      <c r="M1088" s="29">
        <v>6773.3990142857147</v>
      </c>
      <c r="N1088" s="15">
        <v>45717</v>
      </c>
    </row>
    <row r="1089" spans="1:14" x14ac:dyDescent="0.25">
      <c r="A1089">
        <v>398258</v>
      </c>
      <c r="B1089" t="s">
        <v>35</v>
      </c>
      <c r="C1089">
        <v>47614</v>
      </c>
      <c r="D1089" t="s">
        <v>42</v>
      </c>
      <c r="E1089" t="s">
        <v>22</v>
      </c>
      <c r="F1089" s="27">
        <v>45740</v>
      </c>
      <c r="G1089">
        <v>6</v>
      </c>
      <c r="H1089">
        <v>6</v>
      </c>
      <c r="I1089" t="s">
        <v>677</v>
      </c>
      <c r="J1089" s="27">
        <v>45747</v>
      </c>
      <c r="L1089" s="29">
        <v>1418</v>
      </c>
      <c r="M1089" s="29">
        <v>8508</v>
      </c>
      <c r="N1089" s="15">
        <v>45717</v>
      </c>
    </row>
    <row r="1090" spans="1:14" x14ac:dyDescent="0.25">
      <c r="A1090">
        <v>412372</v>
      </c>
      <c r="B1090" t="s">
        <v>29</v>
      </c>
      <c r="C1090">
        <v>52587</v>
      </c>
      <c r="D1090" t="s">
        <v>30</v>
      </c>
      <c r="E1090" t="s">
        <v>22</v>
      </c>
      <c r="F1090" s="27">
        <v>45740</v>
      </c>
      <c r="G1090">
        <v>8</v>
      </c>
      <c r="H1090">
        <v>8</v>
      </c>
      <c r="I1090" t="s">
        <v>494</v>
      </c>
      <c r="J1090" s="27">
        <v>45777</v>
      </c>
      <c r="L1090" s="29">
        <v>602.07991249999998</v>
      </c>
      <c r="M1090" s="29">
        <v>4816.6392999999998</v>
      </c>
      <c r="N1090" s="15">
        <v>45717</v>
      </c>
    </row>
    <row r="1091" spans="1:14" x14ac:dyDescent="0.25">
      <c r="A1091">
        <v>398064</v>
      </c>
      <c r="B1091" t="s">
        <v>18</v>
      </c>
      <c r="C1091">
        <v>17</v>
      </c>
      <c r="D1091" t="s">
        <v>27</v>
      </c>
      <c r="E1091" t="s">
        <v>19</v>
      </c>
      <c r="F1091" s="27">
        <v>45740</v>
      </c>
      <c r="G1091">
        <v>8</v>
      </c>
      <c r="H1091">
        <v>8</v>
      </c>
      <c r="I1091" t="s">
        <v>463</v>
      </c>
      <c r="J1091" s="27">
        <v>45747</v>
      </c>
      <c r="L1091" s="29">
        <v>602.07991249999998</v>
      </c>
      <c r="M1091" s="29">
        <v>4816.6392999999998</v>
      </c>
      <c r="N1091" s="15">
        <v>45717</v>
      </c>
    </row>
    <row r="1092" spans="1:14" x14ac:dyDescent="0.25">
      <c r="A1092">
        <v>398126</v>
      </c>
      <c r="B1092" t="s">
        <v>35</v>
      </c>
      <c r="C1092">
        <v>47614</v>
      </c>
      <c r="D1092" t="s">
        <v>42</v>
      </c>
      <c r="E1092" t="s">
        <v>22</v>
      </c>
      <c r="F1092" s="27">
        <v>45739</v>
      </c>
      <c r="G1092">
        <v>9</v>
      </c>
      <c r="H1092">
        <v>9</v>
      </c>
      <c r="I1092">
        <v>1570</v>
      </c>
      <c r="J1092" s="27">
        <v>45747</v>
      </c>
      <c r="L1092" s="29">
        <v>1418</v>
      </c>
      <c r="M1092" s="29">
        <v>12762</v>
      </c>
      <c r="N1092" s="15">
        <v>45717</v>
      </c>
    </row>
    <row r="1093" spans="1:14" x14ac:dyDescent="0.25">
      <c r="A1093">
        <v>393753</v>
      </c>
      <c r="B1093" t="s">
        <v>35</v>
      </c>
      <c r="C1093">
        <v>47569</v>
      </c>
      <c r="D1093" t="s">
        <v>46</v>
      </c>
      <c r="E1093" t="s">
        <v>22</v>
      </c>
      <c r="F1093" s="27">
        <v>45737</v>
      </c>
      <c r="G1093">
        <v>5</v>
      </c>
      <c r="H1093">
        <v>5</v>
      </c>
      <c r="I1093" t="s">
        <v>670</v>
      </c>
      <c r="J1093" s="27">
        <v>45737</v>
      </c>
      <c r="L1093" s="29">
        <v>1128.8998357142857</v>
      </c>
      <c r="M1093" s="29">
        <v>5644.4991785714283</v>
      </c>
      <c r="N1093" s="15">
        <v>45717</v>
      </c>
    </row>
    <row r="1094" spans="1:14" x14ac:dyDescent="0.25">
      <c r="A1094">
        <v>398118</v>
      </c>
      <c r="B1094" t="s">
        <v>35</v>
      </c>
      <c r="C1094">
        <v>47614</v>
      </c>
      <c r="D1094" t="s">
        <v>42</v>
      </c>
      <c r="E1094" t="s">
        <v>22</v>
      </c>
      <c r="F1094" s="27">
        <v>45737</v>
      </c>
      <c r="G1094">
        <v>3</v>
      </c>
      <c r="H1094">
        <v>3</v>
      </c>
      <c r="I1094">
        <v>1571</v>
      </c>
      <c r="J1094" s="27">
        <v>45747</v>
      </c>
      <c r="L1094" s="29">
        <v>1418</v>
      </c>
      <c r="M1094" s="29">
        <v>4254</v>
      </c>
      <c r="N1094" s="15">
        <v>45717</v>
      </c>
    </row>
    <row r="1095" spans="1:14" x14ac:dyDescent="0.25">
      <c r="A1095">
        <v>393805</v>
      </c>
      <c r="B1095" t="s">
        <v>28</v>
      </c>
      <c r="C1095">
        <v>51262</v>
      </c>
      <c r="D1095" t="s">
        <v>44</v>
      </c>
      <c r="E1095" t="s">
        <v>22</v>
      </c>
      <c r="F1095" s="27">
        <v>45737</v>
      </c>
      <c r="G1095">
        <v>38</v>
      </c>
      <c r="H1095">
        <v>38</v>
      </c>
      <c r="I1095" t="s">
        <v>623</v>
      </c>
      <c r="J1095" s="27">
        <v>45737</v>
      </c>
      <c r="L1095" s="29">
        <v>2107.2796934523808</v>
      </c>
      <c r="M1095" s="29">
        <v>80076.628351190477</v>
      </c>
      <c r="N1095" s="15">
        <v>45717</v>
      </c>
    </row>
    <row r="1096" spans="1:14" x14ac:dyDescent="0.25">
      <c r="A1096">
        <v>432020</v>
      </c>
      <c r="B1096" t="s">
        <v>18</v>
      </c>
      <c r="C1096">
        <v>34</v>
      </c>
      <c r="D1096" t="s">
        <v>43</v>
      </c>
      <c r="E1096" t="s">
        <v>19</v>
      </c>
      <c r="F1096" s="27">
        <v>45737</v>
      </c>
      <c r="G1096">
        <v>32</v>
      </c>
      <c r="H1096">
        <v>32</v>
      </c>
      <c r="I1096" t="s">
        <v>642</v>
      </c>
      <c r="J1096" s="27">
        <v>45835</v>
      </c>
      <c r="L1096" s="29">
        <v>376.29994523809523</v>
      </c>
      <c r="M1096" s="29">
        <v>12041.598247619047</v>
      </c>
      <c r="N1096" s="15">
        <v>45717</v>
      </c>
    </row>
    <row r="1097" spans="1:14" x14ac:dyDescent="0.25">
      <c r="A1097">
        <v>394143</v>
      </c>
      <c r="B1097" t="s">
        <v>35</v>
      </c>
      <c r="C1097">
        <v>47569</v>
      </c>
      <c r="D1097" t="s">
        <v>46</v>
      </c>
      <c r="E1097" t="s">
        <v>22</v>
      </c>
      <c r="F1097" s="27">
        <v>45737</v>
      </c>
      <c r="G1097">
        <v>1</v>
      </c>
      <c r="H1097">
        <v>1</v>
      </c>
      <c r="I1097" t="s">
        <v>668</v>
      </c>
      <c r="J1097" s="27">
        <v>45737</v>
      </c>
      <c r="L1097" s="29">
        <v>1128.8998357142857</v>
      </c>
      <c r="M1097" s="29">
        <v>1128.8998357142857</v>
      </c>
      <c r="N1097" s="15">
        <v>45717</v>
      </c>
    </row>
    <row r="1098" spans="1:14" x14ac:dyDescent="0.25">
      <c r="A1098">
        <v>394145</v>
      </c>
      <c r="B1098" t="s">
        <v>35</v>
      </c>
      <c r="C1098">
        <v>47569</v>
      </c>
      <c r="D1098" t="s">
        <v>46</v>
      </c>
      <c r="E1098" t="s">
        <v>22</v>
      </c>
      <c r="F1098" s="27">
        <v>45737</v>
      </c>
      <c r="G1098">
        <v>1.5</v>
      </c>
      <c r="H1098">
        <v>1.5</v>
      </c>
      <c r="I1098" t="s">
        <v>670</v>
      </c>
      <c r="J1098" s="27">
        <v>45737</v>
      </c>
      <c r="L1098" s="29">
        <v>1128.8998357142857</v>
      </c>
      <c r="M1098" s="29">
        <v>1693.3497535714287</v>
      </c>
      <c r="N1098" s="15">
        <v>45717</v>
      </c>
    </row>
    <row r="1099" spans="1:14" x14ac:dyDescent="0.25">
      <c r="A1099">
        <v>393895</v>
      </c>
      <c r="B1099" t="s">
        <v>35</v>
      </c>
      <c r="C1099">
        <v>47614</v>
      </c>
      <c r="D1099" t="s">
        <v>42</v>
      </c>
      <c r="E1099" t="s">
        <v>22</v>
      </c>
      <c r="F1099" s="27">
        <v>45737</v>
      </c>
      <c r="G1099">
        <v>0.5</v>
      </c>
      <c r="H1099">
        <v>0.5</v>
      </c>
      <c r="I1099">
        <v>544</v>
      </c>
      <c r="J1099" s="27">
        <v>45737</v>
      </c>
      <c r="L1099" s="29">
        <v>1418</v>
      </c>
      <c r="M1099" s="29">
        <v>709</v>
      </c>
      <c r="N1099" s="15">
        <v>45717</v>
      </c>
    </row>
    <row r="1100" spans="1:14" x14ac:dyDescent="0.25">
      <c r="A1100">
        <v>393956</v>
      </c>
      <c r="B1100" t="s">
        <v>35</v>
      </c>
      <c r="C1100">
        <v>47569</v>
      </c>
      <c r="D1100" t="s">
        <v>21</v>
      </c>
      <c r="E1100" t="s">
        <v>22</v>
      </c>
      <c r="F1100" s="27">
        <v>45737</v>
      </c>
      <c r="G1100">
        <v>6</v>
      </c>
      <c r="H1100">
        <v>6</v>
      </c>
      <c r="I1100" t="s">
        <v>678</v>
      </c>
      <c r="J1100" s="27">
        <v>45737</v>
      </c>
      <c r="L1100" s="29">
        <v>1693.3497535714287</v>
      </c>
      <c r="M1100" s="29">
        <v>10160.098521428572</v>
      </c>
      <c r="N1100" s="15">
        <v>45717</v>
      </c>
    </row>
    <row r="1101" spans="1:14" x14ac:dyDescent="0.25">
      <c r="A1101">
        <v>393957</v>
      </c>
      <c r="B1101" t="s">
        <v>35</v>
      </c>
      <c r="C1101">
        <v>47570</v>
      </c>
      <c r="D1101" t="s">
        <v>21</v>
      </c>
      <c r="E1101" t="s">
        <v>22</v>
      </c>
      <c r="F1101" s="27">
        <v>45737</v>
      </c>
      <c r="G1101">
        <v>2</v>
      </c>
      <c r="H1101">
        <v>2</v>
      </c>
      <c r="I1101" t="s">
        <v>310</v>
      </c>
      <c r="J1101" s="27">
        <v>45737</v>
      </c>
      <c r="L1101" s="29">
        <v>1693.3497535714287</v>
      </c>
      <c r="M1101" s="29">
        <v>3386.6995071428573</v>
      </c>
      <c r="N1101" s="15">
        <v>45717</v>
      </c>
    </row>
    <row r="1102" spans="1:14" x14ac:dyDescent="0.25">
      <c r="A1102">
        <v>393959</v>
      </c>
      <c r="B1102" t="s">
        <v>254</v>
      </c>
      <c r="C1102">
        <v>52107</v>
      </c>
      <c r="D1102" t="s">
        <v>32</v>
      </c>
      <c r="E1102" t="s">
        <v>22</v>
      </c>
      <c r="F1102" s="27">
        <v>45737</v>
      </c>
      <c r="G1102">
        <v>4</v>
      </c>
      <c r="H1102">
        <v>4</v>
      </c>
      <c r="I1102" t="s">
        <v>336</v>
      </c>
      <c r="J1102" s="27">
        <v>45737</v>
      </c>
      <c r="L1102" s="29">
        <v>2257.7996714285714</v>
      </c>
      <c r="M1102" s="29">
        <v>9031.1986857142856</v>
      </c>
      <c r="N1102" s="15">
        <v>45717</v>
      </c>
    </row>
    <row r="1103" spans="1:14" x14ac:dyDescent="0.25">
      <c r="A1103">
        <v>393960</v>
      </c>
      <c r="B1103" t="s">
        <v>28</v>
      </c>
      <c r="C1103">
        <v>52108</v>
      </c>
      <c r="D1103" t="s">
        <v>32</v>
      </c>
      <c r="E1103" t="s">
        <v>22</v>
      </c>
      <c r="F1103" s="27">
        <v>45737</v>
      </c>
      <c r="G1103">
        <v>3</v>
      </c>
      <c r="H1103">
        <v>3</v>
      </c>
      <c r="I1103" t="s">
        <v>336</v>
      </c>
      <c r="J1103" s="27">
        <v>45737</v>
      </c>
      <c r="L1103" s="29">
        <v>2257.7996714285714</v>
      </c>
      <c r="M1103" s="29">
        <v>6773.3990142857147</v>
      </c>
      <c r="N1103" s="15">
        <v>45717</v>
      </c>
    </row>
    <row r="1104" spans="1:14" x14ac:dyDescent="0.25">
      <c r="A1104">
        <v>393961</v>
      </c>
      <c r="B1104" t="s">
        <v>20</v>
      </c>
      <c r="C1104">
        <v>45135</v>
      </c>
      <c r="D1104" t="s">
        <v>32</v>
      </c>
      <c r="E1104" t="s">
        <v>22</v>
      </c>
      <c r="F1104" s="27">
        <v>45737</v>
      </c>
      <c r="G1104">
        <v>22</v>
      </c>
      <c r="H1104">
        <v>22</v>
      </c>
      <c r="I1104" t="s">
        <v>679</v>
      </c>
      <c r="J1104" s="27">
        <v>45737</v>
      </c>
      <c r="L1104" s="29">
        <v>2257.7996714285714</v>
      </c>
      <c r="M1104" s="29">
        <v>49671.592771428572</v>
      </c>
      <c r="N1104" s="15">
        <v>45717</v>
      </c>
    </row>
    <row r="1105" spans="1:14" x14ac:dyDescent="0.25">
      <c r="A1105">
        <v>393974</v>
      </c>
      <c r="B1105" t="s">
        <v>34</v>
      </c>
      <c r="C1105">
        <v>21152</v>
      </c>
      <c r="D1105" t="s">
        <v>32</v>
      </c>
      <c r="E1105" t="s">
        <v>19</v>
      </c>
      <c r="F1105" s="27">
        <v>45737</v>
      </c>
      <c r="G1105">
        <v>60</v>
      </c>
      <c r="H1105">
        <v>60</v>
      </c>
      <c r="I1105" t="s">
        <v>679</v>
      </c>
      <c r="J1105" s="27">
        <v>45737</v>
      </c>
      <c r="L1105" s="29">
        <v>2257.7996714285714</v>
      </c>
      <c r="M1105" s="29">
        <v>135467.98028571429</v>
      </c>
      <c r="N1105" s="15">
        <v>45717</v>
      </c>
    </row>
    <row r="1106" spans="1:14" x14ac:dyDescent="0.25">
      <c r="A1106">
        <v>398071</v>
      </c>
      <c r="B1106" t="s">
        <v>18</v>
      </c>
      <c r="C1106">
        <v>17</v>
      </c>
      <c r="D1106" t="s">
        <v>27</v>
      </c>
      <c r="E1106" t="s">
        <v>19</v>
      </c>
      <c r="F1106" s="27">
        <v>45737</v>
      </c>
      <c r="G1106">
        <v>8</v>
      </c>
      <c r="H1106">
        <v>8</v>
      </c>
      <c r="I1106" t="s">
        <v>463</v>
      </c>
      <c r="J1106" s="27">
        <v>45747</v>
      </c>
      <c r="L1106" s="29">
        <v>602.07991249999998</v>
      </c>
      <c r="M1106" s="29">
        <v>4816.6392999999998</v>
      </c>
      <c r="N1106" s="15">
        <v>45717</v>
      </c>
    </row>
    <row r="1107" spans="1:14" x14ac:dyDescent="0.25">
      <c r="A1107">
        <v>393979</v>
      </c>
      <c r="B1107" t="s">
        <v>31</v>
      </c>
      <c r="C1107">
        <v>13969</v>
      </c>
      <c r="D1107" t="s">
        <v>32</v>
      </c>
      <c r="E1107" t="s">
        <v>19</v>
      </c>
      <c r="F1107" s="27">
        <v>45737</v>
      </c>
      <c r="G1107">
        <v>60</v>
      </c>
      <c r="H1107">
        <v>60</v>
      </c>
      <c r="I1107" t="s">
        <v>680</v>
      </c>
      <c r="J1107" s="27">
        <v>45737</v>
      </c>
      <c r="L1107" s="29">
        <v>2257.7996714285714</v>
      </c>
      <c r="M1107" s="29">
        <v>135467.98028571429</v>
      </c>
      <c r="N1107" s="15">
        <v>45717</v>
      </c>
    </row>
    <row r="1108" spans="1:14" x14ac:dyDescent="0.25">
      <c r="A1108">
        <v>393981</v>
      </c>
      <c r="B1108" t="s">
        <v>35</v>
      </c>
      <c r="C1108">
        <v>47572</v>
      </c>
      <c r="D1108" t="s">
        <v>46</v>
      </c>
      <c r="E1108" t="s">
        <v>22</v>
      </c>
      <c r="F1108" s="27">
        <v>45737</v>
      </c>
      <c r="G1108">
        <v>0.5</v>
      </c>
      <c r="H1108">
        <v>0.5</v>
      </c>
      <c r="I1108" t="s">
        <v>331</v>
      </c>
      <c r="J1108" s="27">
        <v>45737</v>
      </c>
      <c r="L1108" s="29">
        <v>1128.8998357142857</v>
      </c>
      <c r="M1108" s="29">
        <v>564.44991785714285</v>
      </c>
      <c r="N1108" s="15">
        <v>45717</v>
      </c>
    </row>
    <row r="1109" spans="1:14" x14ac:dyDescent="0.25">
      <c r="A1109">
        <v>393519</v>
      </c>
      <c r="B1109" t="s">
        <v>35</v>
      </c>
      <c r="C1109">
        <v>47568</v>
      </c>
      <c r="D1109" t="s">
        <v>36</v>
      </c>
      <c r="E1109" t="s">
        <v>22</v>
      </c>
      <c r="F1109" s="27">
        <v>45736</v>
      </c>
      <c r="G1109">
        <v>3</v>
      </c>
      <c r="H1109">
        <v>3</v>
      </c>
      <c r="I1109" t="s">
        <v>681</v>
      </c>
      <c r="J1109" s="27">
        <v>45736</v>
      </c>
      <c r="L1109" s="29">
        <v>1806.2397375</v>
      </c>
      <c r="M1109" s="29">
        <v>5418.7192125000001</v>
      </c>
      <c r="N1109" s="15">
        <v>45717</v>
      </c>
    </row>
    <row r="1110" spans="1:14" x14ac:dyDescent="0.25">
      <c r="A1110">
        <v>393571</v>
      </c>
      <c r="B1110" t="s">
        <v>35</v>
      </c>
      <c r="C1110">
        <v>47572</v>
      </c>
      <c r="D1110" t="s">
        <v>46</v>
      </c>
      <c r="E1110" t="s">
        <v>22</v>
      </c>
      <c r="F1110" s="27">
        <v>45736</v>
      </c>
      <c r="G1110">
        <v>1</v>
      </c>
      <c r="H1110">
        <v>1</v>
      </c>
      <c r="I1110" t="s">
        <v>331</v>
      </c>
      <c r="J1110" s="27">
        <v>45736</v>
      </c>
      <c r="L1110" s="29">
        <v>1128.8998357142857</v>
      </c>
      <c r="M1110" s="29">
        <v>1128.8998357142857</v>
      </c>
      <c r="N1110" s="15">
        <v>45717</v>
      </c>
    </row>
    <row r="1111" spans="1:14" x14ac:dyDescent="0.25">
      <c r="A1111">
        <v>393572</v>
      </c>
      <c r="B1111" t="s">
        <v>35</v>
      </c>
      <c r="C1111">
        <v>47569</v>
      </c>
      <c r="D1111" t="s">
        <v>46</v>
      </c>
      <c r="E1111" t="s">
        <v>22</v>
      </c>
      <c r="F1111" s="27">
        <v>45736</v>
      </c>
      <c r="G1111">
        <v>7.5</v>
      </c>
      <c r="H1111">
        <v>7.5</v>
      </c>
      <c r="I1111" t="s">
        <v>670</v>
      </c>
      <c r="J1111" s="27">
        <v>45736</v>
      </c>
      <c r="L1111" s="29">
        <v>1128.8998357142857</v>
      </c>
      <c r="M1111" s="29">
        <v>8466.7487678571433</v>
      </c>
      <c r="N1111" s="15">
        <v>45717</v>
      </c>
    </row>
    <row r="1112" spans="1:14" x14ac:dyDescent="0.25">
      <c r="A1112">
        <v>432241</v>
      </c>
      <c r="B1112" t="s">
        <v>60</v>
      </c>
      <c r="C1112">
        <v>55514</v>
      </c>
      <c r="D1112" t="s">
        <v>25</v>
      </c>
      <c r="E1112" t="s">
        <v>22</v>
      </c>
      <c r="F1112" s="27">
        <v>45736</v>
      </c>
      <c r="G1112">
        <v>32</v>
      </c>
      <c r="H1112">
        <v>32</v>
      </c>
      <c r="I1112" t="s">
        <v>294</v>
      </c>
      <c r="J1112" s="27">
        <v>45836</v>
      </c>
      <c r="L1112" s="29">
        <v>1128.8998357142857</v>
      </c>
      <c r="M1112" s="29">
        <v>36124.794742857142</v>
      </c>
      <c r="N1112" s="15">
        <v>45717</v>
      </c>
    </row>
    <row r="1113" spans="1:14" x14ac:dyDescent="0.25">
      <c r="A1113">
        <v>431997</v>
      </c>
      <c r="B1113" t="s">
        <v>254</v>
      </c>
      <c r="C1113">
        <v>47665</v>
      </c>
      <c r="D1113" t="s">
        <v>33</v>
      </c>
      <c r="E1113" t="s">
        <v>22</v>
      </c>
      <c r="F1113" s="27">
        <v>45736</v>
      </c>
      <c r="G1113">
        <v>37</v>
      </c>
      <c r="H1113">
        <v>37</v>
      </c>
      <c r="I1113" t="s">
        <v>682</v>
      </c>
      <c r="J1113" s="27">
        <v>45835</v>
      </c>
      <c r="L1113" s="29">
        <v>1505.1997809523809</v>
      </c>
      <c r="M1113" s="29">
        <v>55692.391895238092</v>
      </c>
      <c r="N1113" s="15">
        <v>45717</v>
      </c>
    </row>
    <row r="1114" spans="1:14" x14ac:dyDescent="0.25">
      <c r="A1114">
        <v>393882</v>
      </c>
      <c r="B1114" t="s">
        <v>35</v>
      </c>
      <c r="C1114">
        <v>47614</v>
      </c>
      <c r="D1114" t="s">
        <v>42</v>
      </c>
      <c r="E1114" t="s">
        <v>22</v>
      </c>
      <c r="F1114" s="27">
        <v>45736</v>
      </c>
      <c r="G1114">
        <v>0.5</v>
      </c>
      <c r="H1114">
        <v>0.5</v>
      </c>
      <c r="I1114">
        <v>544</v>
      </c>
      <c r="J1114" s="27">
        <v>45737</v>
      </c>
      <c r="L1114" s="29">
        <v>1418</v>
      </c>
      <c r="M1114" s="29">
        <v>709</v>
      </c>
      <c r="N1114" s="15">
        <v>45717</v>
      </c>
    </row>
    <row r="1115" spans="1:14" x14ac:dyDescent="0.25">
      <c r="A1115">
        <v>393884</v>
      </c>
      <c r="B1115" t="s">
        <v>35</v>
      </c>
      <c r="C1115">
        <v>47614</v>
      </c>
      <c r="D1115" t="s">
        <v>42</v>
      </c>
      <c r="E1115" t="s">
        <v>22</v>
      </c>
      <c r="F1115" s="27">
        <v>45736</v>
      </c>
      <c r="G1115">
        <v>1</v>
      </c>
      <c r="H1115">
        <v>1</v>
      </c>
      <c r="I1115">
        <v>1572</v>
      </c>
      <c r="J1115" s="27">
        <v>45737</v>
      </c>
      <c r="L1115" s="29">
        <v>1418</v>
      </c>
      <c r="M1115" s="29">
        <v>1418</v>
      </c>
      <c r="N1115" s="15">
        <v>45717</v>
      </c>
    </row>
    <row r="1116" spans="1:14" x14ac:dyDescent="0.25">
      <c r="A1116">
        <v>432285</v>
      </c>
      <c r="B1116" t="s">
        <v>29</v>
      </c>
      <c r="C1116">
        <v>53428</v>
      </c>
      <c r="D1116" t="s">
        <v>44</v>
      </c>
      <c r="E1116" t="s">
        <v>22</v>
      </c>
      <c r="F1116" s="27">
        <v>45736</v>
      </c>
      <c r="G1116">
        <v>5</v>
      </c>
      <c r="H1116">
        <v>5</v>
      </c>
      <c r="I1116" t="s">
        <v>294</v>
      </c>
      <c r="J1116" s="27">
        <v>45836</v>
      </c>
      <c r="L1116" s="29">
        <v>2107.2796934523808</v>
      </c>
      <c r="M1116" s="29">
        <v>10536.398467261904</v>
      </c>
      <c r="N1116" s="15">
        <v>45717</v>
      </c>
    </row>
    <row r="1117" spans="1:14" x14ac:dyDescent="0.25">
      <c r="A1117">
        <v>432309</v>
      </c>
      <c r="B1117" t="s">
        <v>60</v>
      </c>
      <c r="C1117">
        <v>55514</v>
      </c>
      <c r="D1117" t="s">
        <v>32</v>
      </c>
      <c r="E1117" t="s">
        <v>22</v>
      </c>
      <c r="F1117" s="27">
        <v>45736</v>
      </c>
      <c r="G1117">
        <v>19</v>
      </c>
      <c r="H1117">
        <v>19</v>
      </c>
      <c r="I1117" t="s">
        <v>294</v>
      </c>
      <c r="J1117" s="27">
        <v>45836</v>
      </c>
      <c r="L1117" s="29">
        <v>2257.7996714285714</v>
      </c>
      <c r="M1117" s="29">
        <v>42898.193757142857</v>
      </c>
      <c r="N1117" s="15">
        <v>45717</v>
      </c>
    </row>
    <row r="1118" spans="1:14" x14ac:dyDescent="0.25">
      <c r="A1118">
        <v>393952</v>
      </c>
      <c r="B1118" t="s">
        <v>35</v>
      </c>
      <c r="C1118">
        <v>47591</v>
      </c>
      <c r="D1118" t="s">
        <v>21</v>
      </c>
      <c r="E1118" t="s">
        <v>22</v>
      </c>
      <c r="F1118" s="27">
        <v>45736</v>
      </c>
      <c r="G1118">
        <v>1.5</v>
      </c>
      <c r="H1118">
        <v>1.5</v>
      </c>
      <c r="I1118" t="s">
        <v>683</v>
      </c>
      <c r="J1118" s="27">
        <v>45737</v>
      </c>
      <c r="L1118" s="29">
        <v>1693.3497535714287</v>
      </c>
      <c r="M1118" s="29">
        <v>2540.024630357143</v>
      </c>
      <c r="N1118" s="15">
        <v>45717</v>
      </c>
    </row>
    <row r="1119" spans="1:14" x14ac:dyDescent="0.25">
      <c r="A1119">
        <v>393953</v>
      </c>
      <c r="B1119" t="s">
        <v>35</v>
      </c>
      <c r="C1119">
        <v>47568</v>
      </c>
      <c r="D1119" t="s">
        <v>21</v>
      </c>
      <c r="E1119" t="s">
        <v>22</v>
      </c>
      <c r="F1119" s="27">
        <v>45736</v>
      </c>
      <c r="G1119">
        <v>6.5</v>
      </c>
      <c r="H1119">
        <v>6.5</v>
      </c>
      <c r="I1119" t="s">
        <v>684</v>
      </c>
      <c r="J1119" s="27">
        <v>45737</v>
      </c>
      <c r="L1119" s="29">
        <v>1693.3497535714287</v>
      </c>
      <c r="M1119" s="29">
        <v>11006.773398214285</v>
      </c>
      <c r="N1119" s="15">
        <v>45717</v>
      </c>
    </row>
    <row r="1120" spans="1:14" x14ac:dyDescent="0.25">
      <c r="A1120">
        <v>398070</v>
      </c>
      <c r="B1120" t="s">
        <v>18</v>
      </c>
      <c r="C1120">
        <v>17</v>
      </c>
      <c r="D1120" t="s">
        <v>27</v>
      </c>
      <c r="E1120" t="s">
        <v>19</v>
      </c>
      <c r="F1120" s="27">
        <v>45736</v>
      </c>
      <c r="G1120">
        <v>8</v>
      </c>
      <c r="H1120">
        <v>8</v>
      </c>
      <c r="I1120" t="s">
        <v>463</v>
      </c>
      <c r="J1120" s="27">
        <v>45747</v>
      </c>
      <c r="L1120" s="29">
        <v>602.07991249999998</v>
      </c>
      <c r="M1120" s="29">
        <v>4816.6392999999998</v>
      </c>
      <c r="N1120" s="15">
        <v>45717</v>
      </c>
    </row>
    <row r="1121" spans="1:14" x14ac:dyDescent="0.25">
      <c r="A1121">
        <v>393980</v>
      </c>
      <c r="B1121" t="s">
        <v>35</v>
      </c>
      <c r="C1121">
        <v>47569</v>
      </c>
      <c r="D1121" t="s">
        <v>30</v>
      </c>
      <c r="E1121" t="s">
        <v>22</v>
      </c>
      <c r="F1121" s="27">
        <v>45736</v>
      </c>
      <c r="G1121">
        <v>8</v>
      </c>
      <c r="H1121">
        <v>8</v>
      </c>
      <c r="I1121" t="s">
        <v>685</v>
      </c>
      <c r="J1121" s="27">
        <v>45737</v>
      </c>
      <c r="L1121" s="29">
        <v>602.07991249999998</v>
      </c>
      <c r="M1121" s="29">
        <v>4816.6392999999998</v>
      </c>
      <c r="N1121" s="15">
        <v>45717</v>
      </c>
    </row>
    <row r="1122" spans="1:14" x14ac:dyDescent="0.25">
      <c r="A1122">
        <v>393232</v>
      </c>
      <c r="B1122" t="s">
        <v>35</v>
      </c>
      <c r="C1122">
        <v>47568</v>
      </c>
      <c r="D1122" t="s">
        <v>36</v>
      </c>
      <c r="E1122" t="s">
        <v>22</v>
      </c>
      <c r="F1122" s="27">
        <v>45735</v>
      </c>
      <c r="G1122">
        <v>2</v>
      </c>
      <c r="H1122">
        <v>2</v>
      </c>
      <c r="I1122">
        <v>1394</v>
      </c>
      <c r="J1122" s="27">
        <v>45736</v>
      </c>
      <c r="L1122" s="29">
        <v>1806.2397375</v>
      </c>
      <c r="M1122" s="29">
        <v>3612.4794750000001</v>
      </c>
      <c r="N1122" s="15">
        <v>45717</v>
      </c>
    </row>
    <row r="1123" spans="1:14" x14ac:dyDescent="0.25">
      <c r="A1123">
        <v>393235</v>
      </c>
      <c r="B1123" t="s">
        <v>35</v>
      </c>
      <c r="C1123">
        <v>47569</v>
      </c>
      <c r="D1123" t="s">
        <v>36</v>
      </c>
      <c r="E1123" t="s">
        <v>22</v>
      </c>
      <c r="F1123" s="27">
        <v>45735</v>
      </c>
      <c r="G1123">
        <v>2</v>
      </c>
      <c r="H1123">
        <v>2</v>
      </c>
      <c r="I1123">
        <v>1556</v>
      </c>
      <c r="J1123" s="27">
        <v>45736</v>
      </c>
      <c r="L1123" s="29">
        <v>1806.2397375</v>
      </c>
      <c r="M1123" s="29">
        <v>3612.4794750000001</v>
      </c>
      <c r="N1123" s="15">
        <v>45717</v>
      </c>
    </row>
    <row r="1124" spans="1:14" x14ac:dyDescent="0.25">
      <c r="A1124">
        <v>393236</v>
      </c>
      <c r="B1124" t="s">
        <v>35</v>
      </c>
      <c r="C1124">
        <v>47570</v>
      </c>
      <c r="D1124" t="s">
        <v>36</v>
      </c>
      <c r="E1124" t="s">
        <v>22</v>
      </c>
      <c r="F1124" s="27">
        <v>45735</v>
      </c>
      <c r="G1124">
        <v>1</v>
      </c>
      <c r="H1124">
        <v>1</v>
      </c>
      <c r="I1124">
        <v>1408</v>
      </c>
      <c r="J1124" s="27">
        <v>45736</v>
      </c>
      <c r="L1124" s="29">
        <v>1806.2397375</v>
      </c>
      <c r="M1124" s="29">
        <v>1806.2397375</v>
      </c>
      <c r="N1124" s="15">
        <v>45717</v>
      </c>
    </row>
    <row r="1125" spans="1:14" x14ac:dyDescent="0.25">
      <c r="A1125">
        <v>393237</v>
      </c>
      <c r="B1125" t="s">
        <v>35</v>
      </c>
      <c r="C1125">
        <v>47572</v>
      </c>
      <c r="D1125" t="s">
        <v>36</v>
      </c>
      <c r="E1125" t="s">
        <v>22</v>
      </c>
      <c r="F1125" s="27">
        <v>45735</v>
      </c>
      <c r="G1125">
        <v>3</v>
      </c>
      <c r="H1125">
        <v>3</v>
      </c>
      <c r="I1125" t="s">
        <v>686</v>
      </c>
      <c r="J1125" s="27">
        <v>45736</v>
      </c>
      <c r="L1125" s="29">
        <v>1806.2397375</v>
      </c>
      <c r="M1125" s="29">
        <v>5418.7192125000001</v>
      </c>
      <c r="N1125" s="15">
        <v>45717</v>
      </c>
    </row>
    <row r="1126" spans="1:14" x14ac:dyDescent="0.25">
      <c r="A1126">
        <v>393768</v>
      </c>
      <c r="B1126" t="s">
        <v>35</v>
      </c>
      <c r="C1126">
        <v>47569</v>
      </c>
      <c r="D1126" t="s">
        <v>30</v>
      </c>
      <c r="E1126" t="s">
        <v>22</v>
      </c>
      <c r="F1126" s="27">
        <v>45735</v>
      </c>
      <c r="G1126">
        <v>6</v>
      </c>
      <c r="H1126">
        <v>6</v>
      </c>
      <c r="I1126" t="s">
        <v>687</v>
      </c>
      <c r="J1126" s="27">
        <v>45737</v>
      </c>
      <c r="L1126" s="29">
        <v>602.07991249999998</v>
      </c>
      <c r="M1126" s="29">
        <v>3612.4794750000001</v>
      </c>
      <c r="N1126" s="15">
        <v>45717</v>
      </c>
    </row>
    <row r="1127" spans="1:14" x14ac:dyDescent="0.25">
      <c r="A1127">
        <v>432242</v>
      </c>
      <c r="B1127" t="s">
        <v>47</v>
      </c>
      <c r="C1127">
        <v>53726</v>
      </c>
      <c r="D1127" t="s">
        <v>25</v>
      </c>
      <c r="E1127" t="s">
        <v>22</v>
      </c>
      <c r="F1127" s="27">
        <v>45735</v>
      </c>
      <c r="G1127">
        <v>80</v>
      </c>
      <c r="H1127">
        <v>80</v>
      </c>
      <c r="I1127" t="s">
        <v>294</v>
      </c>
      <c r="J1127" s="27">
        <v>45836</v>
      </c>
      <c r="L1127" s="29">
        <v>1128.8998357142857</v>
      </c>
      <c r="M1127" s="29">
        <v>90311.986857142852</v>
      </c>
      <c r="N1127" s="15">
        <v>45717</v>
      </c>
    </row>
    <row r="1128" spans="1:14" x14ac:dyDescent="0.25">
      <c r="A1128">
        <v>393103</v>
      </c>
      <c r="B1128" t="s">
        <v>35</v>
      </c>
      <c r="C1128">
        <v>47572</v>
      </c>
      <c r="D1128" t="s">
        <v>46</v>
      </c>
      <c r="E1128" t="s">
        <v>22</v>
      </c>
      <c r="F1128" s="27">
        <v>45735</v>
      </c>
      <c r="G1128">
        <v>1</v>
      </c>
      <c r="H1128">
        <v>1</v>
      </c>
      <c r="I1128" t="s">
        <v>331</v>
      </c>
      <c r="J1128" s="27">
        <v>45735</v>
      </c>
      <c r="L1128" s="29">
        <v>1128.8998357142857</v>
      </c>
      <c r="M1128" s="29">
        <v>1128.8998357142857</v>
      </c>
      <c r="N1128" s="15">
        <v>45717</v>
      </c>
    </row>
    <row r="1129" spans="1:14" x14ac:dyDescent="0.25">
      <c r="A1129">
        <v>393104</v>
      </c>
      <c r="B1129" t="s">
        <v>35</v>
      </c>
      <c r="C1129">
        <v>47569</v>
      </c>
      <c r="D1129" t="s">
        <v>46</v>
      </c>
      <c r="E1129" t="s">
        <v>22</v>
      </c>
      <c r="F1129" s="27">
        <v>45735</v>
      </c>
      <c r="G1129">
        <v>5</v>
      </c>
      <c r="H1129">
        <v>5</v>
      </c>
      <c r="I1129" t="s">
        <v>670</v>
      </c>
      <c r="J1129" s="27">
        <v>45735</v>
      </c>
      <c r="L1129" s="29">
        <v>1128.8998357142857</v>
      </c>
      <c r="M1129" s="29">
        <v>5644.4991785714283</v>
      </c>
      <c r="N1129" s="15">
        <v>45717</v>
      </c>
    </row>
    <row r="1130" spans="1:14" x14ac:dyDescent="0.25">
      <c r="A1130">
        <v>432303</v>
      </c>
      <c r="B1130" t="s">
        <v>254</v>
      </c>
      <c r="C1130">
        <v>45363</v>
      </c>
      <c r="D1130" t="s">
        <v>257</v>
      </c>
      <c r="E1130" t="s">
        <v>22</v>
      </c>
      <c r="F1130" s="27">
        <v>45735</v>
      </c>
      <c r="G1130">
        <v>3</v>
      </c>
      <c r="H1130">
        <v>3</v>
      </c>
      <c r="I1130" t="s">
        <v>294</v>
      </c>
      <c r="J1130" s="27">
        <v>45836</v>
      </c>
      <c r="L1130" s="29">
        <v>1354.6798029761903</v>
      </c>
      <c r="M1130" s="29">
        <v>4064.039408928571</v>
      </c>
      <c r="N1130" s="15">
        <v>45717</v>
      </c>
    </row>
    <row r="1131" spans="1:14" x14ac:dyDescent="0.25">
      <c r="A1131">
        <v>432306</v>
      </c>
      <c r="B1131" t="s">
        <v>254</v>
      </c>
      <c r="C1131">
        <v>47665</v>
      </c>
      <c r="D1131" t="s">
        <v>41</v>
      </c>
      <c r="E1131" t="s">
        <v>22</v>
      </c>
      <c r="F1131" s="27">
        <v>45735</v>
      </c>
      <c r="G1131">
        <v>8</v>
      </c>
      <c r="H1131">
        <v>8</v>
      </c>
      <c r="I1131" t="s">
        <v>294</v>
      </c>
      <c r="J1131" s="27">
        <v>45836</v>
      </c>
      <c r="L1131" s="29">
        <v>1505.1997809523809</v>
      </c>
      <c r="M1131" s="29">
        <v>12041.598247619047</v>
      </c>
      <c r="N1131" s="15">
        <v>45717</v>
      </c>
    </row>
    <row r="1132" spans="1:14" x14ac:dyDescent="0.25">
      <c r="A1132">
        <v>393948</v>
      </c>
      <c r="B1132" t="s">
        <v>35</v>
      </c>
      <c r="C1132">
        <v>47569</v>
      </c>
      <c r="D1132" t="s">
        <v>21</v>
      </c>
      <c r="E1132" t="s">
        <v>22</v>
      </c>
      <c r="F1132" s="27">
        <v>45735</v>
      </c>
      <c r="G1132">
        <v>1</v>
      </c>
      <c r="H1132">
        <v>1</v>
      </c>
      <c r="I1132" t="s">
        <v>688</v>
      </c>
      <c r="J1132" s="27">
        <v>45737</v>
      </c>
      <c r="L1132" s="29">
        <v>1693.3497535714287</v>
      </c>
      <c r="M1132" s="29">
        <v>1693.3497535714287</v>
      </c>
      <c r="N1132" s="15">
        <v>45717</v>
      </c>
    </row>
    <row r="1133" spans="1:14" x14ac:dyDescent="0.25">
      <c r="A1133">
        <v>393949</v>
      </c>
      <c r="B1133" t="s">
        <v>35</v>
      </c>
      <c r="C1133">
        <v>47572</v>
      </c>
      <c r="D1133" t="s">
        <v>21</v>
      </c>
      <c r="E1133" t="s">
        <v>22</v>
      </c>
      <c r="F1133" s="27">
        <v>45735</v>
      </c>
      <c r="G1133">
        <v>1</v>
      </c>
      <c r="H1133">
        <v>1</v>
      </c>
      <c r="I1133" t="s">
        <v>689</v>
      </c>
      <c r="J1133" s="27">
        <v>45737</v>
      </c>
      <c r="L1133" s="29">
        <v>1693.3497535714287</v>
      </c>
      <c r="M1133" s="29">
        <v>1693.3497535714287</v>
      </c>
      <c r="N1133" s="15">
        <v>45717</v>
      </c>
    </row>
    <row r="1134" spans="1:14" x14ac:dyDescent="0.25">
      <c r="A1134">
        <v>393950</v>
      </c>
      <c r="B1134" t="s">
        <v>35</v>
      </c>
      <c r="C1134">
        <v>47572</v>
      </c>
      <c r="D1134" t="s">
        <v>21</v>
      </c>
      <c r="E1134" t="s">
        <v>22</v>
      </c>
      <c r="F1134" s="27">
        <v>45735</v>
      </c>
      <c r="G1134">
        <v>1</v>
      </c>
      <c r="H1134">
        <v>1</v>
      </c>
      <c r="I1134" t="s">
        <v>690</v>
      </c>
      <c r="J1134" s="27">
        <v>45737</v>
      </c>
      <c r="L1134" s="29">
        <v>1693.3497535714287</v>
      </c>
      <c r="M1134" s="29">
        <v>1693.3497535714287</v>
      </c>
      <c r="N1134" s="15">
        <v>45717</v>
      </c>
    </row>
    <row r="1135" spans="1:14" x14ac:dyDescent="0.25">
      <c r="A1135">
        <v>393951</v>
      </c>
      <c r="B1135" t="s">
        <v>35</v>
      </c>
      <c r="C1135">
        <v>47568</v>
      </c>
      <c r="D1135" t="s">
        <v>21</v>
      </c>
      <c r="E1135" t="s">
        <v>22</v>
      </c>
      <c r="F1135" s="27">
        <v>45735</v>
      </c>
      <c r="G1135">
        <v>5</v>
      </c>
      <c r="H1135">
        <v>5</v>
      </c>
      <c r="I1135" t="s">
        <v>691</v>
      </c>
      <c r="J1135" s="27">
        <v>45737</v>
      </c>
      <c r="L1135" s="29">
        <v>1693.3497535714287</v>
      </c>
      <c r="M1135" s="29">
        <v>8466.7487678571433</v>
      </c>
      <c r="N1135" s="15">
        <v>45717</v>
      </c>
    </row>
    <row r="1136" spans="1:14" x14ac:dyDescent="0.25">
      <c r="A1136">
        <v>398068</v>
      </c>
      <c r="B1136" t="s">
        <v>18</v>
      </c>
      <c r="C1136">
        <v>17</v>
      </c>
      <c r="D1136" t="s">
        <v>27</v>
      </c>
      <c r="E1136" t="s">
        <v>19</v>
      </c>
      <c r="F1136" s="27">
        <v>45735</v>
      </c>
      <c r="G1136">
        <v>8</v>
      </c>
      <c r="H1136">
        <v>8</v>
      </c>
      <c r="I1136" t="s">
        <v>463</v>
      </c>
      <c r="J1136" s="27">
        <v>45747</v>
      </c>
      <c r="L1136" s="29">
        <v>602.07991249999998</v>
      </c>
      <c r="M1136" s="29">
        <v>4816.6392999999998</v>
      </c>
      <c r="N1136" s="15">
        <v>45717</v>
      </c>
    </row>
    <row r="1137" spans="1:14" x14ac:dyDescent="0.25">
      <c r="A1137">
        <v>392957</v>
      </c>
      <c r="B1137" t="s">
        <v>35</v>
      </c>
      <c r="C1137">
        <v>47569</v>
      </c>
      <c r="D1137" t="s">
        <v>46</v>
      </c>
      <c r="E1137" t="s">
        <v>22</v>
      </c>
      <c r="F1137" s="27">
        <v>45735</v>
      </c>
      <c r="G1137">
        <v>2</v>
      </c>
      <c r="H1137">
        <v>2</v>
      </c>
      <c r="I1137" t="s">
        <v>692</v>
      </c>
      <c r="J1137" s="27">
        <v>45735</v>
      </c>
      <c r="L1137" s="29">
        <v>1128.8998357142857</v>
      </c>
      <c r="M1137" s="29">
        <v>2257.7996714285714</v>
      </c>
      <c r="N1137" s="15">
        <v>45717</v>
      </c>
    </row>
    <row r="1138" spans="1:14" x14ac:dyDescent="0.25">
      <c r="A1138">
        <v>393730</v>
      </c>
      <c r="B1138" t="s">
        <v>34</v>
      </c>
      <c r="C1138">
        <v>21152</v>
      </c>
      <c r="D1138" t="s">
        <v>33</v>
      </c>
      <c r="E1138" t="s">
        <v>19</v>
      </c>
      <c r="F1138" s="27">
        <v>45734</v>
      </c>
      <c r="G1138">
        <v>15</v>
      </c>
      <c r="H1138">
        <v>15</v>
      </c>
      <c r="I1138" t="s">
        <v>693</v>
      </c>
      <c r="J1138" s="27">
        <v>45737</v>
      </c>
      <c r="L1138" s="29">
        <v>1505.1997809523809</v>
      </c>
      <c r="M1138" s="29">
        <v>22577.996714285713</v>
      </c>
      <c r="N1138" s="15">
        <v>45717</v>
      </c>
    </row>
    <row r="1139" spans="1:14" x14ac:dyDescent="0.25">
      <c r="A1139">
        <v>392736</v>
      </c>
      <c r="B1139" t="s">
        <v>35</v>
      </c>
      <c r="C1139">
        <v>47570</v>
      </c>
      <c r="D1139" t="s">
        <v>36</v>
      </c>
      <c r="E1139" t="s">
        <v>22</v>
      </c>
      <c r="F1139" s="27">
        <v>45734</v>
      </c>
      <c r="G1139">
        <v>2.5</v>
      </c>
      <c r="H1139">
        <v>2.5</v>
      </c>
      <c r="I1139" t="s">
        <v>633</v>
      </c>
      <c r="J1139" s="27">
        <v>45734</v>
      </c>
      <c r="L1139" s="29">
        <v>1806.2397375</v>
      </c>
      <c r="M1139" s="29">
        <v>4515.5993437500001</v>
      </c>
      <c r="N1139" s="15">
        <v>45717</v>
      </c>
    </row>
    <row r="1140" spans="1:14" x14ac:dyDescent="0.25">
      <c r="A1140">
        <v>392737</v>
      </c>
      <c r="B1140" t="s">
        <v>35</v>
      </c>
      <c r="C1140">
        <v>47569</v>
      </c>
      <c r="D1140" t="s">
        <v>36</v>
      </c>
      <c r="E1140" t="s">
        <v>22</v>
      </c>
      <c r="F1140" s="27">
        <v>45734</v>
      </c>
      <c r="G1140">
        <v>4</v>
      </c>
      <c r="H1140">
        <v>4</v>
      </c>
      <c r="I1140">
        <v>1394</v>
      </c>
      <c r="J1140" s="27">
        <v>45734</v>
      </c>
      <c r="L1140" s="29">
        <v>1806.2397375</v>
      </c>
      <c r="M1140" s="29">
        <v>7224.9589500000002</v>
      </c>
      <c r="N1140" s="15">
        <v>45717</v>
      </c>
    </row>
    <row r="1141" spans="1:14" x14ac:dyDescent="0.25">
      <c r="A1141">
        <v>392738</v>
      </c>
      <c r="B1141" t="s">
        <v>35</v>
      </c>
      <c r="C1141">
        <v>47572</v>
      </c>
      <c r="D1141" t="s">
        <v>36</v>
      </c>
      <c r="E1141" t="s">
        <v>22</v>
      </c>
      <c r="F1141" s="27">
        <v>45734</v>
      </c>
      <c r="G1141">
        <v>1.6</v>
      </c>
      <c r="H1141">
        <v>1.6</v>
      </c>
      <c r="I1141" t="s">
        <v>637</v>
      </c>
      <c r="J1141" s="27">
        <v>45734</v>
      </c>
      <c r="L1141" s="29">
        <v>1806.2397375</v>
      </c>
      <c r="M1141" s="29">
        <v>2889.9835800000001</v>
      </c>
      <c r="N1141" s="15">
        <v>45717</v>
      </c>
    </row>
    <row r="1142" spans="1:14" x14ac:dyDescent="0.25">
      <c r="A1142">
        <v>393765</v>
      </c>
      <c r="B1142" t="s">
        <v>35</v>
      </c>
      <c r="C1142">
        <v>47569</v>
      </c>
      <c r="D1142" t="s">
        <v>30</v>
      </c>
      <c r="E1142" t="s">
        <v>22</v>
      </c>
      <c r="F1142" s="27">
        <v>45734</v>
      </c>
      <c r="G1142">
        <v>2</v>
      </c>
      <c r="H1142">
        <v>2</v>
      </c>
      <c r="I1142" t="s">
        <v>694</v>
      </c>
      <c r="J1142" s="27">
        <v>45737</v>
      </c>
      <c r="L1142" s="29">
        <v>602.07991249999998</v>
      </c>
      <c r="M1142" s="29">
        <v>1204.159825</v>
      </c>
      <c r="N1142" s="15">
        <v>45717</v>
      </c>
    </row>
    <row r="1143" spans="1:14" x14ac:dyDescent="0.25">
      <c r="A1143">
        <v>393766</v>
      </c>
      <c r="B1143" t="s">
        <v>35</v>
      </c>
      <c r="C1143">
        <v>47569</v>
      </c>
      <c r="D1143" t="s">
        <v>30</v>
      </c>
      <c r="E1143" t="s">
        <v>22</v>
      </c>
      <c r="F1143" s="27">
        <v>45734</v>
      </c>
      <c r="G1143">
        <v>8</v>
      </c>
      <c r="H1143">
        <v>8</v>
      </c>
      <c r="I1143" t="s">
        <v>695</v>
      </c>
      <c r="J1143" s="27">
        <v>45737</v>
      </c>
      <c r="L1143" s="29">
        <v>602.07991249999998</v>
      </c>
      <c r="M1143" s="29">
        <v>4816.6392999999998</v>
      </c>
      <c r="N1143" s="15">
        <v>45717</v>
      </c>
    </row>
    <row r="1144" spans="1:14" x14ac:dyDescent="0.25">
      <c r="A1144">
        <v>442467</v>
      </c>
      <c r="B1144" t="s">
        <v>1011</v>
      </c>
      <c r="C1144">
        <v>52593</v>
      </c>
      <c r="D1144" t="s">
        <v>33</v>
      </c>
      <c r="E1144" t="s">
        <v>22</v>
      </c>
      <c r="F1144" s="27">
        <v>45734</v>
      </c>
      <c r="G1144">
        <v>2</v>
      </c>
      <c r="H1144">
        <v>2</v>
      </c>
      <c r="I1144" t="s">
        <v>1081</v>
      </c>
      <c r="J1144" s="27">
        <v>45862</v>
      </c>
      <c r="L1144" s="29">
        <v>1505.1997809523809</v>
      </c>
      <c r="M1144" s="29">
        <v>3010.3995619047619</v>
      </c>
      <c r="N1144" s="15">
        <v>45717</v>
      </c>
    </row>
    <row r="1145" spans="1:14" x14ac:dyDescent="0.25">
      <c r="A1145">
        <v>392829</v>
      </c>
      <c r="B1145" t="s">
        <v>35</v>
      </c>
      <c r="C1145">
        <v>47572</v>
      </c>
      <c r="D1145" t="s">
        <v>46</v>
      </c>
      <c r="E1145" t="s">
        <v>22</v>
      </c>
      <c r="F1145" s="27">
        <v>45734</v>
      </c>
      <c r="G1145">
        <v>0.5</v>
      </c>
      <c r="H1145">
        <v>0.5</v>
      </c>
      <c r="I1145" t="s">
        <v>331</v>
      </c>
      <c r="J1145" s="27">
        <v>45734</v>
      </c>
      <c r="L1145" s="29">
        <v>1128.8998357142857</v>
      </c>
      <c r="M1145" s="29">
        <v>564.44991785714285</v>
      </c>
      <c r="N1145" s="15">
        <v>45717</v>
      </c>
    </row>
    <row r="1146" spans="1:14" x14ac:dyDescent="0.25">
      <c r="A1146">
        <v>392830</v>
      </c>
      <c r="B1146" t="s">
        <v>35</v>
      </c>
      <c r="C1146">
        <v>47569</v>
      </c>
      <c r="D1146" t="s">
        <v>46</v>
      </c>
      <c r="E1146" t="s">
        <v>22</v>
      </c>
      <c r="F1146" s="27">
        <v>45734</v>
      </c>
      <c r="G1146">
        <v>7.5</v>
      </c>
      <c r="H1146">
        <v>7.5</v>
      </c>
      <c r="I1146" t="s">
        <v>670</v>
      </c>
      <c r="J1146" s="27">
        <v>45734</v>
      </c>
      <c r="L1146" s="29">
        <v>1128.8998357142857</v>
      </c>
      <c r="M1146" s="29">
        <v>8466.7487678571433</v>
      </c>
      <c r="N1146" s="15">
        <v>45717</v>
      </c>
    </row>
    <row r="1147" spans="1:14" x14ac:dyDescent="0.25">
      <c r="A1147">
        <v>393941</v>
      </c>
      <c r="B1147" t="s">
        <v>35</v>
      </c>
      <c r="C1147">
        <v>47569</v>
      </c>
      <c r="D1147" t="s">
        <v>21</v>
      </c>
      <c r="E1147" t="s">
        <v>22</v>
      </c>
      <c r="F1147" s="27">
        <v>45734</v>
      </c>
      <c r="G1147">
        <v>1</v>
      </c>
      <c r="H1147">
        <v>1</v>
      </c>
      <c r="I1147" t="s">
        <v>696</v>
      </c>
      <c r="J1147" s="27">
        <v>45737</v>
      </c>
      <c r="L1147" s="29">
        <v>1693.3497535714287</v>
      </c>
      <c r="M1147" s="29">
        <v>1693.3497535714287</v>
      </c>
      <c r="N1147" s="15">
        <v>45717</v>
      </c>
    </row>
    <row r="1148" spans="1:14" x14ac:dyDescent="0.25">
      <c r="A1148">
        <v>393942</v>
      </c>
      <c r="B1148" t="s">
        <v>35</v>
      </c>
      <c r="C1148">
        <v>47569</v>
      </c>
      <c r="D1148" t="s">
        <v>21</v>
      </c>
      <c r="E1148" t="s">
        <v>22</v>
      </c>
      <c r="F1148" s="27">
        <v>45734</v>
      </c>
      <c r="G1148">
        <v>4</v>
      </c>
      <c r="H1148">
        <v>4</v>
      </c>
      <c r="I1148" t="s">
        <v>697</v>
      </c>
      <c r="J1148" s="27">
        <v>45737</v>
      </c>
      <c r="L1148" s="29">
        <v>1693.3497535714287</v>
      </c>
      <c r="M1148" s="29">
        <v>6773.3990142857147</v>
      </c>
      <c r="N1148" s="15">
        <v>45717</v>
      </c>
    </row>
    <row r="1149" spans="1:14" x14ac:dyDescent="0.25">
      <c r="A1149">
        <v>393943</v>
      </c>
      <c r="B1149" t="s">
        <v>35</v>
      </c>
      <c r="C1149">
        <v>47572</v>
      </c>
      <c r="D1149" t="s">
        <v>21</v>
      </c>
      <c r="E1149" t="s">
        <v>22</v>
      </c>
      <c r="F1149" s="27">
        <v>45734</v>
      </c>
      <c r="G1149">
        <v>1.5</v>
      </c>
      <c r="H1149">
        <v>1.5</v>
      </c>
      <c r="I1149" t="s">
        <v>698</v>
      </c>
      <c r="J1149" s="27">
        <v>45737</v>
      </c>
      <c r="L1149" s="29">
        <v>1693.3497535714287</v>
      </c>
      <c r="M1149" s="29">
        <v>2540.024630357143</v>
      </c>
      <c r="N1149" s="15">
        <v>45717</v>
      </c>
    </row>
    <row r="1150" spans="1:14" x14ac:dyDescent="0.25">
      <c r="A1150">
        <v>393944</v>
      </c>
      <c r="B1150" t="s">
        <v>35</v>
      </c>
      <c r="C1150">
        <v>47572</v>
      </c>
      <c r="D1150" t="s">
        <v>21</v>
      </c>
      <c r="E1150" t="s">
        <v>22</v>
      </c>
      <c r="F1150" s="27">
        <v>45734</v>
      </c>
      <c r="G1150">
        <v>0.5</v>
      </c>
      <c r="H1150">
        <v>0.5</v>
      </c>
      <c r="I1150" t="s">
        <v>699</v>
      </c>
      <c r="J1150" s="27">
        <v>45737</v>
      </c>
      <c r="L1150" s="29">
        <v>1693.3497535714287</v>
      </c>
      <c r="M1150" s="29">
        <v>846.67487678571433</v>
      </c>
      <c r="N1150" s="15">
        <v>45717</v>
      </c>
    </row>
    <row r="1151" spans="1:14" x14ac:dyDescent="0.25">
      <c r="A1151">
        <v>393945</v>
      </c>
      <c r="B1151" t="s">
        <v>20</v>
      </c>
      <c r="C1151">
        <v>44642</v>
      </c>
      <c r="D1151" t="s">
        <v>21</v>
      </c>
      <c r="E1151" t="s">
        <v>22</v>
      </c>
      <c r="F1151" s="27">
        <v>45734</v>
      </c>
      <c r="G1151">
        <v>1</v>
      </c>
      <c r="H1151">
        <v>1</v>
      </c>
      <c r="I1151" t="s">
        <v>700</v>
      </c>
      <c r="J1151" s="27">
        <v>45737</v>
      </c>
      <c r="L1151" s="29">
        <v>1693.3497535714287</v>
      </c>
      <c r="M1151" s="29">
        <v>1693.3497535714287</v>
      </c>
      <c r="N1151" s="15">
        <v>45717</v>
      </c>
    </row>
    <row r="1152" spans="1:14" x14ac:dyDescent="0.25">
      <c r="A1152">
        <v>398067</v>
      </c>
      <c r="B1152" t="s">
        <v>18</v>
      </c>
      <c r="C1152">
        <v>17</v>
      </c>
      <c r="D1152" t="s">
        <v>27</v>
      </c>
      <c r="E1152" t="s">
        <v>19</v>
      </c>
      <c r="F1152" s="27">
        <v>45734</v>
      </c>
      <c r="G1152">
        <v>8</v>
      </c>
      <c r="H1152">
        <v>8</v>
      </c>
      <c r="I1152" t="s">
        <v>463</v>
      </c>
      <c r="J1152" s="27">
        <v>45747</v>
      </c>
      <c r="L1152" s="29">
        <v>602.07991249999998</v>
      </c>
      <c r="M1152" s="29">
        <v>4816.6392999999998</v>
      </c>
      <c r="N1152" s="15">
        <v>45717</v>
      </c>
    </row>
    <row r="1153" spans="1:14" x14ac:dyDescent="0.25">
      <c r="A1153">
        <v>393756</v>
      </c>
      <c r="B1153" t="s">
        <v>35</v>
      </c>
      <c r="C1153">
        <v>47569</v>
      </c>
      <c r="D1153" t="s">
        <v>30</v>
      </c>
      <c r="E1153" t="s">
        <v>22</v>
      </c>
      <c r="F1153" s="27">
        <v>45733</v>
      </c>
      <c r="G1153">
        <v>6</v>
      </c>
      <c r="H1153">
        <v>6</v>
      </c>
      <c r="I1153" t="s">
        <v>701</v>
      </c>
      <c r="J1153" s="27">
        <v>45737</v>
      </c>
      <c r="L1153" s="29">
        <v>602.07991249999998</v>
      </c>
      <c r="M1153" s="29">
        <v>3612.4794750000001</v>
      </c>
      <c r="N1153" s="15">
        <v>45717</v>
      </c>
    </row>
    <row r="1154" spans="1:14" x14ac:dyDescent="0.25">
      <c r="A1154">
        <v>393761</v>
      </c>
      <c r="B1154" t="s">
        <v>35</v>
      </c>
      <c r="C1154">
        <v>47569</v>
      </c>
      <c r="D1154" t="s">
        <v>30</v>
      </c>
      <c r="E1154" t="s">
        <v>22</v>
      </c>
      <c r="F1154" s="27">
        <v>45733</v>
      </c>
      <c r="G1154">
        <v>2</v>
      </c>
      <c r="H1154">
        <v>2</v>
      </c>
      <c r="I1154" t="s">
        <v>702</v>
      </c>
      <c r="J1154" s="27">
        <v>45737</v>
      </c>
      <c r="L1154" s="29">
        <v>602.07991249999998</v>
      </c>
      <c r="M1154" s="29">
        <v>1204.159825</v>
      </c>
      <c r="N1154" s="15">
        <v>45717</v>
      </c>
    </row>
    <row r="1155" spans="1:14" x14ac:dyDescent="0.25">
      <c r="A1155">
        <v>394099</v>
      </c>
      <c r="B1155" t="s">
        <v>35</v>
      </c>
      <c r="C1155">
        <v>52114</v>
      </c>
      <c r="D1155" t="s">
        <v>37</v>
      </c>
      <c r="E1155" t="s">
        <v>22</v>
      </c>
      <c r="F1155" s="27">
        <v>45733</v>
      </c>
      <c r="G1155">
        <v>8</v>
      </c>
      <c r="H1155">
        <v>8</v>
      </c>
      <c r="I1155" t="s">
        <v>607</v>
      </c>
      <c r="J1155" s="27">
        <v>45737</v>
      </c>
      <c r="L1155" s="29">
        <v>451.55993452380955</v>
      </c>
      <c r="M1155" s="29">
        <v>3612.4794761904764</v>
      </c>
      <c r="N1155" s="15">
        <v>45717</v>
      </c>
    </row>
    <row r="1156" spans="1:14" x14ac:dyDescent="0.25">
      <c r="A1156">
        <v>395909</v>
      </c>
      <c r="B1156" t="s">
        <v>35</v>
      </c>
      <c r="C1156">
        <v>47615</v>
      </c>
      <c r="D1156" t="s">
        <v>25</v>
      </c>
      <c r="E1156" t="s">
        <v>22</v>
      </c>
      <c r="F1156" s="27">
        <v>45733</v>
      </c>
      <c r="G1156">
        <v>2.5</v>
      </c>
      <c r="H1156">
        <v>2.5</v>
      </c>
      <c r="I1156" t="s">
        <v>659</v>
      </c>
      <c r="J1156" s="27">
        <v>45743</v>
      </c>
      <c r="L1156" s="29">
        <v>1128.8998357142857</v>
      </c>
      <c r="M1156" s="29">
        <v>2822.2495892857141</v>
      </c>
      <c r="N1156" s="15">
        <v>45717</v>
      </c>
    </row>
    <row r="1157" spans="1:14" x14ac:dyDescent="0.25">
      <c r="A1157">
        <v>422327</v>
      </c>
      <c r="B1157" t="s">
        <v>45</v>
      </c>
      <c r="C1157">
        <v>54643</v>
      </c>
      <c r="D1157" t="s">
        <v>41</v>
      </c>
      <c r="E1157" t="s">
        <v>22</v>
      </c>
      <c r="F1157" s="27">
        <v>45733</v>
      </c>
      <c r="G1157">
        <v>7</v>
      </c>
      <c r="H1157">
        <v>7</v>
      </c>
      <c r="I1157" t="s">
        <v>703</v>
      </c>
      <c r="J1157" s="27">
        <v>45807</v>
      </c>
      <c r="L1157" s="29">
        <v>1505.1997809523809</v>
      </c>
      <c r="M1157" s="29">
        <v>10536.398466666666</v>
      </c>
      <c r="N1157" s="15">
        <v>45717</v>
      </c>
    </row>
    <row r="1158" spans="1:14" x14ac:dyDescent="0.25">
      <c r="A1158">
        <v>392386</v>
      </c>
      <c r="B1158" t="s">
        <v>35</v>
      </c>
      <c r="C1158">
        <v>47568</v>
      </c>
      <c r="D1158" t="s">
        <v>36</v>
      </c>
      <c r="E1158" t="s">
        <v>22</v>
      </c>
      <c r="F1158" s="27">
        <v>45733</v>
      </c>
      <c r="G1158">
        <v>9</v>
      </c>
      <c r="H1158">
        <v>9</v>
      </c>
      <c r="I1158" t="s">
        <v>704</v>
      </c>
      <c r="J1158" s="27">
        <v>45733</v>
      </c>
      <c r="L1158" s="29">
        <v>1806.2397375</v>
      </c>
      <c r="M1158" s="29">
        <v>16256.1576375</v>
      </c>
      <c r="N1158" s="15">
        <v>45717</v>
      </c>
    </row>
    <row r="1159" spans="1:14" x14ac:dyDescent="0.25">
      <c r="A1159">
        <v>393933</v>
      </c>
      <c r="B1159" t="s">
        <v>20</v>
      </c>
      <c r="C1159">
        <v>46185</v>
      </c>
      <c r="D1159" t="s">
        <v>21</v>
      </c>
      <c r="E1159" t="s">
        <v>22</v>
      </c>
      <c r="F1159" s="27">
        <v>45733</v>
      </c>
      <c r="G1159">
        <v>1</v>
      </c>
      <c r="H1159">
        <v>1</v>
      </c>
      <c r="I1159" t="s">
        <v>705</v>
      </c>
      <c r="J1159" s="27">
        <v>45737</v>
      </c>
      <c r="L1159" s="29">
        <v>1693.3497535714287</v>
      </c>
      <c r="M1159" s="29">
        <v>1693.3497535714287</v>
      </c>
      <c r="N1159" s="15">
        <v>45717</v>
      </c>
    </row>
    <row r="1160" spans="1:14" x14ac:dyDescent="0.25">
      <c r="A1160">
        <v>393934</v>
      </c>
      <c r="B1160" t="s">
        <v>20</v>
      </c>
      <c r="C1160">
        <v>46185</v>
      </c>
      <c r="D1160" t="s">
        <v>21</v>
      </c>
      <c r="E1160" t="s">
        <v>22</v>
      </c>
      <c r="F1160" s="27">
        <v>45733</v>
      </c>
      <c r="G1160">
        <v>0.5</v>
      </c>
      <c r="H1160">
        <v>0.5</v>
      </c>
      <c r="I1160" t="s">
        <v>706</v>
      </c>
      <c r="J1160" s="27">
        <v>45737</v>
      </c>
      <c r="L1160" s="29">
        <v>1693.3497535714287</v>
      </c>
      <c r="M1160" s="29">
        <v>846.67487678571433</v>
      </c>
      <c r="N1160" s="15">
        <v>45717</v>
      </c>
    </row>
    <row r="1161" spans="1:14" x14ac:dyDescent="0.25">
      <c r="A1161">
        <v>393935</v>
      </c>
      <c r="B1161" t="s">
        <v>20</v>
      </c>
      <c r="C1161">
        <v>46185</v>
      </c>
      <c r="D1161" t="s">
        <v>21</v>
      </c>
      <c r="E1161" t="s">
        <v>22</v>
      </c>
      <c r="F1161" s="27">
        <v>45733</v>
      </c>
      <c r="G1161">
        <v>1.5</v>
      </c>
      <c r="H1161">
        <v>1.5</v>
      </c>
      <c r="I1161" t="s">
        <v>707</v>
      </c>
      <c r="J1161" s="27">
        <v>45737</v>
      </c>
      <c r="L1161" s="29">
        <v>1693.3497535714287</v>
      </c>
      <c r="M1161" s="29">
        <v>2540.024630357143</v>
      </c>
      <c r="N1161" s="15">
        <v>45717</v>
      </c>
    </row>
    <row r="1162" spans="1:14" x14ac:dyDescent="0.25">
      <c r="A1162">
        <v>393936</v>
      </c>
      <c r="B1162" t="s">
        <v>20</v>
      </c>
      <c r="C1162">
        <v>50787</v>
      </c>
      <c r="D1162" t="s">
        <v>21</v>
      </c>
      <c r="E1162" t="s">
        <v>22</v>
      </c>
      <c r="F1162" s="27">
        <v>45733</v>
      </c>
      <c r="G1162">
        <v>42</v>
      </c>
      <c r="H1162">
        <v>42</v>
      </c>
      <c r="I1162" t="s">
        <v>708</v>
      </c>
      <c r="J1162" s="27">
        <v>45737</v>
      </c>
      <c r="L1162" s="29">
        <v>1693.3497535714287</v>
      </c>
      <c r="M1162" s="29">
        <v>71120.68965</v>
      </c>
      <c r="N1162" s="15">
        <v>45717</v>
      </c>
    </row>
    <row r="1163" spans="1:14" x14ac:dyDescent="0.25">
      <c r="A1163">
        <v>392400</v>
      </c>
      <c r="B1163" t="s">
        <v>35</v>
      </c>
      <c r="C1163">
        <v>47569</v>
      </c>
      <c r="D1163" t="s">
        <v>46</v>
      </c>
      <c r="E1163" t="s">
        <v>22</v>
      </c>
      <c r="F1163" s="27">
        <v>45733</v>
      </c>
      <c r="G1163">
        <v>7.5</v>
      </c>
      <c r="H1163">
        <v>7.5</v>
      </c>
      <c r="I1163" t="s">
        <v>692</v>
      </c>
      <c r="J1163" s="27">
        <v>45733</v>
      </c>
      <c r="L1163" s="29">
        <v>1128.8998357142857</v>
      </c>
      <c r="M1163" s="29">
        <v>8466.7487678571433</v>
      </c>
      <c r="N1163" s="15">
        <v>45717</v>
      </c>
    </row>
    <row r="1164" spans="1:14" x14ac:dyDescent="0.25">
      <c r="A1164">
        <v>393937</v>
      </c>
      <c r="B1164" t="s">
        <v>20</v>
      </c>
      <c r="C1164">
        <v>45336</v>
      </c>
      <c r="D1164" t="s">
        <v>21</v>
      </c>
      <c r="E1164" t="s">
        <v>22</v>
      </c>
      <c r="F1164" s="27">
        <v>45733</v>
      </c>
      <c r="G1164">
        <v>0.5</v>
      </c>
      <c r="H1164">
        <v>0.5</v>
      </c>
      <c r="I1164" t="s">
        <v>709</v>
      </c>
      <c r="J1164" s="27">
        <v>45737</v>
      </c>
      <c r="L1164" s="29">
        <v>1693.3497535714287</v>
      </c>
      <c r="M1164" s="29">
        <v>846.67487678571433</v>
      </c>
      <c r="N1164" s="15">
        <v>45717</v>
      </c>
    </row>
    <row r="1165" spans="1:14" x14ac:dyDescent="0.25">
      <c r="A1165">
        <v>392401</v>
      </c>
      <c r="B1165" t="s">
        <v>35</v>
      </c>
      <c r="C1165">
        <v>47572</v>
      </c>
      <c r="D1165" t="s">
        <v>46</v>
      </c>
      <c r="E1165" t="s">
        <v>22</v>
      </c>
      <c r="F1165" s="27">
        <v>45733</v>
      </c>
      <c r="G1165">
        <v>1</v>
      </c>
      <c r="H1165">
        <v>1</v>
      </c>
      <c r="I1165" t="s">
        <v>331</v>
      </c>
      <c r="J1165" s="27">
        <v>45733</v>
      </c>
      <c r="L1165" s="29">
        <v>1128.8998357142857</v>
      </c>
      <c r="M1165" s="29">
        <v>1128.8998357142857</v>
      </c>
      <c r="N1165" s="15">
        <v>45717</v>
      </c>
    </row>
    <row r="1166" spans="1:14" x14ac:dyDescent="0.25">
      <c r="A1166">
        <v>393938</v>
      </c>
      <c r="B1166" t="s">
        <v>20</v>
      </c>
      <c r="C1166">
        <v>46185</v>
      </c>
      <c r="D1166" t="s">
        <v>21</v>
      </c>
      <c r="E1166" t="s">
        <v>22</v>
      </c>
      <c r="F1166" s="27">
        <v>45733</v>
      </c>
      <c r="G1166">
        <v>1</v>
      </c>
      <c r="H1166">
        <v>1</v>
      </c>
      <c r="I1166" t="s">
        <v>710</v>
      </c>
      <c r="J1166" s="27">
        <v>45737</v>
      </c>
      <c r="L1166" s="29">
        <v>1693.3497535714287</v>
      </c>
      <c r="M1166" s="29">
        <v>1693.3497535714287</v>
      </c>
      <c r="N1166" s="15">
        <v>45717</v>
      </c>
    </row>
    <row r="1167" spans="1:14" x14ac:dyDescent="0.25">
      <c r="A1167">
        <v>393939</v>
      </c>
      <c r="B1167" t="s">
        <v>20</v>
      </c>
      <c r="C1167">
        <v>46185</v>
      </c>
      <c r="D1167" t="s">
        <v>21</v>
      </c>
      <c r="E1167" t="s">
        <v>22</v>
      </c>
      <c r="F1167" s="27">
        <v>45733</v>
      </c>
      <c r="G1167">
        <v>1.5</v>
      </c>
      <c r="H1167">
        <v>1.5</v>
      </c>
      <c r="I1167" t="s">
        <v>711</v>
      </c>
      <c r="J1167" s="27">
        <v>45737</v>
      </c>
      <c r="L1167" s="29">
        <v>1693.3497535714287</v>
      </c>
      <c r="M1167" s="29">
        <v>2540.024630357143</v>
      </c>
      <c r="N1167" s="15">
        <v>45717</v>
      </c>
    </row>
    <row r="1168" spans="1:14" x14ac:dyDescent="0.25">
      <c r="A1168">
        <v>398066</v>
      </c>
      <c r="B1168" t="s">
        <v>18</v>
      </c>
      <c r="C1168">
        <v>17</v>
      </c>
      <c r="D1168" t="s">
        <v>27</v>
      </c>
      <c r="E1168" t="s">
        <v>19</v>
      </c>
      <c r="F1168" s="27">
        <v>45733</v>
      </c>
      <c r="G1168">
        <v>8</v>
      </c>
      <c r="H1168">
        <v>8</v>
      </c>
      <c r="I1168" t="s">
        <v>463</v>
      </c>
      <c r="J1168" s="27">
        <v>45747</v>
      </c>
      <c r="L1168" s="29">
        <v>602.07991249999998</v>
      </c>
      <c r="M1168" s="29">
        <v>4816.6392999999998</v>
      </c>
      <c r="N1168" s="15">
        <v>45717</v>
      </c>
    </row>
    <row r="1169" spans="1:14" x14ac:dyDescent="0.25">
      <c r="A1169">
        <v>393879</v>
      </c>
      <c r="B1169" t="s">
        <v>35</v>
      </c>
      <c r="C1169">
        <v>47614</v>
      </c>
      <c r="D1169" t="s">
        <v>42</v>
      </c>
      <c r="E1169" t="s">
        <v>22</v>
      </c>
      <c r="F1169" s="27">
        <v>45732</v>
      </c>
      <c r="G1169">
        <v>3</v>
      </c>
      <c r="H1169">
        <v>3</v>
      </c>
      <c r="I1169">
        <v>1572</v>
      </c>
      <c r="J1169" s="27">
        <v>45737</v>
      </c>
      <c r="L1169" s="29">
        <v>1418</v>
      </c>
      <c r="M1169" s="29">
        <v>4254</v>
      </c>
      <c r="N1169" s="15">
        <v>45717</v>
      </c>
    </row>
    <row r="1170" spans="1:14" x14ac:dyDescent="0.25">
      <c r="A1170">
        <v>391683</v>
      </c>
      <c r="B1170" t="s">
        <v>35</v>
      </c>
      <c r="C1170">
        <v>47539</v>
      </c>
      <c r="D1170" t="s">
        <v>36</v>
      </c>
      <c r="E1170" t="s">
        <v>22</v>
      </c>
      <c r="F1170" s="27">
        <v>45730</v>
      </c>
      <c r="G1170">
        <v>8</v>
      </c>
      <c r="H1170">
        <v>8</v>
      </c>
      <c r="I1170" t="s">
        <v>712</v>
      </c>
      <c r="J1170" s="27">
        <v>45730</v>
      </c>
      <c r="L1170" s="29">
        <v>1806.2397375</v>
      </c>
      <c r="M1170" s="29">
        <v>14449.9179</v>
      </c>
      <c r="N1170" s="15">
        <v>45717</v>
      </c>
    </row>
    <row r="1171" spans="1:14" x14ac:dyDescent="0.25">
      <c r="A1171">
        <v>391484</v>
      </c>
      <c r="B1171" t="s">
        <v>35</v>
      </c>
      <c r="C1171">
        <v>47572</v>
      </c>
      <c r="D1171" t="s">
        <v>46</v>
      </c>
      <c r="E1171" t="s">
        <v>22</v>
      </c>
      <c r="F1171" s="27">
        <v>45730</v>
      </c>
      <c r="G1171">
        <v>0.5</v>
      </c>
      <c r="H1171">
        <v>0.5</v>
      </c>
      <c r="I1171" t="s">
        <v>331</v>
      </c>
      <c r="J1171" s="27">
        <v>45730</v>
      </c>
      <c r="L1171" s="29">
        <v>1128.8998357142857</v>
      </c>
      <c r="M1171" s="29">
        <v>564.44991785714285</v>
      </c>
      <c r="N1171" s="15">
        <v>45717</v>
      </c>
    </row>
    <row r="1172" spans="1:14" x14ac:dyDescent="0.25">
      <c r="A1172">
        <v>391488</v>
      </c>
      <c r="B1172" t="s">
        <v>35</v>
      </c>
      <c r="C1172">
        <v>47569</v>
      </c>
      <c r="D1172" t="s">
        <v>46</v>
      </c>
      <c r="E1172" t="s">
        <v>22</v>
      </c>
      <c r="F1172" s="27">
        <v>45730</v>
      </c>
      <c r="G1172">
        <v>8</v>
      </c>
      <c r="H1172">
        <v>8</v>
      </c>
      <c r="I1172" t="s">
        <v>713</v>
      </c>
      <c r="J1172" s="27">
        <v>45730</v>
      </c>
      <c r="L1172" s="29">
        <v>1128.8998357142857</v>
      </c>
      <c r="M1172" s="29">
        <v>9031.1986857142856</v>
      </c>
      <c r="N1172" s="15">
        <v>45717</v>
      </c>
    </row>
    <row r="1173" spans="1:14" x14ac:dyDescent="0.25">
      <c r="A1173">
        <v>391763</v>
      </c>
      <c r="B1173" t="s">
        <v>35</v>
      </c>
      <c r="C1173">
        <v>47569</v>
      </c>
      <c r="D1173" t="s">
        <v>30</v>
      </c>
      <c r="E1173" t="s">
        <v>22</v>
      </c>
      <c r="F1173" s="27">
        <v>45730</v>
      </c>
      <c r="G1173">
        <v>8</v>
      </c>
      <c r="H1173">
        <v>8</v>
      </c>
      <c r="I1173" t="s">
        <v>714</v>
      </c>
      <c r="J1173" s="27">
        <v>45732</v>
      </c>
      <c r="L1173" s="29">
        <v>602.07991249999998</v>
      </c>
      <c r="M1173" s="29">
        <v>4816.6392999999998</v>
      </c>
      <c r="N1173" s="15">
        <v>45717</v>
      </c>
    </row>
    <row r="1174" spans="1:14" x14ac:dyDescent="0.25">
      <c r="A1174">
        <v>394098</v>
      </c>
      <c r="B1174" t="s">
        <v>35</v>
      </c>
      <c r="C1174">
        <v>52114</v>
      </c>
      <c r="D1174" t="s">
        <v>37</v>
      </c>
      <c r="E1174" t="s">
        <v>22</v>
      </c>
      <c r="F1174" s="27">
        <v>45730</v>
      </c>
      <c r="G1174">
        <v>8</v>
      </c>
      <c r="H1174">
        <v>8</v>
      </c>
      <c r="I1174" t="s">
        <v>493</v>
      </c>
      <c r="J1174" s="27">
        <v>45737</v>
      </c>
      <c r="L1174" s="29">
        <v>451.55993452380955</v>
      </c>
      <c r="M1174" s="29">
        <v>3612.4794761904764</v>
      </c>
      <c r="N1174" s="15">
        <v>45717</v>
      </c>
    </row>
    <row r="1175" spans="1:14" x14ac:dyDescent="0.25">
      <c r="A1175">
        <v>395906</v>
      </c>
      <c r="B1175" t="s">
        <v>35</v>
      </c>
      <c r="C1175">
        <v>47615</v>
      </c>
      <c r="D1175" t="s">
        <v>25</v>
      </c>
      <c r="E1175" t="s">
        <v>22</v>
      </c>
      <c r="F1175" s="27">
        <v>45730</v>
      </c>
      <c r="G1175">
        <v>4</v>
      </c>
      <c r="H1175">
        <v>4</v>
      </c>
      <c r="I1175" t="s">
        <v>659</v>
      </c>
      <c r="J1175" s="27">
        <v>45743</v>
      </c>
      <c r="L1175" s="29">
        <v>1128.8998357142857</v>
      </c>
      <c r="M1175" s="29">
        <v>4515.5993428571428</v>
      </c>
      <c r="N1175" s="15">
        <v>45717</v>
      </c>
    </row>
    <row r="1176" spans="1:14" x14ac:dyDescent="0.25">
      <c r="A1176">
        <v>432266</v>
      </c>
      <c r="B1176" t="s">
        <v>18</v>
      </c>
      <c r="C1176">
        <v>34</v>
      </c>
      <c r="D1176" t="s">
        <v>26</v>
      </c>
      <c r="E1176" t="s">
        <v>19</v>
      </c>
      <c r="F1176" s="27">
        <v>45730</v>
      </c>
      <c r="G1176">
        <v>58</v>
      </c>
      <c r="H1176">
        <v>58</v>
      </c>
      <c r="I1176" t="s">
        <v>472</v>
      </c>
      <c r="J1176" s="27">
        <v>45836</v>
      </c>
      <c r="L1176" s="29">
        <v>978.37985773809521</v>
      </c>
      <c r="M1176" s="29">
        <v>56746.031748809524</v>
      </c>
      <c r="N1176" s="15">
        <v>45717</v>
      </c>
    </row>
    <row r="1177" spans="1:14" x14ac:dyDescent="0.25">
      <c r="A1177">
        <v>393874</v>
      </c>
      <c r="B1177" t="s">
        <v>35</v>
      </c>
      <c r="C1177">
        <v>47614</v>
      </c>
      <c r="D1177" t="s">
        <v>42</v>
      </c>
      <c r="E1177" t="s">
        <v>22</v>
      </c>
      <c r="F1177" s="27">
        <v>45730</v>
      </c>
      <c r="G1177">
        <v>0.5</v>
      </c>
      <c r="H1177">
        <v>0.5</v>
      </c>
      <c r="I1177">
        <v>544</v>
      </c>
      <c r="J1177" s="27">
        <v>45737</v>
      </c>
      <c r="L1177" s="29">
        <v>1418</v>
      </c>
      <c r="M1177" s="29">
        <v>709</v>
      </c>
      <c r="N1177" s="15">
        <v>45717</v>
      </c>
    </row>
    <row r="1178" spans="1:14" x14ac:dyDescent="0.25">
      <c r="A1178">
        <v>391322</v>
      </c>
      <c r="B1178" t="s">
        <v>28</v>
      </c>
      <c r="C1178">
        <v>51262</v>
      </c>
      <c r="D1178" t="s">
        <v>44</v>
      </c>
      <c r="E1178" t="s">
        <v>22</v>
      </c>
      <c r="F1178" s="27">
        <v>45730</v>
      </c>
      <c r="G1178">
        <v>40</v>
      </c>
      <c r="H1178">
        <v>40</v>
      </c>
      <c r="I1178" t="s">
        <v>715</v>
      </c>
      <c r="J1178" s="27">
        <v>45730</v>
      </c>
      <c r="L1178" s="29">
        <v>2107.2796934523808</v>
      </c>
      <c r="M1178" s="29">
        <v>84291.187738095236</v>
      </c>
      <c r="N1178" s="15">
        <v>45717</v>
      </c>
    </row>
    <row r="1179" spans="1:14" x14ac:dyDescent="0.25">
      <c r="A1179">
        <v>422326</v>
      </c>
      <c r="B1179" t="s">
        <v>45</v>
      </c>
      <c r="C1179">
        <v>54643</v>
      </c>
      <c r="D1179" t="s">
        <v>41</v>
      </c>
      <c r="E1179" t="s">
        <v>22</v>
      </c>
      <c r="F1179" s="27">
        <v>45730</v>
      </c>
      <c r="G1179">
        <v>8</v>
      </c>
      <c r="H1179">
        <v>8</v>
      </c>
      <c r="I1179" t="s">
        <v>716</v>
      </c>
      <c r="J1179" s="27">
        <v>45807</v>
      </c>
      <c r="L1179" s="29">
        <v>1505.1997809523809</v>
      </c>
      <c r="M1179" s="29">
        <v>12041.598247619047</v>
      </c>
      <c r="N1179" s="15">
        <v>45717</v>
      </c>
    </row>
    <row r="1180" spans="1:14" x14ac:dyDescent="0.25">
      <c r="A1180">
        <v>391626</v>
      </c>
      <c r="B1180" t="s">
        <v>28</v>
      </c>
      <c r="C1180">
        <v>51263</v>
      </c>
      <c r="D1180" t="s">
        <v>27</v>
      </c>
      <c r="E1180" t="s">
        <v>22</v>
      </c>
      <c r="F1180" s="27">
        <v>45730</v>
      </c>
      <c r="G1180">
        <v>8</v>
      </c>
      <c r="H1180">
        <v>8</v>
      </c>
      <c r="I1180" t="s">
        <v>717</v>
      </c>
      <c r="J1180" s="27">
        <v>45730</v>
      </c>
      <c r="L1180" s="29">
        <v>602.07991249999998</v>
      </c>
      <c r="M1180" s="29">
        <v>4816.6392999999998</v>
      </c>
      <c r="N1180" s="15">
        <v>45717</v>
      </c>
    </row>
    <row r="1181" spans="1:14" x14ac:dyDescent="0.25">
      <c r="A1181">
        <v>391762</v>
      </c>
      <c r="B1181" t="s">
        <v>35</v>
      </c>
      <c r="C1181">
        <v>47569</v>
      </c>
      <c r="D1181" t="s">
        <v>30</v>
      </c>
      <c r="E1181" t="s">
        <v>22</v>
      </c>
      <c r="F1181" s="27">
        <v>45729</v>
      </c>
      <c r="G1181">
        <v>8</v>
      </c>
      <c r="H1181">
        <v>8</v>
      </c>
      <c r="I1181" t="s">
        <v>695</v>
      </c>
      <c r="J1181" s="27">
        <v>45732</v>
      </c>
      <c r="L1181" s="29">
        <v>602.07991249999998</v>
      </c>
      <c r="M1181" s="29">
        <v>4816.6392999999998</v>
      </c>
      <c r="N1181" s="15">
        <v>45717</v>
      </c>
    </row>
    <row r="1182" spans="1:14" x14ac:dyDescent="0.25">
      <c r="A1182">
        <v>391003</v>
      </c>
      <c r="B1182" t="s">
        <v>35</v>
      </c>
      <c r="C1182">
        <v>47572</v>
      </c>
      <c r="D1182" t="s">
        <v>46</v>
      </c>
      <c r="E1182" t="s">
        <v>22</v>
      </c>
      <c r="F1182" s="27">
        <v>45729</v>
      </c>
      <c r="G1182">
        <v>1</v>
      </c>
      <c r="H1182">
        <v>1</v>
      </c>
      <c r="I1182" t="s">
        <v>331</v>
      </c>
      <c r="J1182" s="27">
        <v>45729</v>
      </c>
      <c r="L1182" s="29">
        <v>1128.8998357142857</v>
      </c>
      <c r="M1182" s="29">
        <v>1128.8998357142857</v>
      </c>
      <c r="N1182" s="15">
        <v>45717</v>
      </c>
    </row>
    <row r="1183" spans="1:14" x14ac:dyDescent="0.25">
      <c r="A1183">
        <v>391005</v>
      </c>
      <c r="B1183" t="s">
        <v>35</v>
      </c>
      <c r="C1183">
        <v>47569</v>
      </c>
      <c r="D1183" t="s">
        <v>46</v>
      </c>
      <c r="E1183" t="s">
        <v>22</v>
      </c>
      <c r="F1183" s="27">
        <v>45729</v>
      </c>
      <c r="G1183">
        <v>7</v>
      </c>
      <c r="H1183">
        <v>7</v>
      </c>
      <c r="I1183" t="s">
        <v>713</v>
      </c>
      <c r="J1183" s="27">
        <v>45729</v>
      </c>
      <c r="L1183" s="29">
        <v>1128.8998357142857</v>
      </c>
      <c r="M1183" s="29">
        <v>7902.2988500000001</v>
      </c>
      <c r="N1183" s="15">
        <v>45717</v>
      </c>
    </row>
    <row r="1184" spans="1:14" x14ac:dyDescent="0.25">
      <c r="A1184">
        <v>394097</v>
      </c>
      <c r="B1184" t="s">
        <v>35</v>
      </c>
      <c r="C1184">
        <v>52114</v>
      </c>
      <c r="D1184" t="s">
        <v>37</v>
      </c>
      <c r="E1184" t="s">
        <v>22</v>
      </c>
      <c r="F1184" s="27">
        <v>45729</v>
      </c>
      <c r="G1184">
        <v>8</v>
      </c>
      <c r="H1184">
        <v>8</v>
      </c>
      <c r="I1184" t="s">
        <v>718</v>
      </c>
      <c r="J1184" s="27">
        <v>45737</v>
      </c>
      <c r="L1184" s="29">
        <v>451.55993452380955</v>
      </c>
      <c r="M1184" s="29">
        <v>3612.4794761904764</v>
      </c>
      <c r="N1184" s="15">
        <v>45717</v>
      </c>
    </row>
    <row r="1185" spans="1:14" x14ac:dyDescent="0.25">
      <c r="A1185">
        <v>395905</v>
      </c>
      <c r="B1185" t="s">
        <v>35</v>
      </c>
      <c r="C1185">
        <v>47615</v>
      </c>
      <c r="D1185" t="s">
        <v>25</v>
      </c>
      <c r="E1185" t="s">
        <v>22</v>
      </c>
      <c r="F1185" s="27">
        <v>45729</v>
      </c>
      <c r="G1185">
        <v>8</v>
      </c>
      <c r="H1185">
        <v>8</v>
      </c>
      <c r="I1185" t="s">
        <v>659</v>
      </c>
      <c r="J1185" s="27">
        <v>45743</v>
      </c>
      <c r="L1185" s="29">
        <v>1128.8998357142857</v>
      </c>
      <c r="M1185" s="29">
        <v>9031.1986857142856</v>
      </c>
      <c r="N1185" s="15">
        <v>45717</v>
      </c>
    </row>
    <row r="1186" spans="1:14" x14ac:dyDescent="0.25">
      <c r="A1186">
        <v>393869</v>
      </c>
      <c r="B1186" t="s">
        <v>35</v>
      </c>
      <c r="C1186">
        <v>47614</v>
      </c>
      <c r="D1186" t="s">
        <v>42</v>
      </c>
      <c r="E1186" t="s">
        <v>22</v>
      </c>
      <c r="F1186" s="27">
        <v>45729</v>
      </c>
      <c r="G1186">
        <v>0.5</v>
      </c>
      <c r="H1186">
        <v>0.5</v>
      </c>
      <c r="I1186">
        <v>544</v>
      </c>
      <c r="J1186" s="27">
        <v>45737</v>
      </c>
      <c r="L1186" s="29">
        <v>1418</v>
      </c>
      <c r="M1186" s="29">
        <v>709</v>
      </c>
      <c r="N1186" s="15">
        <v>45717</v>
      </c>
    </row>
    <row r="1187" spans="1:14" x14ac:dyDescent="0.25">
      <c r="A1187">
        <v>393872</v>
      </c>
      <c r="B1187" t="s">
        <v>35</v>
      </c>
      <c r="C1187">
        <v>47614</v>
      </c>
      <c r="D1187" t="s">
        <v>42</v>
      </c>
      <c r="E1187" t="s">
        <v>22</v>
      </c>
      <c r="F1187" s="27">
        <v>45729</v>
      </c>
      <c r="G1187">
        <v>2</v>
      </c>
      <c r="H1187">
        <v>2</v>
      </c>
      <c r="I1187">
        <v>1534</v>
      </c>
      <c r="J1187" s="27">
        <v>45737</v>
      </c>
      <c r="L1187" s="29">
        <v>1418</v>
      </c>
      <c r="M1187" s="29">
        <v>2836</v>
      </c>
      <c r="N1187" s="15">
        <v>45717</v>
      </c>
    </row>
    <row r="1188" spans="1:14" x14ac:dyDescent="0.25">
      <c r="A1188">
        <v>391061</v>
      </c>
      <c r="B1188" t="s">
        <v>35</v>
      </c>
      <c r="C1188">
        <v>47537</v>
      </c>
      <c r="D1188" t="s">
        <v>36</v>
      </c>
      <c r="E1188" t="s">
        <v>22</v>
      </c>
      <c r="F1188" s="27">
        <v>45729</v>
      </c>
      <c r="G1188">
        <v>4</v>
      </c>
      <c r="H1188">
        <v>4</v>
      </c>
      <c r="I1188">
        <v>1526</v>
      </c>
      <c r="J1188" s="27">
        <v>45729</v>
      </c>
      <c r="L1188" s="29">
        <v>1806.2397375</v>
      </c>
      <c r="M1188" s="29">
        <v>7224.9589500000002</v>
      </c>
      <c r="N1188" s="15">
        <v>45717</v>
      </c>
    </row>
    <row r="1189" spans="1:14" x14ac:dyDescent="0.25">
      <c r="A1189">
        <v>391062</v>
      </c>
      <c r="B1189" t="s">
        <v>35</v>
      </c>
      <c r="C1189">
        <v>47539</v>
      </c>
      <c r="D1189" t="s">
        <v>36</v>
      </c>
      <c r="E1189" t="s">
        <v>22</v>
      </c>
      <c r="F1189" s="27">
        <v>45729</v>
      </c>
      <c r="G1189">
        <v>2</v>
      </c>
      <c r="H1189">
        <v>2</v>
      </c>
      <c r="I1189" t="s">
        <v>719</v>
      </c>
      <c r="J1189" s="27">
        <v>45729</v>
      </c>
      <c r="L1189" s="29">
        <v>1806.2397375</v>
      </c>
      <c r="M1189" s="29">
        <v>3612.4794750000001</v>
      </c>
      <c r="N1189" s="15">
        <v>45717</v>
      </c>
    </row>
    <row r="1190" spans="1:14" x14ac:dyDescent="0.25">
      <c r="A1190">
        <v>391063</v>
      </c>
      <c r="B1190" t="s">
        <v>35</v>
      </c>
      <c r="C1190">
        <v>47570</v>
      </c>
      <c r="D1190" t="s">
        <v>36</v>
      </c>
      <c r="E1190" t="s">
        <v>22</v>
      </c>
      <c r="F1190" s="27">
        <v>45729</v>
      </c>
      <c r="G1190">
        <v>1</v>
      </c>
      <c r="H1190">
        <v>1</v>
      </c>
      <c r="I1190">
        <v>1359</v>
      </c>
      <c r="J1190" s="27">
        <v>45729</v>
      </c>
      <c r="L1190" s="29">
        <v>1806.2397375</v>
      </c>
      <c r="M1190" s="29">
        <v>1806.2397375</v>
      </c>
      <c r="N1190" s="15">
        <v>45717</v>
      </c>
    </row>
    <row r="1191" spans="1:14" x14ac:dyDescent="0.25">
      <c r="A1191">
        <v>391064</v>
      </c>
      <c r="B1191" t="s">
        <v>35</v>
      </c>
      <c r="C1191">
        <v>47572</v>
      </c>
      <c r="D1191" t="s">
        <v>36</v>
      </c>
      <c r="E1191" t="s">
        <v>22</v>
      </c>
      <c r="F1191" s="27">
        <v>45729</v>
      </c>
      <c r="G1191">
        <v>1</v>
      </c>
      <c r="H1191">
        <v>1</v>
      </c>
      <c r="I1191" t="s">
        <v>637</v>
      </c>
      <c r="J1191" s="27">
        <v>45729</v>
      </c>
      <c r="L1191" s="29">
        <v>1806.2397375</v>
      </c>
      <c r="M1191" s="29">
        <v>1806.2397375</v>
      </c>
      <c r="N1191" s="15">
        <v>45717</v>
      </c>
    </row>
    <row r="1192" spans="1:14" x14ac:dyDescent="0.25">
      <c r="A1192">
        <v>422325</v>
      </c>
      <c r="B1192" t="s">
        <v>45</v>
      </c>
      <c r="C1192">
        <v>54643</v>
      </c>
      <c r="D1192" t="s">
        <v>41</v>
      </c>
      <c r="E1192" t="s">
        <v>22</v>
      </c>
      <c r="F1192" s="27">
        <v>45729</v>
      </c>
      <c r="G1192">
        <v>8</v>
      </c>
      <c r="H1192">
        <v>8</v>
      </c>
      <c r="I1192" t="s">
        <v>716</v>
      </c>
      <c r="J1192" s="27">
        <v>45807</v>
      </c>
      <c r="L1192" s="29">
        <v>1505.1997809523809</v>
      </c>
      <c r="M1192" s="29">
        <v>12041.598247619047</v>
      </c>
      <c r="N1192" s="15">
        <v>45717</v>
      </c>
    </row>
    <row r="1193" spans="1:14" x14ac:dyDescent="0.25">
      <c r="A1193">
        <v>391103</v>
      </c>
      <c r="B1193" t="s">
        <v>28</v>
      </c>
      <c r="C1193">
        <v>51263</v>
      </c>
      <c r="D1193" t="s">
        <v>27</v>
      </c>
      <c r="E1193" t="s">
        <v>22</v>
      </c>
      <c r="F1193" s="27">
        <v>45729</v>
      </c>
      <c r="G1193">
        <v>8</v>
      </c>
      <c r="H1193">
        <v>8</v>
      </c>
      <c r="I1193" t="s">
        <v>720</v>
      </c>
      <c r="J1193" s="27">
        <v>45729</v>
      </c>
      <c r="L1193" s="29">
        <v>602.07991249999998</v>
      </c>
      <c r="M1193" s="29">
        <v>4816.6392999999998</v>
      </c>
      <c r="N1193" s="15">
        <v>45717</v>
      </c>
    </row>
    <row r="1194" spans="1:14" x14ac:dyDescent="0.25">
      <c r="A1194">
        <v>390476</v>
      </c>
      <c r="B1194" t="s">
        <v>35</v>
      </c>
      <c r="C1194">
        <v>47572</v>
      </c>
      <c r="D1194" t="s">
        <v>46</v>
      </c>
      <c r="E1194" t="s">
        <v>22</v>
      </c>
      <c r="F1194" s="27">
        <v>45728</v>
      </c>
      <c r="G1194">
        <v>2</v>
      </c>
      <c r="H1194">
        <v>2</v>
      </c>
      <c r="I1194" t="s">
        <v>331</v>
      </c>
      <c r="J1194" s="27">
        <v>45728</v>
      </c>
      <c r="L1194" s="29">
        <v>1128.8998357142857</v>
      </c>
      <c r="M1194" s="29">
        <v>2257.7996714285714</v>
      </c>
      <c r="N1194" s="15">
        <v>45717</v>
      </c>
    </row>
    <row r="1195" spans="1:14" x14ac:dyDescent="0.25">
      <c r="A1195">
        <v>394096</v>
      </c>
      <c r="B1195" t="s">
        <v>35</v>
      </c>
      <c r="C1195">
        <v>52114</v>
      </c>
      <c r="D1195" t="s">
        <v>37</v>
      </c>
      <c r="E1195" t="s">
        <v>22</v>
      </c>
      <c r="F1195" s="27">
        <v>45728</v>
      </c>
      <c r="G1195">
        <v>8</v>
      </c>
      <c r="H1195">
        <v>8</v>
      </c>
      <c r="I1195" t="s">
        <v>607</v>
      </c>
      <c r="J1195" s="27">
        <v>45737</v>
      </c>
      <c r="L1195" s="29">
        <v>451.55993452380955</v>
      </c>
      <c r="M1195" s="29">
        <v>3612.4794761904764</v>
      </c>
      <c r="N1195" s="15">
        <v>45717</v>
      </c>
    </row>
    <row r="1196" spans="1:14" x14ac:dyDescent="0.25">
      <c r="A1196">
        <v>395903</v>
      </c>
      <c r="B1196" t="s">
        <v>35</v>
      </c>
      <c r="C1196">
        <v>47615</v>
      </c>
      <c r="D1196" t="s">
        <v>25</v>
      </c>
      <c r="E1196" t="s">
        <v>22</v>
      </c>
      <c r="F1196" s="27">
        <v>45728</v>
      </c>
      <c r="G1196">
        <v>6</v>
      </c>
      <c r="H1196">
        <v>6</v>
      </c>
      <c r="I1196" t="s">
        <v>659</v>
      </c>
      <c r="J1196" s="27">
        <v>45743</v>
      </c>
      <c r="L1196" s="29">
        <v>1128.8998357142857</v>
      </c>
      <c r="M1196" s="29">
        <v>6773.3990142857147</v>
      </c>
      <c r="N1196" s="15">
        <v>45717</v>
      </c>
    </row>
    <row r="1197" spans="1:14" x14ac:dyDescent="0.25">
      <c r="A1197">
        <v>393865</v>
      </c>
      <c r="B1197" t="s">
        <v>35</v>
      </c>
      <c r="C1197">
        <v>47614</v>
      </c>
      <c r="D1197" t="s">
        <v>42</v>
      </c>
      <c r="E1197" t="s">
        <v>22</v>
      </c>
      <c r="F1197" s="27">
        <v>45728</v>
      </c>
      <c r="G1197">
        <v>0.5</v>
      </c>
      <c r="H1197">
        <v>0.5</v>
      </c>
      <c r="I1197">
        <v>544</v>
      </c>
      <c r="J1197" s="27">
        <v>45737</v>
      </c>
      <c r="L1197" s="29">
        <v>1418</v>
      </c>
      <c r="M1197" s="29">
        <v>709</v>
      </c>
      <c r="N1197" s="15">
        <v>45717</v>
      </c>
    </row>
    <row r="1198" spans="1:14" x14ac:dyDescent="0.25">
      <c r="A1198">
        <v>393866</v>
      </c>
      <c r="B1198" t="s">
        <v>35</v>
      </c>
      <c r="C1198">
        <v>47614</v>
      </c>
      <c r="D1198" t="s">
        <v>42</v>
      </c>
      <c r="E1198" t="s">
        <v>22</v>
      </c>
      <c r="F1198" s="27">
        <v>45728</v>
      </c>
      <c r="G1198">
        <v>1</v>
      </c>
      <c r="H1198">
        <v>1</v>
      </c>
      <c r="I1198">
        <v>1493</v>
      </c>
      <c r="J1198" s="27">
        <v>45737</v>
      </c>
      <c r="L1198" s="29">
        <v>1418</v>
      </c>
      <c r="M1198" s="29">
        <v>1418</v>
      </c>
      <c r="N1198" s="15">
        <v>45717</v>
      </c>
    </row>
    <row r="1199" spans="1:14" x14ac:dyDescent="0.25">
      <c r="A1199">
        <v>391058</v>
      </c>
      <c r="B1199" t="s">
        <v>35</v>
      </c>
      <c r="C1199">
        <v>47569</v>
      </c>
      <c r="D1199" t="s">
        <v>36</v>
      </c>
      <c r="E1199" t="s">
        <v>22</v>
      </c>
      <c r="F1199" s="27">
        <v>45728</v>
      </c>
      <c r="G1199">
        <v>1</v>
      </c>
      <c r="H1199">
        <v>1</v>
      </c>
      <c r="I1199">
        <v>1354</v>
      </c>
      <c r="J1199" s="27">
        <v>45729</v>
      </c>
      <c r="L1199" s="29">
        <v>1806.2397375</v>
      </c>
      <c r="M1199" s="29">
        <v>1806.2397375</v>
      </c>
      <c r="N1199" s="15">
        <v>45717</v>
      </c>
    </row>
    <row r="1200" spans="1:14" x14ac:dyDescent="0.25">
      <c r="A1200">
        <v>391059</v>
      </c>
      <c r="B1200" t="s">
        <v>35</v>
      </c>
      <c r="C1200">
        <v>47537</v>
      </c>
      <c r="D1200" t="s">
        <v>36</v>
      </c>
      <c r="E1200" t="s">
        <v>22</v>
      </c>
      <c r="F1200" s="27">
        <v>45728</v>
      </c>
      <c r="G1200">
        <v>2</v>
      </c>
      <c r="H1200">
        <v>2</v>
      </c>
      <c r="I1200">
        <v>1526</v>
      </c>
      <c r="J1200" s="27">
        <v>45729</v>
      </c>
      <c r="L1200" s="29">
        <v>1806.2397375</v>
      </c>
      <c r="M1200" s="29">
        <v>3612.4794750000001</v>
      </c>
      <c r="N1200" s="15">
        <v>45717</v>
      </c>
    </row>
    <row r="1201" spans="1:14" x14ac:dyDescent="0.25">
      <c r="A1201">
        <v>391060</v>
      </c>
      <c r="B1201" t="s">
        <v>35</v>
      </c>
      <c r="C1201">
        <v>47572</v>
      </c>
      <c r="D1201" t="s">
        <v>36</v>
      </c>
      <c r="E1201" t="s">
        <v>22</v>
      </c>
      <c r="F1201" s="27">
        <v>45728</v>
      </c>
      <c r="G1201">
        <v>5</v>
      </c>
      <c r="H1201">
        <v>5</v>
      </c>
      <c r="I1201" t="s">
        <v>637</v>
      </c>
      <c r="J1201" s="27">
        <v>45729</v>
      </c>
      <c r="L1201" s="29">
        <v>1806.2397375</v>
      </c>
      <c r="M1201" s="29">
        <v>9031.1986875000002</v>
      </c>
      <c r="N1201" s="15">
        <v>45717</v>
      </c>
    </row>
    <row r="1202" spans="1:14" x14ac:dyDescent="0.25">
      <c r="A1202">
        <v>390817</v>
      </c>
      <c r="B1202" t="s">
        <v>35</v>
      </c>
      <c r="C1202">
        <v>47569</v>
      </c>
      <c r="D1202" t="s">
        <v>30</v>
      </c>
      <c r="E1202" t="s">
        <v>22</v>
      </c>
      <c r="F1202" s="27">
        <v>45728</v>
      </c>
      <c r="G1202">
        <v>8</v>
      </c>
      <c r="H1202">
        <v>8</v>
      </c>
      <c r="I1202" t="s">
        <v>721</v>
      </c>
      <c r="J1202" s="27">
        <v>45729</v>
      </c>
      <c r="L1202" s="29">
        <v>602.07991249999998</v>
      </c>
      <c r="M1202" s="29">
        <v>4816.6392999999998</v>
      </c>
      <c r="N1202" s="15">
        <v>45717</v>
      </c>
    </row>
    <row r="1203" spans="1:14" x14ac:dyDescent="0.25">
      <c r="A1203">
        <v>422324</v>
      </c>
      <c r="B1203" t="s">
        <v>45</v>
      </c>
      <c r="C1203">
        <v>54643</v>
      </c>
      <c r="D1203" t="s">
        <v>41</v>
      </c>
      <c r="E1203" t="s">
        <v>22</v>
      </c>
      <c r="F1203" s="27">
        <v>45728</v>
      </c>
      <c r="G1203">
        <v>8</v>
      </c>
      <c r="H1203">
        <v>8</v>
      </c>
      <c r="I1203" t="s">
        <v>716</v>
      </c>
      <c r="J1203" s="27">
        <v>45807</v>
      </c>
      <c r="L1203" s="29">
        <v>1505.1997809523809</v>
      </c>
      <c r="M1203" s="29">
        <v>12041.598247619047</v>
      </c>
      <c r="N1203" s="15">
        <v>45717</v>
      </c>
    </row>
    <row r="1204" spans="1:14" x14ac:dyDescent="0.25">
      <c r="A1204">
        <v>390583</v>
      </c>
      <c r="B1204" t="s">
        <v>35</v>
      </c>
      <c r="C1204">
        <v>47572</v>
      </c>
      <c r="D1204" t="s">
        <v>46</v>
      </c>
      <c r="E1204" t="s">
        <v>22</v>
      </c>
      <c r="F1204" s="27">
        <v>45728</v>
      </c>
      <c r="G1204">
        <v>1</v>
      </c>
      <c r="H1204">
        <v>1</v>
      </c>
      <c r="I1204" t="s">
        <v>722</v>
      </c>
      <c r="J1204" s="27">
        <v>45728</v>
      </c>
      <c r="L1204" s="29">
        <v>1128.8998357142857</v>
      </c>
      <c r="M1204" s="29">
        <v>1128.8998357142857</v>
      </c>
      <c r="N1204" s="15">
        <v>45717</v>
      </c>
    </row>
    <row r="1205" spans="1:14" x14ac:dyDescent="0.25">
      <c r="A1205">
        <v>391102</v>
      </c>
      <c r="B1205" t="s">
        <v>28</v>
      </c>
      <c r="C1205">
        <v>51263</v>
      </c>
      <c r="D1205" t="s">
        <v>27</v>
      </c>
      <c r="E1205" t="s">
        <v>22</v>
      </c>
      <c r="F1205" s="27">
        <v>45728</v>
      </c>
      <c r="G1205">
        <v>8</v>
      </c>
      <c r="H1205">
        <v>8</v>
      </c>
      <c r="I1205" t="s">
        <v>723</v>
      </c>
      <c r="J1205" s="27">
        <v>45729</v>
      </c>
      <c r="L1205" s="29">
        <v>602.07991249999998</v>
      </c>
      <c r="M1205" s="29">
        <v>4816.6392999999998</v>
      </c>
      <c r="N1205" s="15">
        <v>45717</v>
      </c>
    </row>
    <row r="1206" spans="1:14" x14ac:dyDescent="0.25">
      <c r="A1206">
        <v>390177</v>
      </c>
      <c r="B1206" t="s">
        <v>35</v>
      </c>
      <c r="C1206">
        <v>47591</v>
      </c>
      <c r="D1206" t="s">
        <v>36</v>
      </c>
      <c r="E1206" t="s">
        <v>22</v>
      </c>
      <c r="F1206" s="27">
        <v>45727</v>
      </c>
      <c r="G1206">
        <v>3</v>
      </c>
      <c r="H1206">
        <v>3</v>
      </c>
      <c r="I1206" t="s">
        <v>724</v>
      </c>
      <c r="J1206" s="27">
        <v>45727</v>
      </c>
      <c r="L1206" s="29">
        <v>1806.2397375</v>
      </c>
      <c r="M1206" s="29">
        <v>5418.7192125000001</v>
      </c>
      <c r="N1206" s="15">
        <v>45717</v>
      </c>
    </row>
    <row r="1207" spans="1:14" x14ac:dyDescent="0.25">
      <c r="A1207">
        <v>390178</v>
      </c>
      <c r="B1207" t="s">
        <v>35</v>
      </c>
      <c r="C1207">
        <v>47569</v>
      </c>
      <c r="D1207" t="s">
        <v>36</v>
      </c>
      <c r="E1207" t="s">
        <v>22</v>
      </c>
      <c r="F1207" s="27">
        <v>45727</v>
      </c>
      <c r="G1207">
        <v>1</v>
      </c>
      <c r="H1207">
        <v>1</v>
      </c>
      <c r="I1207" t="s">
        <v>725</v>
      </c>
      <c r="J1207" s="27">
        <v>45727</v>
      </c>
      <c r="L1207" s="29">
        <v>1806.2397375</v>
      </c>
      <c r="M1207" s="29">
        <v>1806.2397375</v>
      </c>
      <c r="N1207" s="15">
        <v>45717</v>
      </c>
    </row>
    <row r="1208" spans="1:14" x14ac:dyDescent="0.25">
      <c r="A1208">
        <v>390179</v>
      </c>
      <c r="B1208" t="s">
        <v>35</v>
      </c>
      <c r="C1208">
        <v>47539</v>
      </c>
      <c r="D1208" t="s">
        <v>36</v>
      </c>
      <c r="E1208" t="s">
        <v>22</v>
      </c>
      <c r="F1208" s="27">
        <v>45727</v>
      </c>
      <c r="G1208">
        <v>1.5</v>
      </c>
      <c r="H1208">
        <v>1.5</v>
      </c>
      <c r="I1208" t="s">
        <v>726</v>
      </c>
      <c r="J1208" s="27">
        <v>45727</v>
      </c>
      <c r="L1208" s="29">
        <v>1806.2397375</v>
      </c>
      <c r="M1208" s="29">
        <v>2709.3596062500001</v>
      </c>
      <c r="N1208" s="15">
        <v>45717</v>
      </c>
    </row>
    <row r="1209" spans="1:14" x14ac:dyDescent="0.25">
      <c r="A1209">
        <v>390180</v>
      </c>
      <c r="B1209" t="s">
        <v>35</v>
      </c>
      <c r="C1209">
        <v>47572</v>
      </c>
      <c r="D1209" t="s">
        <v>36</v>
      </c>
      <c r="E1209" t="s">
        <v>22</v>
      </c>
      <c r="F1209" s="27">
        <v>45727</v>
      </c>
      <c r="G1209">
        <v>2.5</v>
      </c>
      <c r="H1209">
        <v>2.5</v>
      </c>
      <c r="I1209" t="s">
        <v>727</v>
      </c>
      <c r="J1209" s="27">
        <v>45727</v>
      </c>
      <c r="L1209" s="29">
        <v>1806.2397375</v>
      </c>
      <c r="M1209" s="29">
        <v>4515.5993437500001</v>
      </c>
      <c r="N1209" s="15">
        <v>45717</v>
      </c>
    </row>
    <row r="1210" spans="1:14" x14ac:dyDescent="0.25">
      <c r="A1210">
        <v>390217</v>
      </c>
      <c r="B1210" t="s">
        <v>35</v>
      </c>
      <c r="C1210">
        <v>47615</v>
      </c>
      <c r="D1210" t="s">
        <v>25</v>
      </c>
      <c r="E1210" t="s">
        <v>22</v>
      </c>
      <c r="F1210" s="27">
        <v>45727</v>
      </c>
      <c r="G1210">
        <v>8</v>
      </c>
      <c r="H1210">
        <v>8</v>
      </c>
      <c r="I1210" t="s">
        <v>728</v>
      </c>
      <c r="J1210" s="27">
        <v>45727</v>
      </c>
      <c r="L1210" s="29">
        <v>1128.8998357142857</v>
      </c>
      <c r="M1210" s="29">
        <v>9031.1986857142856</v>
      </c>
      <c r="N1210" s="15">
        <v>45717</v>
      </c>
    </row>
    <row r="1211" spans="1:14" x14ac:dyDescent="0.25">
      <c r="A1211">
        <v>394095</v>
      </c>
      <c r="B1211" t="s">
        <v>35</v>
      </c>
      <c r="C1211">
        <v>52114</v>
      </c>
      <c r="D1211" t="s">
        <v>37</v>
      </c>
      <c r="E1211" t="s">
        <v>22</v>
      </c>
      <c r="F1211" s="27">
        <v>45727</v>
      </c>
      <c r="G1211">
        <v>8</v>
      </c>
      <c r="H1211">
        <v>8</v>
      </c>
      <c r="I1211" t="s">
        <v>493</v>
      </c>
      <c r="J1211" s="27">
        <v>45737</v>
      </c>
      <c r="L1211" s="29">
        <v>451.55993452380955</v>
      </c>
      <c r="M1211" s="29">
        <v>3612.4794761904764</v>
      </c>
      <c r="N1211" s="15">
        <v>45717</v>
      </c>
    </row>
    <row r="1212" spans="1:14" x14ac:dyDescent="0.25">
      <c r="A1212">
        <v>393864</v>
      </c>
      <c r="B1212" t="s">
        <v>35</v>
      </c>
      <c r="C1212">
        <v>47614</v>
      </c>
      <c r="D1212" t="s">
        <v>42</v>
      </c>
      <c r="E1212" t="s">
        <v>22</v>
      </c>
      <c r="F1212" s="27">
        <v>45727</v>
      </c>
      <c r="G1212">
        <v>0.5</v>
      </c>
      <c r="H1212">
        <v>0.5</v>
      </c>
      <c r="I1212">
        <v>544</v>
      </c>
      <c r="J1212" s="27">
        <v>45737</v>
      </c>
      <c r="L1212" s="29">
        <v>1418</v>
      </c>
      <c r="M1212" s="29">
        <v>709</v>
      </c>
      <c r="N1212" s="15">
        <v>45717</v>
      </c>
    </row>
    <row r="1213" spans="1:14" x14ac:dyDescent="0.25">
      <c r="A1213">
        <v>390816</v>
      </c>
      <c r="B1213" t="s">
        <v>35</v>
      </c>
      <c r="C1213">
        <v>47569</v>
      </c>
      <c r="D1213" t="s">
        <v>30</v>
      </c>
      <c r="E1213" t="s">
        <v>22</v>
      </c>
      <c r="F1213" s="27">
        <v>45727</v>
      </c>
      <c r="G1213">
        <v>8</v>
      </c>
      <c r="H1213">
        <v>8</v>
      </c>
      <c r="I1213" t="s">
        <v>729</v>
      </c>
      <c r="J1213" s="27">
        <v>45729</v>
      </c>
      <c r="L1213" s="29">
        <v>602.07991249999998</v>
      </c>
      <c r="M1213" s="29">
        <v>4816.6392999999998</v>
      </c>
      <c r="N1213" s="15">
        <v>45717</v>
      </c>
    </row>
    <row r="1214" spans="1:14" x14ac:dyDescent="0.25">
      <c r="A1214">
        <v>422323</v>
      </c>
      <c r="B1214" t="s">
        <v>45</v>
      </c>
      <c r="C1214">
        <v>54643</v>
      </c>
      <c r="D1214" t="s">
        <v>41</v>
      </c>
      <c r="E1214" t="s">
        <v>22</v>
      </c>
      <c r="F1214" s="27">
        <v>45727</v>
      </c>
      <c r="G1214">
        <v>8</v>
      </c>
      <c r="H1214">
        <v>8</v>
      </c>
      <c r="I1214" t="s">
        <v>716</v>
      </c>
      <c r="J1214" s="27">
        <v>45807</v>
      </c>
      <c r="L1214" s="29">
        <v>1505.1997809523809</v>
      </c>
      <c r="M1214" s="29">
        <v>12041.598247619047</v>
      </c>
      <c r="N1214" s="15">
        <v>45717</v>
      </c>
    </row>
    <row r="1215" spans="1:14" x14ac:dyDescent="0.25">
      <c r="A1215">
        <v>391101</v>
      </c>
      <c r="B1215" t="s">
        <v>28</v>
      </c>
      <c r="C1215">
        <v>51263</v>
      </c>
      <c r="D1215" t="s">
        <v>27</v>
      </c>
      <c r="E1215" t="s">
        <v>22</v>
      </c>
      <c r="F1215" s="27">
        <v>45727</v>
      </c>
      <c r="G1215">
        <v>8</v>
      </c>
      <c r="H1215">
        <v>8</v>
      </c>
      <c r="I1215" t="s">
        <v>730</v>
      </c>
      <c r="J1215" s="27">
        <v>45729</v>
      </c>
      <c r="L1215" s="29">
        <v>602.07991249999998</v>
      </c>
      <c r="M1215" s="29">
        <v>4816.6392999999998</v>
      </c>
      <c r="N1215" s="15">
        <v>45717</v>
      </c>
    </row>
    <row r="1216" spans="1:14" x14ac:dyDescent="0.25">
      <c r="A1216">
        <v>413966</v>
      </c>
      <c r="B1216" t="s">
        <v>18</v>
      </c>
      <c r="C1216">
        <v>29236</v>
      </c>
      <c r="D1216" t="s">
        <v>43</v>
      </c>
      <c r="E1216" t="s">
        <v>19</v>
      </c>
      <c r="F1216" s="27">
        <v>45726</v>
      </c>
      <c r="G1216">
        <v>72</v>
      </c>
      <c r="H1216">
        <v>72</v>
      </c>
      <c r="I1216" t="s">
        <v>731</v>
      </c>
      <c r="J1216" s="27">
        <v>45782</v>
      </c>
      <c r="L1216" s="29">
        <v>376.29994523809523</v>
      </c>
      <c r="M1216" s="29">
        <v>27093.596057142859</v>
      </c>
      <c r="N1216" s="15">
        <v>45717</v>
      </c>
    </row>
    <row r="1217" spans="1:14" x14ac:dyDescent="0.25">
      <c r="A1217">
        <v>390216</v>
      </c>
      <c r="B1217" t="s">
        <v>35</v>
      </c>
      <c r="C1217">
        <v>47615</v>
      </c>
      <c r="D1217" t="s">
        <v>25</v>
      </c>
      <c r="E1217" t="s">
        <v>22</v>
      </c>
      <c r="F1217" s="27">
        <v>45726</v>
      </c>
      <c r="G1217">
        <v>8</v>
      </c>
      <c r="H1217">
        <v>8</v>
      </c>
      <c r="I1217" t="s">
        <v>728</v>
      </c>
      <c r="J1217" s="27">
        <v>45727</v>
      </c>
      <c r="L1217" s="29">
        <v>1128.8998357142857</v>
      </c>
      <c r="M1217" s="29">
        <v>9031.1986857142856</v>
      </c>
      <c r="N1217" s="15">
        <v>45717</v>
      </c>
    </row>
    <row r="1218" spans="1:14" x14ac:dyDescent="0.25">
      <c r="A1218">
        <v>394093</v>
      </c>
      <c r="B1218" t="s">
        <v>35</v>
      </c>
      <c r="C1218">
        <v>52114</v>
      </c>
      <c r="D1218" t="s">
        <v>37</v>
      </c>
      <c r="E1218" t="s">
        <v>22</v>
      </c>
      <c r="F1218" s="27">
        <v>45726</v>
      </c>
      <c r="G1218">
        <v>8</v>
      </c>
      <c r="H1218">
        <v>8</v>
      </c>
      <c r="I1218" t="s">
        <v>493</v>
      </c>
      <c r="J1218" s="27">
        <v>45737</v>
      </c>
      <c r="L1218" s="29">
        <v>451.55993452380955</v>
      </c>
      <c r="M1218" s="29">
        <v>3612.4794761904764</v>
      </c>
      <c r="N1218" s="15">
        <v>45717</v>
      </c>
    </row>
    <row r="1219" spans="1:14" x14ac:dyDescent="0.25">
      <c r="A1219">
        <v>389751</v>
      </c>
      <c r="B1219" t="s">
        <v>35</v>
      </c>
      <c r="C1219">
        <v>47537</v>
      </c>
      <c r="D1219" t="s">
        <v>36</v>
      </c>
      <c r="E1219" t="s">
        <v>22</v>
      </c>
      <c r="F1219" s="27">
        <v>45726</v>
      </c>
      <c r="G1219">
        <v>2</v>
      </c>
      <c r="H1219">
        <v>2</v>
      </c>
      <c r="I1219">
        <v>1526</v>
      </c>
      <c r="J1219" s="27">
        <v>45726</v>
      </c>
      <c r="L1219" s="29">
        <v>1806.2397375</v>
      </c>
      <c r="M1219" s="29">
        <v>3612.4794750000001</v>
      </c>
      <c r="N1219" s="15">
        <v>45717</v>
      </c>
    </row>
    <row r="1220" spans="1:14" x14ac:dyDescent="0.25">
      <c r="A1220">
        <v>389752</v>
      </c>
      <c r="B1220" t="s">
        <v>35</v>
      </c>
      <c r="C1220">
        <v>47569</v>
      </c>
      <c r="D1220" t="s">
        <v>36</v>
      </c>
      <c r="E1220" t="s">
        <v>22</v>
      </c>
      <c r="F1220" s="27">
        <v>45726</v>
      </c>
      <c r="G1220">
        <v>2.5</v>
      </c>
      <c r="H1220">
        <v>2.5</v>
      </c>
      <c r="I1220">
        <v>1351</v>
      </c>
      <c r="J1220" s="27">
        <v>45726</v>
      </c>
      <c r="L1220" s="29">
        <v>1806.2397375</v>
      </c>
      <c r="M1220" s="29">
        <v>4515.5993437500001</v>
      </c>
      <c r="N1220" s="15">
        <v>45717</v>
      </c>
    </row>
    <row r="1221" spans="1:14" x14ac:dyDescent="0.25">
      <c r="A1221">
        <v>389753</v>
      </c>
      <c r="B1221" t="s">
        <v>35</v>
      </c>
      <c r="C1221">
        <v>47572</v>
      </c>
      <c r="D1221" t="s">
        <v>36</v>
      </c>
      <c r="E1221" t="s">
        <v>22</v>
      </c>
      <c r="F1221" s="27">
        <v>45726</v>
      </c>
      <c r="G1221">
        <v>3.5</v>
      </c>
      <c r="H1221">
        <v>3.5</v>
      </c>
      <c r="I1221" t="s">
        <v>637</v>
      </c>
      <c r="J1221" s="27">
        <v>45726</v>
      </c>
      <c r="L1221" s="29">
        <v>1806.2397375</v>
      </c>
      <c r="M1221" s="29">
        <v>6321.8390812500002</v>
      </c>
      <c r="N1221" s="15">
        <v>45717</v>
      </c>
    </row>
    <row r="1222" spans="1:14" x14ac:dyDescent="0.25">
      <c r="A1222">
        <v>393861</v>
      </c>
      <c r="B1222" t="s">
        <v>35</v>
      </c>
      <c r="C1222">
        <v>47614</v>
      </c>
      <c r="D1222" t="s">
        <v>42</v>
      </c>
      <c r="E1222" t="s">
        <v>22</v>
      </c>
      <c r="F1222" s="27">
        <v>45726</v>
      </c>
      <c r="G1222">
        <v>2</v>
      </c>
      <c r="H1222">
        <v>2</v>
      </c>
      <c r="I1222">
        <v>1481</v>
      </c>
      <c r="J1222" s="27">
        <v>45737</v>
      </c>
      <c r="L1222" s="29">
        <v>1418</v>
      </c>
      <c r="M1222" s="29">
        <v>2836</v>
      </c>
      <c r="N1222" s="15">
        <v>45717</v>
      </c>
    </row>
    <row r="1223" spans="1:14" x14ac:dyDescent="0.25">
      <c r="A1223">
        <v>393863</v>
      </c>
      <c r="B1223" t="s">
        <v>35</v>
      </c>
      <c r="C1223">
        <v>47614</v>
      </c>
      <c r="D1223" t="s">
        <v>42</v>
      </c>
      <c r="E1223" t="s">
        <v>22</v>
      </c>
      <c r="F1223" s="27">
        <v>45726</v>
      </c>
      <c r="G1223">
        <v>0.5</v>
      </c>
      <c r="H1223">
        <v>0.5</v>
      </c>
      <c r="I1223">
        <v>544</v>
      </c>
      <c r="J1223" s="27">
        <v>45737</v>
      </c>
      <c r="L1223" s="29">
        <v>1418</v>
      </c>
      <c r="M1223" s="29">
        <v>709</v>
      </c>
      <c r="N1223" s="15">
        <v>45717</v>
      </c>
    </row>
    <row r="1224" spans="1:14" x14ac:dyDescent="0.25">
      <c r="A1224">
        <v>390814</v>
      </c>
      <c r="B1224" t="s">
        <v>35</v>
      </c>
      <c r="C1224">
        <v>47569</v>
      </c>
      <c r="D1224" t="s">
        <v>30</v>
      </c>
      <c r="E1224" t="s">
        <v>22</v>
      </c>
      <c r="F1224" s="27">
        <v>45726</v>
      </c>
      <c r="G1224">
        <v>9</v>
      </c>
      <c r="H1224">
        <v>9</v>
      </c>
      <c r="I1224" t="s">
        <v>732</v>
      </c>
      <c r="J1224" s="27">
        <v>45729</v>
      </c>
      <c r="L1224" s="29">
        <v>602.07991249999998</v>
      </c>
      <c r="M1224" s="29">
        <v>5418.7192125000001</v>
      </c>
      <c r="N1224" s="15">
        <v>45717</v>
      </c>
    </row>
    <row r="1225" spans="1:14" x14ac:dyDescent="0.25">
      <c r="A1225">
        <v>422322</v>
      </c>
      <c r="B1225" t="s">
        <v>45</v>
      </c>
      <c r="C1225">
        <v>54643</v>
      </c>
      <c r="D1225" t="s">
        <v>41</v>
      </c>
      <c r="E1225" t="s">
        <v>22</v>
      </c>
      <c r="F1225" s="27">
        <v>45726</v>
      </c>
      <c r="G1225">
        <v>8</v>
      </c>
      <c r="H1225">
        <v>8</v>
      </c>
      <c r="I1225" t="s">
        <v>716</v>
      </c>
      <c r="J1225" s="27">
        <v>45807</v>
      </c>
      <c r="L1225" s="29">
        <v>1505.1997809523809</v>
      </c>
      <c r="M1225" s="29">
        <v>12041.598247619047</v>
      </c>
      <c r="N1225" s="15">
        <v>45717</v>
      </c>
    </row>
    <row r="1226" spans="1:14" x14ac:dyDescent="0.25">
      <c r="A1226">
        <v>391100</v>
      </c>
      <c r="B1226" t="s">
        <v>28</v>
      </c>
      <c r="C1226">
        <v>51263</v>
      </c>
      <c r="D1226" t="s">
        <v>27</v>
      </c>
      <c r="E1226" t="s">
        <v>22</v>
      </c>
      <c r="F1226" s="27">
        <v>45726</v>
      </c>
      <c r="G1226">
        <v>11</v>
      </c>
      <c r="H1226">
        <v>11</v>
      </c>
      <c r="I1226" t="s">
        <v>733</v>
      </c>
      <c r="J1226" s="27">
        <v>45729</v>
      </c>
      <c r="L1226" s="29">
        <v>602.07991249999998</v>
      </c>
      <c r="M1226" s="29">
        <v>6622.8790374999999</v>
      </c>
      <c r="N1226" s="15">
        <v>45717</v>
      </c>
    </row>
    <row r="1227" spans="1:14" x14ac:dyDescent="0.25">
      <c r="A1227">
        <v>393857</v>
      </c>
      <c r="B1227" t="s">
        <v>35</v>
      </c>
      <c r="C1227">
        <v>47614</v>
      </c>
      <c r="D1227" t="s">
        <v>42</v>
      </c>
      <c r="E1227" t="s">
        <v>22</v>
      </c>
      <c r="F1227" s="27">
        <v>45725</v>
      </c>
      <c r="G1227">
        <v>1</v>
      </c>
      <c r="H1227">
        <v>1</v>
      </c>
      <c r="I1227">
        <v>1491</v>
      </c>
      <c r="J1227" s="27">
        <v>45737</v>
      </c>
      <c r="L1227" s="29">
        <v>1418</v>
      </c>
      <c r="M1227" s="29">
        <v>1418</v>
      </c>
      <c r="N1227" s="15">
        <v>45717</v>
      </c>
    </row>
    <row r="1228" spans="1:14" x14ac:dyDescent="0.25">
      <c r="A1228">
        <v>393859</v>
      </c>
      <c r="B1228" t="s">
        <v>35</v>
      </c>
      <c r="C1228">
        <v>47614</v>
      </c>
      <c r="D1228" t="s">
        <v>42</v>
      </c>
      <c r="E1228" t="s">
        <v>22</v>
      </c>
      <c r="F1228" s="27">
        <v>45725</v>
      </c>
      <c r="G1228">
        <v>4</v>
      </c>
      <c r="H1228">
        <v>4</v>
      </c>
      <c r="I1228">
        <v>1481</v>
      </c>
      <c r="J1228" s="27">
        <v>45737</v>
      </c>
      <c r="L1228" s="29">
        <v>1418</v>
      </c>
      <c r="M1228" s="29">
        <v>5672</v>
      </c>
      <c r="N1228" s="15">
        <v>45717</v>
      </c>
    </row>
    <row r="1229" spans="1:14" x14ac:dyDescent="0.25">
      <c r="A1229">
        <v>390215</v>
      </c>
      <c r="B1229" t="s">
        <v>35</v>
      </c>
      <c r="C1229">
        <v>47615</v>
      </c>
      <c r="D1229" t="s">
        <v>25</v>
      </c>
      <c r="E1229" t="s">
        <v>22</v>
      </c>
      <c r="F1229" s="27">
        <v>45723</v>
      </c>
      <c r="G1229">
        <v>8</v>
      </c>
      <c r="H1229">
        <v>8</v>
      </c>
      <c r="I1229" t="s">
        <v>728</v>
      </c>
      <c r="J1229" s="27">
        <v>45727</v>
      </c>
      <c r="L1229" s="29">
        <v>1128.8998357142857</v>
      </c>
      <c r="M1229" s="29">
        <v>9031.1986857142856</v>
      </c>
      <c r="N1229" s="15">
        <v>45717</v>
      </c>
    </row>
    <row r="1230" spans="1:14" x14ac:dyDescent="0.25">
      <c r="A1230">
        <v>441191</v>
      </c>
      <c r="B1230" t="s">
        <v>952</v>
      </c>
      <c r="C1230">
        <v>53893</v>
      </c>
      <c r="D1230" t="s">
        <v>43</v>
      </c>
      <c r="E1230" t="s">
        <v>22</v>
      </c>
      <c r="F1230" s="27">
        <v>45723</v>
      </c>
      <c r="G1230">
        <v>8</v>
      </c>
      <c r="H1230">
        <v>8</v>
      </c>
      <c r="I1230" t="s">
        <v>1013</v>
      </c>
      <c r="J1230" s="27">
        <v>45859</v>
      </c>
      <c r="L1230" s="29">
        <v>376.29994523809523</v>
      </c>
      <c r="M1230" s="29">
        <v>3010.3995619047619</v>
      </c>
      <c r="N1230" s="15">
        <v>45717</v>
      </c>
    </row>
    <row r="1231" spans="1:14" x14ac:dyDescent="0.25">
      <c r="A1231">
        <v>394092</v>
      </c>
      <c r="B1231" t="s">
        <v>35</v>
      </c>
      <c r="C1231">
        <v>52114</v>
      </c>
      <c r="D1231" t="s">
        <v>37</v>
      </c>
      <c r="E1231" t="s">
        <v>22</v>
      </c>
      <c r="F1231" s="27">
        <v>45723</v>
      </c>
      <c r="G1231">
        <v>8</v>
      </c>
      <c r="H1231">
        <v>8</v>
      </c>
      <c r="I1231" t="s">
        <v>493</v>
      </c>
      <c r="J1231" s="27">
        <v>45737</v>
      </c>
      <c r="L1231" s="29">
        <v>451.55993452380955</v>
      </c>
      <c r="M1231" s="29">
        <v>3612.4794761904764</v>
      </c>
      <c r="N1231" s="15">
        <v>45717</v>
      </c>
    </row>
    <row r="1232" spans="1:14" x14ac:dyDescent="0.25">
      <c r="A1232">
        <v>393855</v>
      </c>
      <c r="B1232" t="s">
        <v>35</v>
      </c>
      <c r="C1232">
        <v>47614</v>
      </c>
      <c r="D1232" t="s">
        <v>42</v>
      </c>
      <c r="E1232" t="s">
        <v>22</v>
      </c>
      <c r="F1232" s="27">
        <v>45723</v>
      </c>
      <c r="G1232">
        <v>2</v>
      </c>
      <c r="H1232">
        <v>2</v>
      </c>
      <c r="I1232">
        <v>911</v>
      </c>
      <c r="J1232" s="27">
        <v>45737</v>
      </c>
      <c r="L1232" s="29">
        <v>1418</v>
      </c>
      <c r="M1232" s="29">
        <v>2836</v>
      </c>
      <c r="N1232" s="15">
        <v>45717</v>
      </c>
    </row>
    <row r="1233" spans="1:14" x14ac:dyDescent="0.25">
      <c r="A1233">
        <v>389517</v>
      </c>
      <c r="B1233" t="s">
        <v>35</v>
      </c>
      <c r="C1233">
        <v>47569</v>
      </c>
      <c r="D1233" t="s">
        <v>36</v>
      </c>
      <c r="E1233" t="s">
        <v>22</v>
      </c>
      <c r="F1233" s="27">
        <v>45723</v>
      </c>
      <c r="G1233">
        <v>8</v>
      </c>
      <c r="H1233">
        <v>8</v>
      </c>
      <c r="I1233" t="s">
        <v>734</v>
      </c>
      <c r="J1233" s="27">
        <v>45726</v>
      </c>
      <c r="L1233" s="29">
        <v>1806.2397375</v>
      </c>
      <c r="M1233" s="29">
        <v>14449.9179</v>
      </c>
      <c r="N1233" s="15">
        <v>45717</v>
      </c>
    </row>
    <row r="1234" spans="1:14" x14ac:dyDescent="0.25">
      <c r="A1234">
        <v>412324</v>
      </c>
      <c r="B1234" t="s">
        <v>35</v>
      </c>
      <c r="C1234">
        <v>47569</v>
      </c>
      <c r="D1234" t="s">
        <v>30</v>
      </c>
      <c r="E1234" t="s">
        <v>22</v>
      </c>
      <c r="F1234" s="27">
        <v>45723</v>
      </c>
      <c r="G1234">
        <v>31</v>
      </c>
      <c r="H1234">
        <v>31</v>
      </c>
      <c r="I1234" t="s">
        <v>494</v>
      </c>
      <c r="J1234" s="27">
        <v>45777</v>
      </c>
      <c r="L1234" s="29">
        <v>602.07991249999998</v>
      </c>
      <c r="M1234" s="29">
        <v>18664.477287499998</v>
      </c>
      <c r="N1234" s="15">
        <v>45717</v>
      </c>
    </row>
    <row r="1235" spans="1:14" x14ac:dyDescent="0.25">
      <c r="A1235">
        <v>422320</v>
      </c>
      <c r="B1235" t="s">
        <v>45</v>
      </c>
      <c r="C1235">
        <v>54643</v>
      </c>
      <c r="D1235" t="s">
        <v>41</v>
      </c>
      <c r="E1235" t="s">
        <v>22</v>
      </c>
      <c r="F1235" s="27">
        <v>45723</v>
      </c>
      <c r="G1235">
        <v>8</v>
      </c>
      <c r="H1235">
        <v>8</v>
      </c>
      <c r="I1235" t="s">
        <v>735</v>
      </c>
      <c r="J1235" s="27">
        <v>45807</v>
      </c>
      <c r="L1235" s="29">
        <v>1505.1997809523809</v>
      </c>
      <c r="M1235" s="29">
        <v>12041.598247619047</v>
      </c>
      <c r="N1235" s="15">
        <v>45717</v>
      </c>
    </row>
    <row r="1236" spans="1:14" x14ac:dyDescent="0.25">
      <c r="A1236">
        <v>391099</v>
      </c>
      <c r="B1236" t="s">
        <v>28</v>
      </c>
      <c r="C1236">
        <v>51263</v>
      </c>
      <c r="D1236" t="s">
        <v>27</v>
      </c>
      <c r="E1236" t="s">
        <v>22</v>
      </c>
      <c r="F1236" s="27">
        <v>45723</v>
      </c>
      <c r="G1236">
        <v>10</v>
      </c>
      <c r="H1236">
        <v>10</v>
      </c>
      <c r="I1236" t="s">
        <v>736</v>
      </c>
      <c r="J1236" s="27">
        <v>45729</v>
      </c>
      <c r="L1236" s="29">
        <v>602.07991249999998</v>
      </c>
      <c r="M1236" s="29">
        <v>6020.7991249999995</v>
      </c>
      <c r="N1236" s="15">
        <v>45717</v>
      </c>
    </row>
    <row r="1237" spans="1:14" x14ac:dyDescent="0.25">
      <c r="A1237">
        <v>389569</v>
      </c>
      <c r="B1237" t="s">
        <v>31</v>
      </c>
      <c r="C1237">
        <v>13970</v>
      </c>
      <c r="D1237" t="s">
        <v>33</v>
      </c>
      <c r="E1237" t="s">
        <v>19</v>
      </c>
      <c r="F1237" s="27">
        <v>45723</v>
      </c>
      <c r="G1237">
        <v>25</v>
      </c>
      <c r="H1237">
        <v>25</v>
      </c>
      <c r="I1237" t="s">
        <v>610</v>
      </c>
      <c r="J1237" s="27">
        <v>45726</v>
      </c>
      <c r="L1237" s="29">
        <v>1505.1997809523809</v>
      </c>
      <c r="M1237" s="29">
        <v>37629.994523809524</v>
      </c>
      <c r="N1237" s="15">
        <v>45717</v>
      </c>
    </row>
    <row r="1238" spans="1:14" x14ac:dyDescent="0.25">
      <c r="A1238">
        <v>389319</v>
      </c>
      <c r="B1238" t="s">
        <v>28</v>
      </c>
      <c r="C1238">
        <v>51262</v>
      </c>
      <c r="D1238" t="s">
        <v>44</v>
      </c>
      <c r="E1238" t="s">
        <v>22</v>
      </c>
      <c r="F1238" s="27">
        <v>45723</v>
      </c>
      <c r="G1238">
        <v>40</v>
      </c>
      <c r="H1238">
        <v>40</v>
      </c>
      <c r="I1238" t="s">
        <v>737</v>
      </c>
      <c r="J1238" s="27">
        <v>45725</v>
      </c>
      <c r="L1238" s="29">
        <v>2107.2796934523808</v>
      </c>
      <c r="M1238" s="29">
        <v>84291.187738095236</v>
      </c>
      <c r="N1238" s="15">
        <v>45717</v>
      </c>
    </row>
    <row r="1239" spans="1:14" x14ac:dyDescent="0.25">
      <c r="A1239">
        <v>414016</v>
      </c>
      <c r="B1239" t="s">
        <v>35</v>
      </c>
      <c r="C1239">
        <v>47614</v>
      </c>
      <c r="D1239" t="s">
        <v>43</v>
      </c>
      <c r="E1239" t="s">
        <v>22</v>
      </c>
      <c r="F1239" s="27">
        <v>45722</v>
      </c>
      <c r="G1239">
        <v>32</v>
      </c>
      <c r="H1239">
        <v>32</v>
      </c>
      <c r="I1239" t="s">
        <v>738</v>
      </c>
      <c r="J1239" s="27">
        <v>45782</v>
      </c>
      <c r="L1239" s="29">
        <v>376.29994523809523</v>
      </c>
      <c r="M1239" s="29">
        <v>12041.598247619047</v>
      </c>
      <c r="N1239" s="15">
        <v>45717</v>
      </c>
    </row>
    <row r="1240" spans="1:14" x14ac:dyDescent="0.25">
      <c r="A1240">
        <v>394091</v>
      </c>
      <c r="B1240" t="s">
        <v>35</v>
      </c>
      <c r="C1240">
        <v>52114</v>
      </c>
      <c r="D1240" t="s">
        <v>37</v>
      </c>
      <c r="E1240" t="s">
        <v>22</v>
      </c>
      <c r="F1240" s="27">
        <v>45722</v>
      </c>
      <c r="G1240">
        <v>8</v>
      </c>
      <c r="H1240">
        <v>8</v>
      </c>
      <c r="I1240" t="s">
        <v>493</v>
      </c>
      <c r="J1240" s="27">
        <v>45737</v>
      </c>
      <c r="L1240" s="29">
        <v>451.55993452380955</v>
      </c>
      <c r="M1240" s="29">
        <v>3612.4794761904764</v>
      </c>
      <c r="N1240" s="15">
        <v>45717</v>
      </c>
    </row>
    <row r="1241" spans="1:14" x14ac:dyDescent="0.25">
      <c r="A1241">
        <v>393852</v>
      </c>
      <c r="B1241" t="s">
        <v>35</v>
      </c>
      <c r="C1241">
        <v>47614</v>
      </c>
      <c r="D1241" t="s">
        <v>42</v>
      </c>
      <c r="E1241" t="s">
        <v>22</v>
      </c>
      <c r="F1241" s="27">
        <v>45722</v>
      </c>
      <c r="G1241">
        <v>1</v>
      </c>
      <c r="H1241">
        <v>1</v>
      </c>
      <c r="I1241">
        <v>911</v>
      </c>
      <c r="J1241" s="27">
        <v>45737</v>
      </c>
      <c r="L1241" s="29">
        <v>1418</v>
      </c>
      <c r="M1241" s="29">
        <v>1418</v>
      </c>
      <c r="N1241" s="15">
        <v>45717</v>
      </c>
    </row>
    <row r="1242" spans="1:14" x14ac:dyDescent="0.25">
      <c r="A1242">
        <v>393854</v>
      </c>
      <c r="B1242" t="s">
        <v>35</v>
      </c>
      <c r="C1242">
        <v>47614</v>
      </c>
      <c r="D1242" t="s">
        <v>42</v>
      </c>
      <c r="E1242" t="s">
        <v>22</v>
      </c>
      <c r="F1242" s="27">
        <v>45722</v>
      </c>
      <c r="G1242">
        <v>1</v>
      </c>
      <c r="H1242">
        <v>1</v>
      </c>
      <c r="I1242">
        <v>1517</v>
      </c>
      <c r="J1242" s="27">
        <v>45737</v>
      </c>
      <c r="L1242" s="29">
        <v>1418</v>
      </c>
      <c r="M1242" s="29">
        <v>1418</v>
      </c>
      <c r="N1242" s="15">
        <v>45717</v>
      </c>
    </row>
    <row r="1243" spans="1:14" x14ac:dyDescent="0.25">
      <c r="A1243">
        <v>388748</v>
      </c>
      <c r="B1243" t="s">
        <v>35</v>
      </c>
      <c r="C1243">
        <v>47537</v>
      </c>
      <c r="D1243" t="s">
        <v>36</v>
      </c>
      <c r="E1243" t="s">
        <v>22</v>
      </c>
      <c r="F1243" s="27">
        <v>45722</v>
      </c>
      <c r="G1243">
        <v>3</v>
      </c>
      <c r="H1243">
        <v>3</v>
      </c>
      <c r="I1243" t="s">
        <v>739</v>
      </c>
      <c r="J1243" s="27">
        <v>45722</v>
      </c>
      <c r="L1243" s="29">
        <v>1806.2397375</v>
      </c>
      <c r="M1243" s="29">
        <v>5418.7192125000001</v>
      </c>
      <c r="N1243" s="15">
        <v>45717</v>
      </c>
    </row>
    <row r="1244" spans="1:14" x14ac:dyDescent="0.25">
      <c r="A1244">
        <v>388749</v>
      </c>
      <c r="B1244" t="s">
        <v>35</v>
      </c>
      <c r="C1244">
        <v>47570</v>
      </c>
      <c r="D1244" t="s">
        <v>36</v>
      </c>
      <c r="E1244" t="s">
        <v>22</v>
      </c>
      <c r="F1244" s="27">
        <v>45722</v>
      </c>
      <c r="G1244">
        <v>1</v>
      </c>
      <c r="H1244">
        <v>1</v>
      </c>
      <c r="I1244" t="s">
        <v>310</v>
      </c>
      <c r="J1244" s="27">
        <v>45722</v>
      </c>
      <c r="L1244" s="29">
        <v>1806.2397375</v>
      </c>
      <c r="M1244" s="29">
        <v>1806.2397375</v>
      </c>
      <c r="N1244" s="15">
        <v>45717</v>
      </c>
    </row>
    <row r="1245" spans="1:14" x14ac:dyDescent="0.25">
      <c r="A1245">
        <v>388750</v>
      </c>
      <c r="B1245" t="s">
        <v>35</v>
      </c>
      <c r="C1245">
        <v>47569</v>
      </c>
      <c r="D1245" t="s">
        <v>36</v>
      </c>
      <c r="E1245" t="s">
        <v>22</v>
      </c>
      <c r="F1245" s="27">
        <v>45722</v>
      </c>
      <c r="G1245">
        <v>2</v>
      </c>
      <c r="H1245">
        <v>2</v>
      </c>
      <c r="I1245" t="s">
        <v>740</v>
      </c>
      <c r="J1245" s="27">
        <v>45722</v>
      </c>
      <c r="L1245" s="29">
        <v>1806.2397375</v>
      </c>
      <c r="M1245" s="29">
        <v>3612.4794750000001</v>
      </c>
      <c r="N1245" s="15">
        <v>45717</v>
      </c>
    </row>
    <row r="1246" spans="1:14" x14ac:dyDescent="0.25">
      <c r="A1246">
        <v>388751</v>
      </c>
      <c r="B1246" t="s">
        <v>35</v>
      </c>
      <c r="C1246">
        <v>47572</v>
      </c>
      <c r="D1246" t="s">
        <v>36</v>
      </c>
      <c r="E1246" t="s">
        <v>22</v>
      </c>
      <c r="F1246" s="27">
        <v>45722</v>
      </c>
      <c r="G1246">
        <v>2</v>
      </c>
      <c r="H1246">
        <v>2</v>
      </c>
      <c r="I1246" t="s">
        <v>686</v>
      </c>
      <c r="J1246" s="27">
        <v>45722</v>
      </c>
      <c r="L1246" s="29">
        <v>1806.2397375</v>
      </c>
      <c r="M1246" s="29">
        <v>3612.4794750000001</v>
      </c>
      <c r="N1246" s="15">
        <v>45717</v>
      </c>
    </row>
    <row r="1247" spans="1:14" x14ac:dyDescent="0.25">
      <c r="A1247">
        <v>412323</v>
      </c>
      <c r="B1247" t="s">
        <v>35</v>
      </c>
      <c r="C1247">
        <v>47569</v>
      </c>
      <c r="D1247" t="s">
        <v>30</v>
      </c>
      <c r="E1247" t="s">
        <v>22</v>
      </c>
      <c r="F1247" s="27">
        <v>45722</v>
      </c>
      <c r="G1247">
        <v>8</v>
      </c>
      <c r="H1247">
        <v>8</v>
      </c>
      <c r="I1247" t="s">
        <v>494</v>
      </c>
      <c r="J1247" s="27">
        <v>45777</v>
      </c>
      <c r="L1247" s="29">
        <v>602.07991249999998</v>
      </c>
      <c r="M1247" s="29">
        <v>4816.6392999999998</v>
      </c>
      <c r="N1247" s="15">
        <v>45717</v>
      </c>
    </row>
    <row r="1248" spans="1:14" x14ac:dyDescent="0.25">
      <c r="A1248">
        <v>422319</v>
      </c>
      <c r="B1248" t="s">
        <v>45</v>
      </c>
      <c r="C1248">
        <v>54643</v>
      </c>
      <c r="D1248" t="s">
        <v>41</v>
      </c>
      <c r="E1248" t="s">
        <v>22</v>
      </c>
      <c r="F1248" s="27">
        <v>45722</v>
      </c>
      <c r="G1248">
        <v>8</v>
      </c>
      <c r="H1248">
        <v>8</v>
      </c>
      <c r="I1248" t="s">
        <v>735</v>
      </c>
      <c r="J1248" s="27">
        <v>45807</v>
      </c>
      <c r="L1248" s="29">
        <v>1505.1997809523809</v>
      </c>
      <c r="M1248" s="29">
        <v>12041.598247619047</v>
      </c>
      <c r="N1248" s="15">
        <v>45717</v>
      </c>
    </row>
    <row r="1249" spans="1:14" x14ac:dyDescent="0.25">
      <c r="A1249">
        <v>391098</v>
      </c>
      <c r="B1249" t="s">
        <v>28</v>
      </c>
      <c r="C1249">
        <v>51263</v>
      </c>
      <c r="D1249" t="s">
        <v>27</v>
      </c>
      <c r="E1249" t="s">
        <v>22</v>
      </c>
      <c r="F1249" s="27">
        <v>45722</v>
      </c>
      <c r="G1249">
        <v>8</v>
      </c>
      <c r="H1249">
        <v>8</v>
      </c>
      <c r="I1249" t="s">
        <v>741</v>
      </c>
      <c r="J1249" s="27">
        <v>45729</v>
      </c>
      <c r="L1249" s="29">
        <v>602.07991249999998</v>
      </c>
      <c r="M1249" s="29">
        <v>4816.6392999999998</v>
      </c>
      <c r="N1249" s="15">
        <v>45717</v>
      </c>
    </row>
    <row r="1250" spans="1:14" x14ac:dyDescent="0.25">
      <c r="A1250">
        <v>394089</v>
      </c>
      <c r="B1250" t="s">
        <v>35</v>
      </c>
      <c r="C1250">
        <v>52114</v>
      </c>
      <c r="D1250" t="s">
        <v>37</v>
      </c>
      <c r="E1250" t="s">
        <v>22</v>
      </c>
      <c r="F1250" s="27">
        <v>45721</v>
      </c>
      <c r="G1250">
        <v>8</v>
      </c>
      <c r="H1250">
        <v>8</v>
      </c>
      <c r="I1250" t="s">
        <v>493</v>
      </c>
      <c r="J1250" s="27">
        <v>45737</v>
      </c>
      <c r="L1250" s="29">
        <v>451.55993452380955</v>
      </c>
      <c r="M1250" s="29">
        <v>3612.4794761904764</v>
      </c>
      <c r="N1250" s="15">
        <v>45717</v>
      </c>
    </row>
    <row r="1251" spans="1:14" x14ac:dyDescent="0.25">
      <c r="A1251">
        <v>393848</v>
      </c>
      <c r="B1251" t="s">
        <v>35</v>
      </c>
      <c r="C1251">
        <v>47614</v>
      </c>
      <c r="D1251" t="s">
        <v>42</v>
      </c>
      <c r="E1251" t="s">
        <v>22</v>
      </c>
      <c r="F1251" s="27">
        <v>45721</v>
      </c>
      <c r="G1251">
        <v>1</v>
      </c>
      <c r="H1251">
        <v>1</v>
      </c>
      <c r="I1251">
        <v>1479</v>
      </c>
      <c r="J1251" s="27">
        <v>45737</v>
      </c>
      <c r="L1251" s="29">
        <v>1418</v>
      </c>
      <c r="M1251" s="29">
        <v>1418</v>
      </c>
      <c r="N1251" s="15">
        <v>45717</v>
      </c>
    </row>
    <row r="1252" spans="1:14" x14ac:dyDescent="0.25">
      <c r="A1252">
        <v>393850</v>
      </c>
      <c r="B1252" t="s">
        <v>35</v>
      </c>
      <c r="C1252">
        <v>47614</v>
      </c>
      <c r="D1252" t="s">
        <v>42</v>
      </c>
      <c r="E1252" t="s">
        <v>22</v>
      </c>
      <c r="F1252" s="27">
        <v>45721</v>
      </c>
      <c r="G1252">
        <v>0.5</v>
      </c>
      <c r="H1252">
        <v>0.5</v>
      </c>
      <c r="I1252">
        <v>544</v>
      </c>
      <c r="J1252" s="27">
        <v>45737</v>
      </c>
      <c r="L1252" s="29">
        <v>1418</v>
      </c>
      <c r="M1252" s="29">
        <v>709</v>
      </c>
      <c r="N1252" s="15">
        <v>45717</v>
      </c>
    </row>
    <row r="1253" spans="1:14" x14ac:dyDescent="0.25">
      <c r="A1253">
        <v>412322</v>
      </c>
      <c r="B1253" t="s">
        <v>35</v>
      </c>
      <c r="C1253">
        <v>47569</v>
      </c>
      <c r="D1253" t="s">
        <v>30</v>
      </c>
      <c r="E1253" t="s">
        <v>22</v>
      </c>
      <c r="F1253" s="27">
        <v>45721</v>
      </c>
      <c r="G1253">
        <v>8</v>
      </c>
      <c r="H1253">
        <v>8</v>
      </c>
      <c r="I1253" t="s">
        <v>494</v>
      </c>
      <c r="J1253" s="27">
        <v>45777</v>
      </c>
      <c r="L1253" s="29">
        <v>602.07991249999998</v>
      </c>
      <c r="M1253" s="29">
        <v>4816.6392999999998</v>
      </c>
      <c r="N1253" s="15">
        <v>45717</v>
      </c>
    </row>
    <row r="1254" spans="1:14" x14ac:dyDescent="0.25">
      <c r="A1254">
        <v>422318</v>
      </c>
      <c r="B1254" t="s">
        <v>45</v>
      </c>
      <c r="C1254">
        <v>54643</v>
      </c>
      <c r="D1254" t="s">
        <v>41</v>
      </c>
      <c r="E1254" t="s">
        <v>22</v>
      </c>
      <c r="F1254" s="27">
        <v>45721</v>
      </c>
      <c r="G1254">
        <v>8</v>
      </c>
      <c r="H1254">
        <v>8</v>
      </c>
      <c r="I1254" t="s">
        <v>735</v>
      </c>
      <c r="J1254" s="27">
        <v>45807</v>
      </c>
      <c r="L1254" s="29">
        <v>1505.1997809523809</v>
      </c>
      <c r="M1254" s="29">
        <v>12041.598247619047</v>
      </c>
      <c r="N1254" s="15">
        <v>45717</v>
      </c>
    </row>
    <row r="1255" spans="1:14" x14ac:dyDescent="0.25">
      <c r="A1255">
        <v>391097</v>
      </c>
      <c r="B1255" t="s">
        <v>28</v>
      </c>
      <c r="C1255">
        <v>51263</v>
      </c>
      <c r="D1255" t="s">
        <v>27</v>
      </c>
      <c r="E1255" t="s">
        <v>22</v>
      </c>
      <c r="F1255" s="27">
        <v>45721</v>
      </c>
      <c r="G1255">
        <v>5</v>
      </c>
      <c r="H1255">
        <v>5</v>
      </c>
      <c r="I1255" t="s">
        <v>742</v>
      </c>
      <c r="J1255" s="27">
        <v>45729</v>
      </c>
      <c r="L1255" s="29">
        <v>602.07991249999998</v>
      </c>
      <c r="M1255" s="29">
        <v>3010.3995624999998</v>
      </c>
      <c r="N1255" s="15">
        <v>45717</v>
      </c>
    </row>
    <row r="1256" spans="1:14" x14ac:dyDescent="0.25">
      <c r="A1256">
        <v>388310</v>
      </c>
      <c r="B1256" t="s">
        <v>35</v>
      </c>
      <c r="C1256">
        <v>47537</v>
      </c>
      <c r="D1256" t="s">
        <v>36</v>
      </c>
      <c r="E1256" t="s">
        <v>22</v>
      </c>
      <c r="F1256" s="27">
        <v>45721</v>
      </c>
      <c r="G1256">
        <v>2</v>
      </c>
      <c r="H1256">
        <v>2</v>
      </c>
      <c r="I1256" t="s">
        <v>743</v>
      </c>
      <c r="J1256" s="27">
        <v>45721</v>
      </c>
      <c r="L1256" s="29">
        <v>1806.2397375</v>
      </c>
      <c r="M1256" s="29">
        <v>3612.4794750000001</v>
      </c>
      <c r="N1256" s="15">
        <v>45717</v>
      </c>
    </row>
    <row r="1257" spans="1:14" x14ac:dyDescent="0.25">
      <c r="A1257">
        <v>388311</v>
      </c>
      <c r="B1257" t="s">
        <v>35</v>
      </c>
      <c r="C1257">
        <v>47568</v>
      </c>
      <c r="D1257" t="s">
        <v>36</v>
      </c>
      <c r="E1257" t="s">
        <v>22</v>
      </c>
      <c r="F1257" s="27">
        <v>45721</v>
      </c>
      <c r="G1257">
        <v>2</v>
      </c>
      <c r="H1257">
        <v>2</v>
      </c>
      <c r="I1257" t="s">
        <v>744</v>
      </c>
      <c r="J1257" s="27">
        <v>45721</v>
      </c>
      <c r="L1257" s="29">
        <v>1806.2397375</v>
      </c>
      <c r="M1257" s="29">
        <v>3612.4794750000001</v>
      </c>
      <c r="N1257" s="15">
        <v>45717</v>
      </c>
    </row>
    <row r="1258" spans="1:14" x14ac:dyDescent="0.25">
      <c r="A1258">
        <v>388312</v>
      </c>
      <c r="B1258" t="s">
        <v>35</v>
      </c>
      <c r="C1258">
        <v>50244</v>
      </c>
      <c r="D1258" t="s">
        <v>36</v>
      </c>
      <c r="E1258" t="s">
        <v>22</v>
      </c>
      <c r="F1258" s="27">
        <v>45721</v>
      </c>
      <c r="G1258">
        <v>1</v>
      </c>
      <c r="H1258">
        <v>1</v>
      </c>
      <c r="I1258" t="s">
        <v>745</v>
      </c>
      <c r="J1258" s="27">
        <v>45721</v>
      </c>
      <c r="L1258" s="29">
        <v>1806.2397375</v>
      </c>
      <c r="M1258" s="29">
        <v>1806.2397375</v>
      </c>
      <c r="N1258" s="15">
        <v>45717</v>
      </c>
    </row>
    <row r="1259" spans="1:14" x14ac:dyDescent="0.25">
      <c r="A1259">
        <v>388313</v>
      </c>
      <c r="B1259" t="s">
        <v>35</v>
      </c>
      <c r="C1259">
        <v>47570</v>
      </c>
      <c r="D1259" t="s">
        <v>36</v>
      </c>
      <c r="E1259" t="s">
        <v>22</v>
      </c>
      <c r="F1259" s="27">
        <v>45721</v>
      </c>
      <c r="G1259">
        <v>1</v>
      </c>
      <c r="H1259">
        <v>1</v>
      </c>
      <c r="I1259" t="s">
        <v>310</v>
      </c>
      <c r="J1259" s="27">
        <v>45721</v>
      </c>
      <c r="L1259" s="29">
        <v>1806.2397375</v>
      </c>
      <c r="M1259" s="29">
        <v>1806.2397375</v>
      </c>
      <c r="N1259" s="15">
        <v>45717</v>
      </c>
    </row>
    <row r="1260" spans="1:14" x14ac:dyDescent="0.25">
      <c r="A1260">
        <v>388314</v>
      </c>
      <c r="B1260" t="s">
        <v>35</v>
      </c>
      <c r="C1260">
        <v>47572</v>
      </c>
      <c r="D1260" t="s">
        <v>36</v>
      </c>
      <c r="E1260" t="s">
        <v>22</v>
      </c>
      <c r="F1260" s="27">
        <v>45721</v>
      </c>
      <c r="G1260">
        <v>2</v>
      </c>
      <c r="H1260">
        <v>2</v>
      </c>
      <c r="I1260" t="s">
        <v>746</v>
      </c>
      <c r="J1260" s="27">
        <v>45721</v>
      </c>
      <c r="L1260" s="29">
        <v>1806.2397375</v>
      </c>
      <c r="M1260" s="29">
        <v>3612.4794750000001</v>
      </c>
      <c r="N1260" s="15">
        <v>45717</v>
      </c>
    </row>
    <row r="1261" spans="1:14" x14ac:dyDescent="0.25">
      <c r="A1261">
        <v>388900</v>
      </c>
      <c r="B1261" t="s">
        <v>28</v>
      </c>
      <c r="C1261">
        <v>51251</v>
      </c>
      <c r="D1261" t="s">
        <v>33</v>
      </c>
      <c r="E1261" t="s">
        <v>22</v>
      </c>
      <c r="F1261" s="27">
        <v>45720</v>
      </c>
      <c r="G1261">
        <v>26</v>
      </c>
      <c r="H1261">
        <v>26</v>
      </c>
      <c r="I1261" t="s">
        <v>747</v>
      </c>
      <c r="J1261" s="27">
        <v>45723</v>
      </c>
      <c r="L1261" s="29">
        <v>1505.1997809523809</v>
      </c>
      <c r="M1261" s="29">
        <v>39135.194304761906</v>
      </c>
      <c r="N1261" s="15">
        <v>45717</v>
      </c>
    </row>
    <row r="1262" spans="1:14" x14ac:dyDescent="0.25">
      <c r="A1262">
        <v>394088</v>
      </c>
      <c r="B1262" t="s">
        <v>35</v>
      </c>
      <c r="C1262">
        <v>52114</v>
      </c>
      <c r="D1262" t="s">
        <v>37</v>
      </c>
      <c r="E1262" t="s">
        <v>22</v>
      </c>
      <c r="F1262" s="27">
        <v>45720</v>
      </c>
      <c r="G1262">
        <v>8</v>
      </c>
      <c r="H1262">
        <v>8</v>
      </c>
      <c r="I1262" t="s">
        <v>607</v>
      </c>
      <c r="J1262" s="27">
        <v>45737</v>
      </c>
      <c r="L1262" s="29">
        <v>451.55993452380955</v>
      </c>
      <c r="M1262" s="29">
        <v>3612.4794761904764</v>
      </c>
      <c r="N1262" s="15">
        <v>45717</v>
      </c>
    </row>
    <row r="1263" spans="1:14" x14ac:dyDescent="0.25">
      <c r="A1263">
        <v>393842</v>
      </c>
      <c r="B1263" t="s">
        <v>35</v>
      </c>
      <c r="C1263">
        <v>47614</v>
      </c>
      <c r="D1263" t="s">
        <v>42</v>
      </c>
      <c r="E1263" t="s">
        <v>22</v>
      </c>
      <c r="F1263" s="27">
        <v>45720</v>
      </c>
      <c r="G1263">
        <v>1</v>
      </c>
      <c r="H1263">
        <v>1</v>
      </c>
      <c r="I1263">
        <v>1517</v>
      </c>
      <c r="J1263" s="27">
        <v>45737</v>
      </c>
      <c r="L1263" s="29">
        <v>1418</v>
      </c>
      <c r="M1263" s="29">
        <v>1418</v>
      </c>
      <c r="N1263" s="15">
        <v>45717</v>
      </c>
    </row>
    <row r="1264" spans="1:14" x14ac:dyDescent="0.25">
      <c r="A1264">
        <v>393846</v>
      </c>
      <c r="B1264" t="s">
        <v>35</v>
      </c>
      <c r="C1264">
        <v>47614</v>
      </c>
      <c r="D1264" t="s">
        <v>42</v>
      </c>
      <c r="E1264" t="s">
        <v>22</v>
      </c>
      <c r="F1264" s="27">
        <v>45720</v>
      </c>
      <c r="G1264">
        <v>2</v>
      </c>
      <c r="H1264">
        <v>2</v>
      </c>
      <c r="I1264">
        <v>905</v>
      </c>
      <c r="J1264" s="27">
        <v>45737</v>
      </c>
      <c r="L1264" s="29">
        <v>1418</v>
      </c>
      <c r="M1264" s="29">
        <v>2836</v>
      </c>
      <c r="N1264" s="15">
        <v>45717</v>
      </c>
    </row>
    <row r="1265" spans="1:14" x14ac:dyDescent="0.25">
      <c r="A1265">
        <v>387708</v>
      </c>
      <c r="B1265" t="s">
        <v>35</v>
      </c>
      <c r="C1265">
        <v>47570</v>
      </c>
      <c r="D1265" t="s">
        <v>36</v>
      </c>
      <c r="E1265" t="s">
        <v>22</v>
      </c>
      <c r="F1265" s="27">
        <v>45720</v>
      </c>
      <c r="G1265">
        <v>1</v>
      </c>
      <c r="H1265">
        <v>1</v>
      </c>
      <c r="I1265" t="s">
        <v>748</v>
      </c>
      <c r="J1265" s="27">
        <v>45720</v>
      </c>
      <c r="L1265" s="29">
        <v>1806.2397375</v>
      </c>
      <c r="M1265" s="29">
        <v>1806.2397375</v>
      </c>
      <c r="N1265" s="15">
        <v>45717</v>
      </c>
    </row>
    <row r="1266" spans="1:14" x14ac:dyDescent="0.25">
      <c r="A1266">
        <v>387709</v>
      </c>
      <c r="B1266" t="s">
        <v>35</v>
      </c>
      <c r="C1266">
        <v>50244</v>
      </c>
      <c r="D1266" t="s">
        <v>36</v>
      </c>
      <c r="E1266" t="s">
        <v>22</v>
      </c>
      <c r="F1266" s="27">
        <v>45720</v>
      </c>
      <c r="G1266">
        <v>2</v>
      </c>
      <c r="H1266">
        <v>2</v>
      </c>
      <c r="I1266" t="s">
        <v>745</v>
      </c>
      <c r="J1266" s="27">
        <v>45720</v>
      </c>
      <c r="L1266" s="29">
        <v>1806.2397375</v>
      </c>
      <c r="M1266" s="29">
        <v>3612.4794750000001</v>
      </c>
      <c r="N1266" s="15">
        <v>45717</v>
      </c>
    </row>
    <row r="1267" spans="1:14" x14ac:dyDescent="0.25">
      <c r="A1267">
        <v>387710</v>
      </c>
      <c r="B1267" t="s">
        <v>35</v>
      </c>
      <c r="C1267">
        <v>47569</v>
      </c>
      <c r="D1267" t="s">
        <v>36</v>
      </c>
      <c r="E1267" t="s">
        <v>22</v>
      </c>
      <c r="F1267" s="27">
        <v>45720</v>
      </c>
      <c r="G1267">
        <v>0.5</v>
      </c>
      <c r="H1267">
        <v>0.5</v>
      </c>
      <c r="I1267">
        <v>1354</v>
      </c>
      <c r="J1267" s="27">
        <v>45720</v>
      </c>
      <c r="L1267" s="29">
        <v>1806.2397375</v>
      </c>
      <c r="M1267" s="29">
        <v>903.11986875000002</v>
      </c>
      <c r="N1267" s="15">
        <v>45717</v>
      </c>
    </row>
    <row r="1268" spans="1:14" x14ac:dyDescent="0.25">
      <c r="A1268">
        <v>387711</v>
      </c>
      <c r="B1268" t="s">
        <v>35</v>
      </c>
      <c r="C1268">
        <v>47572</v>
      </c>
      <c r="D1268" t="s">
        <v>36</v>
      </c>
      <c r="E1268" t="s">
        <v>22</v>
      </c>
      <c r="F1268" s="27">
        <v>45720</v>
      </c>
      <c r="G1268">
        <v>4.5</v>
      </c>
      <c r="H1268">
        <v>4.5</v>
      </c>
      <c r="I1268" t="s">
        <v>749</v>
      </c>
      <c r="J1268" s="27">
        <v>45720</v>
      </c>
      <c r="L1268" s="29">
        <v>1806.2397375</v>
      </c>
      <c r="M1268" s="29">
        <v>8128.0788187500002</v>
      </c>
      <c r="N1268" s="15">
        <v>45717</v>
      </c>
    </row>
    <row r="1269" spans="1:14" x14ac:dyDescent="0.25">
      <c r="A1269">
        <v>412320</v>
      </c>
      <c r="B1269" t="s">
        <v>35</v>
      </c>
      <c r="C1269">
        <v>47569</v>
      </c>
      <c r="D1269" t="s">
        <v>30</v>
      </c>
      <c r="E1269" t="s">
        <v>22</v>
      </c>
      <c r="F1269" s="27">
        <v>45720</v>
      </c>
      <c r="G1269">
        <v>8</v>
      </c>
      <c r="H1269">
        <v>8</v>
      </c>
      <c r="I1269" t="s">
        <v>494</v>
      </c>
      <c r="J1269" s="27">
        <v>45777</v>
      </c>
      <c r="L1269" s="29">
        <v>602.07991249999998</v>
      </c>
      <c r="M1269" s="29">
        <v>4816.6392999999998</v>
      </c>
      <c r="N1269" s="15">
        <v>45717</v>
      </c>
    </row>
    <row r="1270" spans="1:14" x14ac:dyDescent="0.25">
      <c r="A1270">
        <v>422317</v>
      </c>
      <c r="B1270" t="s">
        <v>45</v>
      </c>
      <c r="C1270">
        <v>54643</v>
      </c>
      <c r="D1270" t="s">
        <v>41</v>
      </c>
      <c r="E1270" t="s">
        <v>22</v>
      </c>
      <c r="F1270" s="27">
        <v>45720</v>
      </c>
      <c r="G1270">
        <v>8</v>
      </c>
      <c r="H1270">
        <v>8</v>
      </c>
      <c r="I1270" t="s">
        <v>735</v>
      </c>
      <c r="J1270" s="27">
        <v>45807</v>
      </c>
      <c r="L1270" s="29">
        <v>1505.1997809523809</v>
      </c>
      <c r="M1270" s="29">
        <v>12041.598247619047</v>
      </c>
      <c r="N1270" s="15">
        <v>45717</v>
      </c>
    </row>
    <row r="1271" spans="1:14" x14ac:dyDescent="0.25">
      <c r="A1271">
        <v>391096</v>
      </c>
      <c r="B1271" t="s">
        <v>28</v>
      </c>
      <c r="C1271">
        <v>51263</v>
      </c>
      <c r="D1271" t="s">
        <v>27</v>
      </c>
      <c r="E1271" t="s">
        <v>22</v>
      </c>
      <c r="F1271" s="27">
        <v>45720</v>
      </c>
      <c r="G1271">
        <v>8</v>
      </c>
      <c r="H1271">
        <v>8</v>
      </c>
      <c r="I1271" t="s">
        <v>750</v>
      </c>
      <c r="J1271" s="27">
        <v>45729</v>
      </c>
      <c r="L1271" s="29">
        <v>602.07991249999998</v>
      </c>
      <c r="M1271" s="29">
        <v>4816.6392999999998</v>
      </c>
      <c r="N1271" s="15">
        <v>45717</v>
      </c>
    </row>
    <row r="1272" spans="1:14" x14ac:dyDescent="0.25">
      <c r="A1272">
        <v>388899</v>
      </c>
      <c r="B1272" t="s">
        <v>35</v>
      </c>
      <c r="C1272">
        <v>47614</v>
      </c>
      <c r="D1272" t="s">
        <v>33</v>
      </c>
      <c r="E1272" t="s">
        <v>22</v>
      </c>
      <c r="F1272" s="27">
        <v>45719</v>
      </c>
      <c r="G1272">
        <v>38</v>
      </c>
      <c r="H1272">
        <v>38</v>
      </c>
      <c r="I1272" t="s">
        <v>751</v>
      </c>
      <c r="J1272" s="27">
        <v>45723</v>
      </c>
      <c r="L1272" s="29">
        <v>1505.1997809523809</v>
      </c>
      <c r="M1272" s="29">
        <v>57197.591676190474</v>
      </c>
      <c r="N1272" s="15">
        <v>45717</v>
      </c>
    </row>
    <row r="1273" spans="1:14" x14ac:dyDescent="0.25">
      <c r="A1273">
        <v>393823</v>
      </c>
      <c r="B1273" t="s">
        <v>35</v>
      </c>
      <c r="C1273">
        <v>47614</v>
      </c>
      <c r="D1273" t="s">
        <v>42</v>
      </c>
      <c r="E1273" t="s">
        <v>22</v>
      </c>
      <c r="F1273" s="27">
        <v>45719</v>
      </c>
      <c r="G1273">
        <v>0.5</v>
      </c>
      <c r="H1273">
        <v>0.5</v>
      </c>
      <c r="I1273">
        <v>544</v>
      </c>
      <c r="J1273" s="27">
        <v>45737</v>
      </c>
      <c r="L1273" s="29">
        <v>1418</v>
      </c>
      <c r="M1273" s="29">
        <v>709</v>
      </c>
      <c r="N1273" s="15">
        <v>45717</v>
      </c>
    </row>
    <row r="1274" spans="1:14" x14ac:dyDescent="0.25">
      <c r="A1274">
        <v>393830</v>
      </c>
      <c r="B1274" t="s">
        <v>35</v>
      </c>
      <c r="C1274">
        <v>47614</v>
      </c>
      <c r="D1274" t="s">
        <v>42</v>
      </c>
      <c r="E1274" t="s">
        <v>22</v>
      </c>
      <c r="F1274" s="27">
        <v>45719</v>
      </c>
      <c r="G1274">
        <v>0.5</v>
      </c>
      <c r="H1274">
        <v>0.5</v>
      </c>
      <c r="I1274">
        <v>1491</v>
      </c>
      <c r="J1274" s="27">
        <v>45737</v>
      </c>
      <c r="L1274" s="29">
        <v>1418</v>
      </c>
      <c r="M1274" s="29">
        <v>709</v>
      </c>
      <c r="N1274" s="15">
        <v>45717</v>
      </c>
    </row>
    <row r="1275" spans="1:14" x14ac:dyDescent="0.25">
      <c r="A1275">
        <v>394087</v>
      </c>
      <c r="B1275" t="s">
        <v>35</v>
      </c>
      <c r="C1275">
        <v>52114</v>
      </c>
      <c r="D1275" t="s">
        <v>37</v>
      </c>
      <c r="E1275" t="s">
        <v>22</v>
      </c>
      <c r="F1275" s="27">
        <v>45719</v>
      </c>
      <c r="G1275">
        <v>8</v>
      </c>
      <c r="H1275">
        <v>8</v>
      </c>
      <c r="I1275" t="s">
        <v>607</v>
      </c>
      <c r="J1275" s="27">
        <v>45737</v>
      </c>
      <c r="L1275" s="29">
        <v>451.55993452380955</v>
      </c>
      <c r="M1275" s="29">
        <v>3612.4794761904764</v>
      </c>
      <c r="N1275" s="15">
        <v>45717</v>
      </c>
    </row>
    <row r="1276" spans="1:14" x14ac:dyDescent="0.25">
      <c r="A1276">
        <v>393838</v>
      </c>
      <c r="B1276" t="s">
        <v>35</v>
      </c>
      <c r="C1276">
        <v>47614</v>
      </c>
      <c r="D1276" t="s">
        <v>42</v>
      </c>
      <c r="E1276" t="s">
        <v>22</v>
      </c>
      <c r="F1276" s="27">
        <v>45719</v>
      </c>
      <c r="G1276">
        <v>0.5</v>
      </c>
      <c r="H1276">
        <v>0.5</v>
      </c>
      <c r="I1276">
        <v>1491</v>
      </c>
      <c r="J1276" s="27">
        <v>45737</v>
      </c>
      <c r="L1276" s="29">
        <v>1418</v>
      </c>
      <c r="M1276" s="29">
        <v>709</v>
      </c>
      <c r="N1276" s="15">
        <v>45717</v>
      </c>
    </row>
    <row r="1277" spans="1:14" x14ac:dyDescent="0.25">
      <c r="A1277">
        <v>387705</v>
      </c>
      <c r="B1277" t="s">
        <v>35</v>
      </c>
      <c r="C1277">
        <v>47569</v>
      </c>
      <c r="D1277" t="s">
        <v>36</v>
      </c>
      <c r="E1277" t="s">
        <v>22</v>
      </c>
      <c r="F1277" s="27">
        <v>45719</v>
      </c>
      <c r="G1277">
        <v>5</v>
      </c>
      <c r="H1277">
        <v>5</v>
      </c>
      <c r="I1277" t="s">
        <v>752</v>
      </c>
      <c r="J1277" s="27">
        <v>45720</v>
      </c>
      <c r="L1277" s="29">
        <v>1806.2397375</v>
      </c>
      <c r="M1277" s="29">
        <v>9031.1986875000002</v>
      </c>
      <c r="N1277" s="15">
        <v>45717</v>
      </c>
    </row>
    <row r="1278" spans="1:14" x14ac:dyDescent="0.25">
      <c r="A1278">
        <v>387706</v>
      </c>
      <c r="B1278" t="s">
        <v>35</v>
      </c>
      <c r="C1278">
        <v>47570</v>
      </c>
      <c r="D1278" t="s">
        <v>36</v>
      </c>
      <c r="E1278" t="s">
        <v>22</v>
      </c>
      <c r="F1278" s="27">
        <v>45719</v>
      </c>
      <c r="G1278">
        <v>2.5</v>
      </c>
      <c r="H1278">
        <v>2.5</v>
      </c>
      <c r="I1278" t="s">
        <v>748</v>
      </c>
      <c r="J1278" s="27">
        <v>45720</v>
      </c>
      <c r="L1278" s="29">
        <v>1806.2397375</v>
      </c>
      <c r="M1278" s="29">
        <v>4515.5993437500001</v>
      </c>
      <c r="N1278" s="15">
        <v>45717</v>
      </c>
    </row>
    <row r="1279" spans="1:14" x14ac:dyDescent="0.25">
      <c r="A1279">
        <v>387707</v>
      </c>
      <c r="B1279" t="s">
        <v>35</v>
      </c>
      <c r="C1279">
        <v>47572</v>
      </c>
      <c r="D1279" t="s">
        <v>36</v>
      </c>
      <c r="E1279" t="s">
        <v>22</v>
      </c>
      <c r="F1279" s="27">
        <v>45719</v>
      </c>
      <c r="G1279">
        <v>0.5</v>
      </c>
      <c r="H1279">
        <v>0.5</v>
      </c>
      <c r="I1279" t="s">
        <v>699</v>
      </c>
      <c r="J1279" s="27">
        <v>45720</v>
      </c>
      <c r="L1279" s="29">
        <v>1806.2397375</v>
      </c>
      <c r="M1279" s="29">
        <v>903.11986875000002</v>
      </c>
      <c r="N1279" s="15">
        <v>45717</v>
      </c>
    </row>
    <row r="1280" spans="1:14" x14ac:dyDescent="0.25">
      <c r="A1280">
        <v>412314</v>
      </c>
      <c r="B1280" t="s">
        <v>35</v>
      </c>
      <c r="C1280">
        <v>47569</v>
      </c>
      <c r="D1280" t="s">
        <v>30</v>
      </c>
      <c r="E1280" t="s">
        <v>22</v>
      </c>
      <c r="F1280" s="27">
        <v>45719</v>
      </c>
      <c r="G1280">
        <v>8</v>
      </c>
      <c r="H1280">
        <v>8</v>
      </c>
      <c r="I1280" t="s">
        <v>494</v>
      </c>
      <c r="J1280" s="27">
        <v>45777</v>
      </c>
      <c r="L1280" s="29">
        <v>602.07991249999998</v>
      </c>
      <c r="M1280" s="29">
        <v>4816.6392999999998</v>
      </c>
      <c r="N1280" s="15">
        <v>45717</v>
      </c>
    </row>
    <row r="1281" spans="1:14" x14ac:dyDescent="0.25">
      <c r="A1281">
        <v>422316</v>
      </c>
      <c r="B1281" t="s">
        <v>45</v>
      </c>
      <c r="C1281">
        <v>54643</v>
      </c>
      <c r="D1281" t="s">
        <v>41</v>
      </c>
      <c r="E1281" t="s">
        <v>22</v>
      </c>
      <c r="F1281" s="27">
        <v>45719</v>
      </c>
      <c r="G1281">
        <v>8</v>
      </c>
      <c r="H1281">
        <v>8</v>
      </c>
      <c r="I1281" t="s">
        <v>735</v>
      </c>
      <c r="J1281" s="27">
        <v>45807</v>
      </c>
      <c r="L1281" s="29">
        <v>1505.1997809523809</v>
      </c>
      <c r="M1281" s="29">
        <v>12041.598247619047</v>
      </c>
      <c r="N1281" s="15">
        <v>45717</v>
      </c>
    </row>
    <row r="1282" spans="1:14" x14ac:dyDescent="0.25">
      <c r="A1282">
        <v>391095</v>
      </c>
      <c r="B1282" t="s">
        <v>28</v>
      </c>
      <c r="C1282">
        <v>51263</v>
      </c>
      <c r="D1282" t="s">
        <v>27</v>
      </c>
      <c r="E1282" t="s">
        <v>22</v>
      </c>
      <c r="F1282" s="27">
        <v>45719</v>
      </c>
      <c r="G1282">
        <v>6</v>
      </c>
      <c r="H1282">
        <v>6</v>
      </c>
      <c r="I1282" t="s">
        <v>753</v>
      </c>
      <c r="J1282" s="27">
        <v>45729</v>
      </c>
      <c r="L1282" s="29">
        <v>602.07991249999998</v>
      </c>
      <c r="M1282" s="29">
        <v>3612.4794750000001</v>
      </c>
      <c r="N1282" s="15">
        <v>45717</v>
      </c>
    </row>
    <row r="1283" spans="1:14" x14ac:dyDescent="0.25">
      <c r="A1283">
        <v>393815</v>
      </c>
      <c r="B1283" t="s">
        <v>35</v>
      </c>
      <c r="C1283">
        <v>47614</v>
      </c>
      <c r="D1283" t="s">
        <v>42</v>
      </c>
      <c r="E1283" t="s">
        <v>22</v>
      </c>
      <c r="F1283" s="27">
        <v>45718</v>
      </c>
      <c r="G1283">
        <v>2</v>
      </c>
      <c r="H1283">
        <v>2</v>
      </c>
      <c r="I1283">
        <v>1497</v>
      </c>
      <c r="J1283" s="27">
        <v>45737</v>
      </c>
      <c r="L1283" s="29">
        <v>1418</v>
      </c>
      <c r="M1283" s="29">
        <v>2836</v>
      </c>
      <c r="N1283" s="15">
        <v>45717</v>
      </c>
    </row>
    <row r="1284" spans="1:14" x14ac:dyDescent="0.25">
      <c r="A1284">
        <v>393817</v>
      </c>
      <c r="B1284" t="s">
        <v>35</v>
      </c>
      <c r="C1284">
        <v>47614</v>
      </c>
      <c r="D1284" t="s">
        <v>42</v>
      </c>
      <c r="E1284" t="s">
        <v>22</v>
      </c>
      <c r="F1284" s="27">
        <v>45718</v>
      </c>
      <c r="G1284">
        <v>2</v>
      </c>
      <c r="H1284">
        <v>2</v>
      </c>
      <c r="I1284">
        <v>1497</v>
      </c>
      <c r="J1284" s="27">
        <v>45737</v>
      </c>
      <c r="L1284" s="29">
        <v>1418</v>
      </c>
      <c r="M1284" s="29">
        <v>2836</v>
      </c>
      <c r="N1284" s="15">
        <v>45717</v>
      </c>
    </row>
    <row r="1285" spans="1:14" x14ac:dyDescent="0.25">
      <c r="A1285">
        <v>393808</v>
      </c>
      <c r="B1285" t="s">
        <v>35</v>
      </c>
      <c r="C1285">
        <v>47614</v>
      </c>
      <c r="D1285" t="s">
        <v>42</v>
      </c>
      <c r="E1285" t="s">
        <v>22</v>
      </c>
      <c r="F1285" s="27">
        <v>45717</v>
      </c>
      <c r="G1285">
        <v>5</v>
      </c>
      <c r="H1285">
        <v>5</v>
      </c>
      <c r="I1285" t="s">
        <v>754</v>
      </c>
      <c r="J1285" s="27">
        <v>45737</v>
      </c>
      <c r="L1285" s="29">
        <v>1418</v>
      </c>
      <c r="M1285" s="29">
        <v>7090</v>
      </c>
      <c r="N1285" s="15">
        <v>45717</v>
      </c>
    </row>
    <row r="1286" spans="1:14" x14ac:dyDescent="0.25">
      <c r="A1286">
        <v>393812</v>
      </c>
      <c r="B1286" t="s">
        <v>35</v>
      </c>
      <c r="C1286">
        <v>47614</v>
      </c>
      <c r="D1286" t="s">
        <v>42</v>
      </c>
      <c r="E1286" t="s">
        <v>22</v>
      </c>
      <c r="F1286" s="27">
        <v>45717</v>
      </c>
      <c r="G1286">
        <v>1</v>
      </c>
      <c r="H1286">
        <v>1</v>
      </c>
      <c r="I1286" t="s">
        <v>755</v>
      </c>
      <c r="J1286" s="27">
        <v>45737</v>
      </c>
      <c r="L1286" s="29">
        <v>1418</v>
      </c>
      <c r="M1286" s="29">
        <v>1418</v>
      </c>
      <c r="N1286" s="15">
        <v>45717</v>
      </c>
    </row>
    <row r="1287" spans="1:14" x14ac:dyDescent="0.25">
      <c r="A1287">
        <v>393814</v>
      </c>
      <c r="B1287" t="s">
        <v>35</v>
      </c>
      <c r="C1287">
        <v>47614</v>
      </c>
      <c r="D1287" t="s">
        <v>42</v>
      </c>
      <c r="E1287" t="s">
        <v>22</v>
      </c>
      <c r="F1287" s="27">
        <v>45717</v>
      </c>
      <c r="G1287">
        <v>1</v>
      </c>
      <c r="H1287">
        <v>1</v>
      </c>
      <c r="I1287" t="s">
        <v>756</v>
      </c>
      <c r="J1287" s="27">
        <v>45737</v>
      </c>
      <c r="L1287" s="29">
        <v>1418</v>
      </c>
      <c r="M1287" s="29">
        <v>1418</v>
      </c>
      <c r="N1287" s="15">
        <v>45717</v>
      </c>
    </row>
    <row r="1288" spans="1:14" x14ac:dyDescent="0.25">
      <c r="A1288">
        <v>431906</v>
      </c>
      <c r="B1288" t="s">
        <v>254</v>
      </c>
      <c r="C1288">
        <v>52107</v>
      </c>
      <c r="D1288" t="s">
        <v>32</v>
      </c>
      <c r="E1288" t="s">
        <v>22</v>
      </c>
      <c r="F1288" s="27">
        <v>45716</v>
      </c>
      <c r="G1288">
        <v>1</v>
      </c>
      <c r="H1288">
        <v>1</v>
      </c>
      <c r="I1288" t="s">
        <v>467</v>
      </c>
      <c r="J1288" s="27">
        <v>45835</v>
      </c>
      <c r="L1288" s="29">
        <v>1975.5747125000003</v>
      </c>
      <c r="M1288" s="29">
        <v>1975.5747125000003</v>
      </c>
      <c r="N1288" s="15">
        <v>45689</v>
      </c>
    </row>
    <row r="1289" spans="1:14" x14ac:dyDescent="0.25">
      <c r="A1289">
        <v>412994</v>
      </c>
      <c r="B1289" t="s">
        <v>34</v>
      </c>
      <c r="C1289">
        <v>21152</v>
      </c>
      <c r="D1289" t="s">
        <v>32</v>
      </c>
      <c r="E1289" t="s">
        <v>19</v>
      </c>
      <c r="F1289" s="27">
        <v>45716</v>
      </c>
      <c r="G1289">
        <v>30</v>
      </c>
      <c r="H1289">
        <v>30</v>
      </c>
      <c r="I1289" t="s">
        <v>487</v>
      </c>
      <c r="J1289" s="27">
        <v>45777</v>
      </c>
      <c r="L1289" s="29">
        <v>1975.5747125000003</v>
      </c>
      <c r="M1289" s="29">
        <v>59267.241375000005</v>
      </c>
      <c r="N1289" s="15">
        <v>45689</v>
      </c>
    </row>
    <row r="1290" spans="1:14" x14ac:dyDescent="0.25">
      <c r="A1290">
        <v>390210</v>
      </c>
      <c r="B1290" t="s">
        <v>35</v>
      </c>
      <c r="C1290">
        <v>47615</v>
      </c>
      <c r="D1290" t="s">
        <v>25</v>
      </c>
      <c r="E1290" t="s">
        <v>22</v>
      </c>
      <c r="F1290" s="27">
        <v>45716</v>
      </c>
      <c r="G1290">
        <v>8</v>
      </c>
      <c r="H1290">
        <v>8</v>
      </c>
      <c r="I1290" t="s">
        <v>728</v>
      </c>
      <c r="J1290" s="27">
        <v>45727</v>
      </c>
      <c r="L1290" s="29">
        <v>1185.3448275000001</v>
      </c>
      <c r="M1290" s="29">
        <v>9482.7586200000005</v>
      </c>
      <c r="N1290" s="15">
        <v>45689</v>
      </c>
    </row>
    <row r="1291" spans="1:14" x14ac:dyDescent="0.25">
      <c r="A1291">
        <v>432254</v>
      </c>
      <c r="B1291" t="s">
        <v>34</v>
      </c>
      <c r="C1291">
        <v>21152</v>
      </c>
      <c r="D1291" t="s">
        <v>36</v>
      </c>
      <c r="E1291" t="s">
        <v>19</v>
      </c>
      <c r="F1291" s="27">
        <v>45716</v>
      </c>
      <c r="G1291">
        <v>48</v>
      </c>
      <c r="H1291">
        <v>48</v>
      </c>
      <c r="I1291" t="s">
        <v>294</v>
      </c>
      <c r="J1291" s="27">
        <v>45836</v>
      </c>
      <c r="L1291" s="29">
        <v>1896.551724375</v>
      </c>
      <c r="M1291" s="29">
        <v>91034.482770000002</v>
      </c>
      <c r="N1291" s="15">
        <v>45689</v>
      </c>
    </row>
    <row r="1292" spans="1:14" x14ac:dyDescent="0.25">
      <c r="A1292">
        <v>412288</v>
      </c>
      <c r="B1292" t="s">
        <v>35</v>
      </c>
      <c r="C1292">
        <v>47569</v>
      </c>
      <c r="D1292" t="s">
        <v>30</v>
      </c>
      <c r="E1292" t="s">
        <v>22</v>
      </c>
      <c r="F1292" s="27">
        <v>45716</v>
      </c>
      <c r="G1292">
        <v>8</v>
      </c>
      <c r="H1292">
        <v>8</v>
      </c>
      <c r="I1292" t="s">
        <v>494</v>
      </c>
      <c r="J1292" s="27">
        <v>45777</v>
      </c>
      <c r="L1292" s="29">
        <v>632.18390812500002</v>
      </c>
      <c r="M1292" s="29">
        <v>5057.4712650000001</v>
      </c>
      <c r="N1292" s="15">
        <v>45689</v>
      </c>
    </row>
    <row r="1293" spans="1:14" x14ac:dyDescent="0.25">
      <c r="A1293">
        <v>432012</v>
      </c>
      <c r="B1293" t="s">
        <v>35</v>
      </c>
      <c r="C1293">
        <v>47614</v>
      </c>
      <c r="D1293" t="s">
        <v>43</v>
      </c>
      <c r="E1293" t="s">
        <v>22</v>
      </c>
      <c r="F1293" s="27">
        <v>45716</v>
      </c>
      <c r="G1293">
        <v>112</v>
      </c>
      <c r="H1293">
        <v>112</v>
      </c>
      <c r="I1293" t="s">
        <v>542</v>
      </c>
      <c r="J1293" s="27">
        <v>45835</v>
      </c>
      <c r="L1293" s="29">
        <v>395.11494249999998</v>
      </c>
      <c r="M1293" s="29">
        <v>44252.87356</v>
      </c>
      <c r="N1293" s="15">
        <v>45689</v>
      </c>
    </row>
    <row r="1294" spans="1:14" x14ac:dyDescent="0.25">
      <c r="A1294">
        <v>432013</v>
      </c>
      <c r="B1294" t="s">
        <v>18</v>
      </c>
      <c r="C1294">
        <v>34</v>
      </c>
      <c r="D1294" t="s">
        <v>43</v>
      </c>
      <c r="E1294" t="s">
        <v>19</v>
      </c>
      <c r="F1294" s="27">
        <v>45716</v>
      </c>
      <c r="G1294">
        <v>48</v>
      </c>
      <c r="H1294">
        <v>48</v>
      </c>
      <c r="I1294" t="s">
        <v>642</v>
      </c>
      <c r="J1294" s="27">
        <v>45835</v>
      </c>
      <c r="L1294" s="29">
        <v>395.11494249999998</v>
      </c>
      <c r="M1294" s="29">
        <v>18965.517240000001</v>
      </c>
      <c r="N1294" s="15">
        <v>45689</v>
      </c>
    </row>
    <row r="1295" spans="1:14" x14ac:dyDescent="0.25">
      <c r="A1295">
        <v>432269</v>
      </c>
      <c r="B1295" t="s">
        <v>18</v>
      </c>
      <c r="C1295">
        <v>29</v>
      </c>
      <c r="D1295" t="s">
        <v>37</v>
      </c>
      <c r="E1295" t="s">
        <v>19</v>
      </c>
      <c r="F1295" s="27">
        <v>45716</v>
      </c>
      <c r="G1295">
        <v>72</v>
      </c>
      <c r="H1295">
        <v>72</v>
      </c>
      <c r="I1295" t="s">
        <v>255</v>
      </c>
      <c r="J1295" s="27">
        <v>45836</v>
      </c>
      <c r="L1295" s="29">
        <v>316.09195375000002</v>
      </c>
      <c r="M1295" s="29">
        <v>22758.62067</v>
      </c>
      <c r="N1295" s="15">
        <v>45689</v>
      </c>
    </row>
    <row r="1296" spans="1:14" x14ac:dyDescent="0.25">
      <c r="A1296">
        <v>432275</v>
      </c>
      <c r="B1296" t="s">
        <v>35</v>
      </c>
      <c r="C1296">
        <v>47614</v>
      </c>
      <c r="D1296" t="s">
        <v>252</v>
      </c>
      <c r="E1296" t="s">
        <v>22</v>
      </c>
      <c r="F1296" s="27">
        <v>45716</v>
      </c>
      <c r="G1296">
        <v>157</v>
      </c>
      <c r="H1296">
        <v>157</v>
      </c>
      <c r="I1296" t="s">
        <v>294</v>
      </c>
      <c r="J1296" s="27">
        <v>45836</v>
      </c>
      <c r="L1296" s="29">
        <v>1380</v>
      </c>
      <c r="M1296" s="29">
        <v>216660</v>
      </c>
      <c r="N1296" s="15">
        <v>45689</v>
      </c>
    </row>
    <row r="1297" spans="1:14" x14ac:dyDescent="0.25">
      <c r="A1297">
        <v>393883</v>
      </c>
      <c r="B1297" t="s">
        <v>35</v>
      </c>
      <c r="C1297">
        <v>47572</v>
      </c>
      <c r="D1297" t="s">
        <v>21</v>
      </c>
      <c r="E1297" t="s">
        <v>22</v>
      </c>
      <c r="F1297" s="27">
        <v>45716</v>
      </c>
      <c r="G1297">
        <v>1.5</v>
      </c>
      <c r="H1297">
        <v>1.5</v>
      </c>
      <c r="I1297" t="s">
        <v>757</v>
      </c>
      <c r="J1297" s="27">
        <v>45737</v>
      </c>
      <c r="L1297" s="29">
        <v>1778.0172412500001</v>
      </c>
      <c r="M1297" s="29">
        <v>2667.0258618750004</v>
      </c>
      <c r="N1297" s="15">
        <v>45689</v>
      </c>
    </row>
    <row r="1298" spans="1:14" x14ac:dyDescent="0.25">
      <c r="A1298">
        <v>432283</v>
      </c>
      <c r="B1298" t="s">
        <v>28</v>
      </c>
      <c r="C1298">
        <v>51263</v>
      </c>
      <c r="D1298" t="s">
        <v>44</v>
      </c>
      <c r="E1298" t="s">
        <v>22</v>
      </c>
      <c r="F1298" s="27">
        <v>45716</v>
      </c>
      <c r="G1298">
        <v>27</v>
      </c>
      <c r="H1298">
        <v>27</v>
      </c>
      <c r="I1298" t="s">
        <v>294</v>
      </c>
      <c r="J1298" s="27">
        <v>45836</v>
      </c>
      <c r="L1298" s="29">
        <v>2212.643678125</v>
      </c>
      <c r="M1298" s="29">
        <v>59741.379309374999</v>
      </c>
      <c r="N1298" s="15">
        <v>45689</v>
      </c>
    </row>
    <row r="1299" spans="1:14" x14ac:dyDescent="0.25">
      <c r="A1299">
        <v>393886</v>
      </c>
      <c r="B1299" t="s">
        <v>20</v>
      </c>
      <c r="C1299">
        <v>51353</v>
      </c>
      <c r="D1299" t="s">
        <v>21</v>
      </c>
      <c r="E1299" t="s">
        <v>22</v>
      </c>
      <c r="F1299" s="27">
        <v>45716</v>
      </c>
      <c r="G1299">
        <v>6.5</v>
      </c>
      <c r="H1299">
        <v>6.5</v>
      </c>
      <c r="I1299" t="s">
        <v>758</v>
      </c>
      <c r="J1299" s="27">
        <v>45737</v>
      </c>
      <c r="L1299" s="29">
        <v>1778.0172412500001</v>
      </c>
      <c r="M1299" s="29">
        <v>11557.112068125001</v>
      </c>
      <c r="N1299" s="15">
        <v>45689</v>
      </c>
    </row>
    <row r="1300" spans="1:14" x14ac:dyDescent="0.25">
      <c r="A1300">
        <v>415661</v>
      </c>
      <c r="B1300" t="s">
        <v>35</v>
      </c>
      <c r="C1300">
        <v>47614</v>
      </c>
      <c r="D1300" t="s">
        <v>42</v>
      </c>
      <c r="E1300" t="s">
        <v>22</v>
      </c>
      <c r="F1300" s="27">
        <v>45716</v>
      </c>
      <c r="G1300">
        <v>0.45</v>
      </c>
      <c r="H1300">
        <v>0.45</v>
      </c>
      <c r="I1300" t="s">
        <v>759</v>
      </c>
      <c r="J1300" s="27">
        <v>45789</v>
      </c>
      <c r="L1300" s="29">
        <v>1418</v>
      </c>
      <c r="M1300" s="29">
        <v>638.1</v>
      </c>
      <c r="N1300" s="15">
        <v>45689</v>
      </c>
    </row>
    <row r="1301" spans="1:14" x14ac:dyDescent="0.25">
      <c r="A1301">
        <v>415662</v>
      </c>
      <c r="B1301" t="s">
        <v>35</v>
      </c>
      <c r="C1301">
        <v>47614</v>
      </c>
      <c r="D1301" t="s">
        <v>42</v>
      </c>
      <c r="E1301" t="s">
        <v>22</v>
      </c>
      <c r="F1301" s="27">
        <v>45716</v>
      </c>
      <c r="G1301">
        <v>1</v>
      </c>
      <c r="H1301">
        <v>1</v>
      </c>
      <c r="I1301">
        <v>974</v>
      </c>
      <c r="J1301" s="27">
        <v>45789</v>
      </c>
      <c r="L1301" s="29">
        <v>1418</v>
      </c>
      <c r="M1301" s="29">
        <v>1418</v>
      </c>
      <c r="N1301" s="15">
        <v>45689</v>
      </c>
    </row>
    <row r="1302" spans="1:14" x14ac:dyDescent="0.25">
      <c r="A1302">
        <v>415663</v>
      </c>
      <c r="B1302" t="s">
        <v>35</v>
      </c>
      <c r="C1302">
        <v>47614</v>
      </c>
      <c r="D1302" t="s">
        <v>42</v>
      </c>
      <c r="E1302" t="s">
        <v>22</v>
      </c>
      <c r="F1302" s="27">
        <v>45716</v>
      </c>
      <c r="G1302">
        <v>1</v>
      </c>
      <c r="H1302">
        <v>1</v>
      </c>
      <c r="I1302">
        <v>1497</v>
      </c>
      <c r="J1302" s="27">
        <v>45789</v>
      </c>
      <c r="L1302" s="29">
        <v>1418</v>
      </c>
      <c r="M1302" s="29">
        <v>1418</v>
      </c>
      <c r="N1302" s="15">
        <v>45689</v>
      </c>
    </row>
    <row r="1303" spans="1:14" x14ac:dyDescent="0.25">
      <c r="A1303">
        <v>415664</v>
      </c>
      <c r="B1303" t="s">
        <v>35</v>
      </c>
      <c r="C1303">
        <v>47614</v>
      </c>
      <c r="D1303" t="s">
        <v>42</v>
      </c>
      <c r="E1303" t="s">
        <v>22</v>
      </c>
      <c r="F1303" s="27">
        <v>45716</v>
      </c>
      <c r="G1303">
        <v>1</v>
      </c>
      <c r="H1303">
        <v>1</v>
      </c>
      <c r="I1303">
        <v>1494</v>
      </c>
      <c r="J1303" s="27">
        <v>45789</v>
      </c>
      <c r="L1303" s="29">
        <v>1418</v>
      </c>
      <c r="M1303" s="29">
        <v>1418</v>
      </c>
      <c r="N1303" s="15">
        <v>45689</v>
      </c>
    </row>
    <row r="1304" spans="1:14" x14ac:dyDescent="0.25">
      <c r="A1304">
        <v>415665</v>
      </c>
      <c r="B1304" t="s">
        <v>35</v>
      </c>
      <c r="C1304">
        <v>47572</v>
      </c>
      <c r="D1304" t="s">
        <v>42</v>
      </c>
      <c r="E1304" t="s">
        <v>22</v>
      </c>
      <c r="F1304" s="27">
        <v>45716</v>
      </c>
      <c r="G1304">
        <v>0.5</v>
      </c>
      <c r="H1304">
        <v>0.5</v>
      </c>
      <c r="I1304" t="s">
        <v>621</v>
      </c>
      <c r="J1304" s="27">
        <v>45789</v>
      </c>
      <c r="L1304" s="29">
        <v>1418</v>
      </c>
      <c r="M1304" s="29">
        <v>709</v>
      </c>
      <c r="N1304" s="15">
        <v>45689</v>
      </c>
    </row>
    <row r="1305" spans="1:14" x14ac:dyDescent="0.25">
      <c r="A1305">
        <v>415666</v>
      </c>
      <c r="B1305" t="s">
        <v>35</v>
      </c>
      <c r="C1305">
        <v>47572</v>
      </c>
      <c r="D1305" t="s">
        <v>42</v>
      </c>
      <c r="E1305" t="s">
        <v>22</v>
      </c>
      <c r="F1305" s="27">
        <v>45716</v>
      </c>
      <c r="G1305">
        <v>0.45</v>
      </c>
      <c r="H1305">
        <v>0.45</v>
      </c>
      <c r="I1305" t="s">
        <v>760</v>
      </c>
      <c r="J1305" s="27">
        <v>45789</v>
      </c>
      <c r="L1305" s="29">
        <v>1418</v>
      </c>
      <c r="M1305" s="29">
        <v>638.1</v>
      </c>
      <c r="N1305" s="15">
        <v>45689</v>
      </c>
    </row>
    <row r="1306" spans="1:14" x14ac:dyDescent="0.25">
      <c r="A1306">
        <v>415667</v>
      </c>
      <c r="B1306" t="s">
        <v>35</v>
      </c>
      <c r="C1306">
        <v>47614</v>
      </c>
      <c r="D1306" t="s">
        <v>42</v>
      </c>
      <c r="E1306" t="s">
        <v>22</v>
      </c>
      <c r="F1306" s="27">
        <v>45716</v>
      </c>
      <c r="G1306">
        <v>1</v>
      </c>
      <c r="H1306">
        <v>1</v>
      </c>
      <c r="I1306">
        <v>1494</v>
      </c>
      <c r="J1306" s="27">
        <v>45789</v>
      </c>
      <c r="L1306" s="29">
        <v>1418</v>
      </c>
      <c r="M1306" s="29">
        <v>1418</v>
      </c>
      <c r="N1306" s="15">
        <v>45689</v>
      </c>
    </row>
    <row r="1307" spans="1:14" x14ac:dyDescent="0.25">
      <c r="A1307">
        <v>391094</v>
      </c>
      <c r="B1307" t="s">
        <v>28</v>
      </c>
      <c r="C1307">
        <v>51263</v>
      </c>
      <c r="D1307" t="s">
        <v>27</v>
      </c>
      <c r="E1307" t="s">
        <v>22</v>
      </c>
      <c r="F1307" s="27">
        <v>45716</v>
      </c>
      <c r="G1307">
        <v>6</v>
      </c>
      <c r="H1307">
        <v>6</v>
      </c>
      <c r="I1307" t="s">
        <v>761</v>
      </c>
      <c r="J1307" s="27">
        <v>45729</v>
      </c>
      <c r="L1307" s="29">
        <v>632.18390812500002</v>
      </c>
      <c r="M1307" s="29">
        <v>3793.1034487500001</v>
      </c>
      <c r="N1307" s="15">
        <v>45689</v>
      </c>
    </row>
    <row r="1308" spans="1:14" x14ac:dyDescent="0.25">
      <c r="A1308">
        <v>389318</v>
      </c>
      <c r="B1308" t="s">
        <v>28</v>
      </c>
      <c r="C1308">
        <v>51262</v>
      </c>
      <c r="D1308" t="s">
        <v>44</v>
      </c>
      <c r="E1308" t="s">
        <v>22</v>
      </c>
      <c r="F1308" s="27">
        <v>45716</v>
      </c>
      <c r="G1308">
        <v>40</v>
      </c>
      <c r="H1308">
        <v>40</v>
      </c>
      <c r="I1308" t="s">
        <v>737</v>
      </c>
      <c r="J1308" s="27">
        <v>45725</v>
      </c>
      <c r="L1308" s="29">
        <v>2212.643678125</v>
      </c>
      <c r="M1308" s="29">
        <v>88505.747124999994</v>
      </c>
      <c r="N1308" s="15">
        <v>45689</v>
      </c>
    </row>
    <row r="1309" spans="1:14" x14ac:dyDescent="0.25">
      <c r="A1309">
        <v>431898</v>
      </c>
      <c r="B1309" t="s">
        <v>28</v>
      </c>
      <c r="C1309">
        <v>52108</v>
      </c>
      <c r="D1309" t="s">
        <v>32</v>
      </c>
      <c r="E1309" t="s">
        <v>22</v>
      </c>
      <c r="F1309" s="27">
        <v>45715</v>
      </c>
      <c r="G1309">
        <v>3</v>
      </c>
      <c r="H1309">
        <v>3</v>
      </c>
      <c r="I1309" t="s">
        <v>762</v>
      </c>
      <c r="J1309" s="27">
        <v>45835</v>
      </c>
      <c r="L1309" s="29">
        <v>1975.5747125000003</v>
      </c>
      <c r="M1309" s="29">
        <v>5926.7241375000012</v>
      </c>
      <c r="N1309" s="15">
        <v>45689</v>
      </c>
    </row>
    <row r="1310" spans="1:14" x14ac:dyDescent="0.25">
      <c r="A1310">
        <v>390209</v>
      </c>
      <c r="B1310" t="s">
        <v>35</v>
      </c>
      <c r="C1310">
        <v>47615</v>
      </c>
      <c r="D1310" t="s">
        <v>25</v>
      </c>
      <c r="E1310" t="s">
        <v>22</v>
      </c>
      <c r="F1310" s="27">
        <v>45715</v>
      </c>
      <c r="G1310">
        <v>8</v>
      </c>
      <c r="H1310">
        <v>8</v>
      </c>
      <c r="I1310" t="s">
        <v>728</v>
      </c>
      <c r="J1310" s="27">
        <v>45727</v>
      </c>
      <c r="L1310" s="29">
        <v>1185.3448275000001</v>
      </c>
      <c r="M1310" s="29">
        <v>9482.7586200000005</v>
      </c>
      <c r="N1310" s="15">
        <v>45689</v>
      </c>
    </row>
    <row r="1311" spans="1:14" x14ac:dyDescent="0.25">
      <c r="A1311">
        <v>412286</v>
      </c>
      <c r="B1311" t="s">
        <v>35</v>
      </c>
      <c r="C1311">
        <v>47569</v>
      </c>
      <c r="D1311" t="s">
        <v>30</v>
      </c>
      <c r="E1311" t="s">
        <v>22</v>
      </c>
      <c r="F1311" s="27">
        <v>45715</v>
      </c>
      <c r="G1311">
        <v>8</v>
      </c>
      <c r="H1311">
        <v>8</v>
      </c>
      <c r="I1311" t="s">
        <v>494</v>
      </c>
      <c r="J1311" s="27">
        <v>45777</v>
      </c>
      <c r="L1311" s="29">
        <v>632.18390812500002</v>
      </c>
      <c r="M1311" s="29">
        <v>5057.4712650000001</v>
      </c>
      <c r="N1311" s="15">
        <v>45689</v>
      </c>
    </row>
    <row r="1312" spans="1:14" x14ac:dyDescent="0.25">
      <c r="A1312">
        <v>393873</v>
      </c>
      <c r="B1312" t="s">
        <v>35</v>
      </c>
      <c r="C1312">
        <v>47569</v>
      </c>
      <c r="D1312" t="s">
        <v>21</v>
      </c>
      <c r="E1312" t="s">
        <v>22</v>
      </c>
      <c r="F1312" s="27">
        <v>45715</v>
      </c>
      <c r="G1312">
        <v>3</v>
      </c>
      <c r="H1312">
        <v>3</v>
      </c>
      <c r="I1312" t="s">
        <v>763</v>
      </c>
      <c r="J1312" s="27">
        <v>45737</v>
      </c>
      <c r="L1312" s="29">
        <v>1778.0172412500001</v>
      </c>
      <c r="M1312" s="29">
        <v>5334.0517237500007</v>
      </c>
      <c r="N1312" s="15">
        <v>45689</v>
      </c>
    </row>
    <row r="1313" spans="1:14" x14ac:dyDescent="0.25">
      <c r="A1313">
        <v>393875</v>
      </c>
      <c r="B1313" t="s">
        <v>35</v>
      </c>
      <c r="C1313">
        <v>47572</v>
      </c>
      <c r="D1313" t="s">
        <v>21</v>
      </c>
      <c r="E1313" t="s">
        <v>22</v>
      </c>
      <c r="F1313" s="27">
        <v>45715</v>
      </c>
      <c r="G1313">
        <v>0.5</v>
      </c>
      <c r="H1313">
        <v>0.5</v>
      </c>
      <c r="I1313" t="s">
        <v>699</v>
      </c>
      <c r="J1313" s="27">
        <v>45737</v>
      </c>
      <c r="L1313" s="29">
        <v>1778.0172412500001</v>
      </c>
      <c r="M1313" s="29">
        <v>889.00862062500005</v>
      </c>
      <c r="N1313" s="15">
        <v>45689</v>
      </c>
    </row>
    <row r="1314" spans="1:14" x14ac:dyDescent="0.25">
      <c r="A1314">
        <v>393877</v>
      </c>
      <c r="B1314" t="s">
        <v>35</v>
      </c>
      <c r="C1314">
        <v>47572</v>
      </c>
      <c r="D1314" t="s">
        <v>21</v>
      </c>
      <c r="E1314" t="s">
        <v>22</v>
      </c>
      <c r="F1314" s="27">
        <v>45715</v>
      </c>
      <c r="G1314">
        <v>1.5</v>
      </c>
      <c r="H1314">
        <v>1.5</v>
      </c>
      <c r="I1314" t="s">
        <v>764</v>
      </c>
      <c r="J1314" s="27">
        <v>45737</v>
      </c>
      <c r="L1314" s="29">
        <v>1778.0172412500001</v>
      </c>
      <c r="M1314" s="29">
        <v>2667.0258618750004</v>
      </c>
      <c r="N1314" s="15">
        <v>45689</v>
      </c>
    </row>
    <row r="1315" spans="1:14" x14ac:dyDescent="0.25">
      <c r="A1315">
        <v>393880</v>
      </c>
      <c r="B1315" t="s">
        <v>35</v>
      </c>
      <c r="C1315">
        <v>47568</v>
      </c>
      <c r="D1315" t="s">
        <v>21</v>
      </c>
      <c r="E1315" t="s">
        <v>22</v>
      </c>
      <c r="F1315" s="27">
        <v>45715</v>
      </c>
      <c r="G1315">
        <v>3</v>
      </c>
      <c r="H1315">
        <v>3</v>
      </c>
      <c r="I1315" t="s">
        <v>765</v>
      </c>
      <c r="J1315" s="27">
        <v>45737</v>
      </c>
      <c r="L1315" s="29">
        <v>1778.0172412500001</v>
      </c>
      <c r="M1315" s="29">
        <v>5334.0517237500007</v>
      </c>
      <c r="N1315" s="15">
        <v>45689</v>
      </c>
    </row>
    <row r="1316" spans="1:14" x14ac:dyDescent="0.25">
      <c r="A1316">
        <v>415660</v>
      </c>
      <c r="B1316" t="s">
        <v>35</v>
      </c>
      <c r="C1316">
        <v>47572</v>
      </c>
      <c r="D1316" t="s">
        <v>42</v>
      </c>
      <c r="E1316" t="s">
        <v>22</v>
      </c>
      <c r="F1316" s="27">
        <v>45715</v>
      </c>
      <c r="G1316">
        <v>0.5</v>
      </c>
      <c r="H1316">
        <v>0.5</v>
      </c>
      <c r="I1316" t="s">
        <v>621</v>
      </c>
      <c r="J1316" s="27">
        <v>45789</v>
      </c>
      <c r="L1316" s="29">
        <v>1418</v>
      </c>
      <c r="M1316" s="29">
        <v>709</v>
      </c>
      <c r="N1316" s="15">
        <v>45689</v>
      </c>
    </row>
    <row r="1317" spans="1:14" x14ac:dyDescent="0.25">
      <c r="A1317">
        <v>391093</v>
      </c>
      <c r="B1317" t="s">
        <v>28</v>
      </c>
      <c r="C1317">
        <v>51263</v>
      </c>
      <c r="D1317" t="s">
        <v>27</v>
      </c>
      <c r="E1317" t="s">
        <v>22</v>
      </c>
      <c r="F1317" s="27">
        <v>45715</v>
      </c>
      <c r="G1317">
        <v>8</v>
      </c>
      <c r="H1317">
        <v>8</v>
      </c>
      <c r="I1317" t="s">
        <v>766</v>
      </c>
      <c r="J1317" s="27">
        <v>45729</v>
      </c>
      <c r="L1317" s="29">
        <v>632.18390812500002</v>
      </c>
      <c r="M1317" s="29">
        <v>5057.4712650000001</v>
      </c>
      <c r="N1317" s="15">
        <v>45689</v>
      </c>
    </row>
    <row r="1318" spans="1:14" x14ac:dyDescent="0.25">
      <c r="A1318">
        <v>384055</v>
      </c>
      <c r="B1318" t="s">
        <v>951</v>
      </c>
      <c r="C1318">
        <v>45146</v>
      </c>
      <c r="D1318" t="s">
        <v>41</v>
      </c>
      <c r="E1318" t="s">
        <v>22</v>
      </c>
      <c r="F1318" s="27">
        <v>45714</v>
      </c>
      <c r="G1318">
        <v>10</v>
      </c>
      <c r="H1318">
        <v>10</v>
      </c>
      <c r="I1318" t="s">
        <v>1004</v>
      </c>
      <c r="J1318" s="27">
        <v>45714</v>
      </c>
      <c r="L1318" s="29">
        <v>1580.4597699999999</v>
      </c>
      <c r="M1318" s="29">
        <v>15804.597699999998</v>
      </c>
      <c r="N1318" s="15">
        <v>45689</v>
      </c>
    </row>
    <row r="1319" spans="1:14" x14ac:dyDescent="0.25">
      <c r="A1319">
        <v>390208</v>
      </c>
      <c r="B1319" t="s">
        <v>35</v>
      </c>
      <c r="C1319">
        <v>47615</v>
      </c>
      <c r="D1319" t="s">
        <v>25</v>
      </c>
      <c r="E1319" t="s">
        <v>22</v>
      </c>
      <c r="F1319" s="27">
        <v>45714</v>
      </c>
      <c r="G1319">
        <v>8</v>
      </c>
      <c r="H1319">
        <v>8</v>
      </c>
      <c r="I1319" t="s">
        <v>728</v>
      </c>
      <c r="J1319" s="27">
        <v>45727</v>
      </c>
      <c r="L1319" s="29">
        <v>1185.3448275000001</v>
      </c>
      <c r="M1319" s="29">
        <v>9482.7586200000005</v>
      </c>
      <c r="N1319" s="15">
        <v>45689</v>
      </c>
    </row>
    <row r="1320" spans="1:14" x14ac:dyDescent="0.25">
      <c r="A1320">
        <v>412285</v>
      </c>
      <c r="B1320" t="s">
        <v>35</v>
      </c>
      <c r="C1320">
        <v>47569</v>
      </c>
      <c r="D1320" t="s">
        <v>30</v>
      </c>
      <c r="E1320" t="s">
        <v>22</v>
      </c>
      <c r="F1320" s="27">
        <v>45714</v>
      </c>
      <c r="G1320">
        <v>8</v>
      </c>
      <c r="H1320">
        <v>8</v>
      </c>
      <c r="I1320" t="s">
        <v>494</v>
      </c>
      <c r="J1320" s="27">
        <v>45777</v>
      </c>
      <c r="L1320" s="29">
        <v>632.18390812500002</v>
      </c>
      <c r="M1320" s="29">
        <v>5057.4712650000001</v>
      </c>
      <c r="N1320" s="15">
        <v>45689</v>
      </c>
    </row>
    <row r="1321" spans="1:14" x14ac:dyDescent="0.25">
      <c r="A1321">
        <v>393868</v>
      </c>
      <c r="B1321" t="s">
        <v>35</v>
      </c>
      <c r="C1321">
        <v>47569</v>
      </c>
      <c r="D1321" t="s">
        <v>21</v>
      </c>
      <c r="E1321" t="s">
        <v>22</v>
      </c>
      <c r="F1321" s="27">
        <v>45714</v>
      </c>
      <c r="G1321">
        <v>7</v>
      </c>
      <c r="H1321">
        <v>7</v>
      </c>
      <c r="I1321" t="s">
        <v>767</v>
      </c>
      <c r="J1321" s="27">
        <v>45737</v>
      </c>
      <c r="L1321" s="29">
        <v>1778.0172412500001</v>
      </c>
      <c r="M1321" s="29">
        <v>12446.120688750001</v>
      </c>
      <c r="N1321" s="15">
        <v>45689</v>
      </c>
    </row>
    <row r="1322" spans="1:14" x14ac:dyDescent="0.25">
      <c r="A1322">
        <v>393870</v>
      </c>
      <c r="B1322" t="s">
        <v>35</v>
      </c>
      <c r="C1322">
        <v>47572</v>
      </c>
      <c r="D1322" t="s">
        <v>21</v>
      </c>
      <c r="E1322" t="s">
        <v>22</v>
      </c>
      <c r="F1322" s="27">
        <v>45714</v>
      </c>
      <c r="G1322">
        <v>1</v>
      </c>
      <c r="H1322">
        <v>1</v>
      </c>
      <c r="I1322" t="s">
        <v>699</v>
      </c>
      <c r="J1322" s="27">
        <v>45737</v>
      </c>
      <c r="L1322" s="29">
        <v>1778.0172412500001</v>
      </c>
      <c r="M1322" s="29">
        <v>1778.0172412500001</v>
      </c>
      <c r="N1322" s="15">
        <v>45689</v>
      </c>
    </row>
    <row r="1323" spans="1:14" x14ac:dyDescent="0.25">
      <c r="A1323">
        <v>415655</v>
      </c>
      <c r="B1323" t="s">
        <v>35</v>
      </c>
      <c r="C1323">
        <v>47572</v>
      </c>
      <c r="D1323" t="s">
        <v>42</v>
      </c>
      <c r="E1323" t="s">
        <v>22</v>
      </c>
      <c r="F1323" s="27">
        <v>45714</v>
      </c>
      <c r="G1323">
        <v>0.5</v>
      </c>
      <c r="H1323">
        <v>0.5</v>
      </c>
      <c r="I1323" t="s">
        <v>621</v>
      </c>
      <c r="J1323" s="27">
        <v>45789</v>
      </c>
      <c r="L1323" s="29">
        <v>1418</v>
      </c>
      <c r="M1323" s="29">
        <v>709</v>
      </c>
      <c r="N1323" s="15">
        <v>45689</v>
      </c>
    </row>
    <row r="1324" spans="1:14" x14ac:dyDescent="0.25">
      <c r="A1324">
        <v>415656</v>
      </c>
      <c r="B1324" t="s">
        <v>35</v>
      </c>
      <c r="C1324">
        <v>47614</v>
      </c>
      <c r="D1324" t="s">
        <v>42</v>
      </c>
      <c r="E1324" t="s">
        <v>22</v>
      </c>
      <c r="F1324" s="27">
        <v>45714</v>
      </c>
      <c r="G1324">
        <v>0.5</v>
      </c>
      <c r="H1324">
        <v>0.5</v>
      </c>
      <c r="I1324" t="s">
        <v>768</v>
      </c>
      <c r="J1324" s="27">
        <v>45789</v>
      </c>
      <c r="L1324" s="29">
        <v>1418</v>
      </c>
      <c r="M1324" s="29">
        <v>709</v>
      </c>
      <c r="N1324" s="15">
        <v>45689</v>
      </c>
    </row>
    <row r="1325" spans="1:14" x14ac:dyDescent="0.25">
      <c r="A1325">
        <v>415657</v>
      </c>
      <c r="B1325" t="s">
        <v>35</v>
      </c>
      <c r="C1325">
        <v>47614</v>
      </c>
      <c r="D1325" t="s">
        <v>42</v>
      </c>
      <c r="E1325" t="s">
        <v>22</v>
      </c>
      <c r="F1325" s="27">
        <v>45714</v>
      </c>
      <c r="G1325">
        <v>3</v>
      </c>
      <c r="H1325">
        <v>3</v>
      </c>
      <c r="I1325">
        <v>909</v>
      </c>
      <c r="J1325" s="27">
        <v>45789</v>
      </c>
      <c r="L1325" s="29">
        <v>1418</v>
      </c>
      <c r="M1325" s="29">
        <v>4254</v>
      </c>
      <c r="N1325" s="15">
        <v>45689</v>
      </c>
    </row>
    <row r="1326" spans="1:14" x14ac:dyDescent="0.25">
      <c r="A1326">
        <v>415658</v>
      </c>
      <c r="B1326" t="s">
        <v>35</v>
      </c>
      <c r="C1326">
        <v>47614</v>
      </c>
      <c r="D1326" t="s">
        <v>42</v>
      </c>
      <c r="E1326" t="s">
        <v>22</v>
      </c>
      <c r="F1326" s="27">
        <v>45714</v>
      </c>
      <c r="G1326">
        <v>5</v>
      </c>
      <c r="H1326">
        <v>5</v>
      </c>
      <c r="I1326">
        <v>910</v>
      </c>
      <c r="J1326" s="27">
        <v>45789</v>
      </c>
      <c r="L1326" s="29">
        <v>1418</v>
      </c>
      <c r="M1326" s="29">
        <v>7090</v>
      </c>
      <c r="N1326" s="15">
        <v>45689</v>
      </c>
    </row>
    <row r="1327" spans="1:14" x14ac:dyDescent="0.25">
      <c r="A1327">
        <v>415659</v>
      </c>
      <c r="B1327" t="s">
        <v>35</v>
      </c>
      <c r="C1327">
        <v>47614</v>
      </c>
      <c r="D1327" t="s">
        <v>42</v>
      </c>
      <c r="E1327" t="s">
        <v>22</v>
      </c>
      <c r="F1327" s="27">
        <v>45714</v>
      </c>
      <c r="G1327">
        <v>2</v>
      </c>
      <c r="H1327">
        <v>2</v>
      </c>
      <c r="I1327">
        <v>911</v>
      </c>
      <c r="J1327" s="27">
        <v>45789</v>
      </c>
      <c r="L1327" s="29">
        <v>1418</v>
      </c>
      <c r="M1327" s="29">
        <v>2836</v>
      </c>
      <c r="N1327" s="15">
        <v>45689</v>
      </c>
    </row>
    <row r="1328" spans="1:14" x14ac:dyDescent="0.25">
      <c r="A1328">
        <v>432299</v>
      </c>
      <c r="B1328" t="s">
        <v>35</v>
      </c>
      <c r="C1328">
        <v>47569</v>
      </c>
      <c r="D1328" t="s">
        <v>257</v>
      </c>
      <c r="E1328" t="s">
        <v>22</v>
      </c>
      <c r="F1328" s="27">
        <v>45714</v>
      </c>
      <c r="G1328">
        <v>56</v>
      </c>
      <c r="H1328">
        <v>56</v>
      </c>
      <c r="I1328" t="s">
        <v>294</v>
      </c>
      <c r="J1328" s="27">
        <v>45836</v>
      </c>
      <c r="L1328" s="29">
        <v>1422.413793125</v>
      </c>
      <c r="M1328" s="29">
        <v>79655.172414999994</v>
      </c>
      <c r="N1328" s="15">
        <v>45689</v>
      </c>
    </row>
    <row r="1329" spans="1:14" x14ac:dyDescent="0.25">
      <c r="A1329">
        <v>432301</v>
      </c>
      <c r="B1329" t="s">
        <v>18</v>
      </c>
      <c r="C1329">
        <v>29</v>
      </c>
      <c r="D1329" t="s">
        <v>257</v>
      </c>
      <c r="E1329" t="s">
        <v>19</v>
      </c>
      <c r="F1329" s="27">
        <v>45714</v>
      </c>
      <c r="G1329">
        <v>97</v>
      </c>
      <c r="H1329">
        <v>97</v>
      </c>
      <c r="I1329" t="s">
        <v>255</v>
      </c>
      <c r="J1329" s="27">
        <v>45836</v>
      </c>
      <c r="L1329" s="29">
        <v>1422.413793125</v>
      </c>
      <c r="M1329" s="29">
        <v>137974.13793312499</v>
      </c>
      <c r="N1329" s="15">
        <v>45689</v>
      </c>
    </row>
    <row r="1330" spans="1:14" x14ac:dyDescent="0.25">
      <c r="A1330">
        <v>432302</v>
      </c>
      <c r="B1330" t="s">
        <v>254</v>
      </c>
      <c r="C1330">
        <v>45363</v>
      </c>
      <c r="D1330" t="s">
        <v>257</v>
      </c>
      <c r="E1330" t="s">
        <v>22</v>
      </c>
      <c r="F1330" s="27">
        <v>45714</v>
      </c>
      <c r="G1330">
        <v>7</v>
      </c>
      <c r="H1330">
        <v>7</v>
      </c>
      <c r="I1330" t="s">
        <v>294</v>
      </c>
      <c r="J1330" s="27">
        <v>45836</v>
      </c>
      <c r="L1330" s="29">
        <v>1422.413793125</v>
      </c>
      <c r="M1330" s="29">
        <v>9956.8965518749992</v>
      </c>
      <c r="N1330" s="15">
        <v>45689</v>
      </c>
    </row>
    <row r="1331" spans="1:14" x14ac:dyDescent="0.25">
      <c r="A1331">
        <v>391092</v>
      </c>
      <c r="B1331" t="s">
        <v>28</v>
      </c>
      <c r="C1331">
        <v>51263</v>
      </c>
      <c r="D1331" t="s">
        <v>27</v>
      </c>
      <c r="E1331" t="s">
        <v>22</v>
      </c>
      <c r="F1331" s="27">
        <v>45714</v>
      </c>
      <c r="G1331">
        <v>8</v>
      </c>
      <c r="H1331">
        <v>8</v>
      </c>
      <c r="I1331" t="s">
        <v>769</v>
      </c>
      <c r="J1331" s="27">
        <v>45729</v>
      </c>
      <c r="L1331" s="29">
        <v>632.18390812500002</v>
      </c>
      <c r="M1331" s="29">
        <v>5057.4712650000001</v>
      </c>
      <c r="N1331" s="15">
        <v>45689</v>
      </c>
    </row>
    <row r="1332" spans="1:14" x14ac:dyDescent="0.25">
      <c r="A1332">
        <v>390207</v>
      </c>
      <c r="B1332" t="s">
        <v>35</v>
      </c>
      <c r="C1332">
        <v>47615</v>
      </c>
      <c r="D1332" t="s">
        <v>25</v>
      </c>
      <c r="E1332" t="s">
        <v>22</v>
      </c>
      <c r="F1332" s="27">
        <v>45713</v>
      </c>
      <c r="G1332">
        <v>8</v>
      </c>
      <c r="H1332">
        <v>8</v>
      </c>
      <c r="I1332" t="s">
        <v>728</v>
      </c>
      <c r="J1332" s="27">
        <v>45727</v>
      </c>
      <c r="L1332" s="29">
        <v>1185.3448275000001</v>
      </c>
      <c r="M1332" s="29">
        <v>9482.7586200000005</v>
      </c>
      <c r="N1332" s="15">
        <v>45689</v>
      </c>
    </row>
    <row r="1333" spans="1:14" x14ac:dyDescent="0.25">
      <c r="A1333">
        <v>412283</v>
      </c>
      <c r="B1333" t="s">
        <v>35</v>
      </c>
      <c r="C1333">
        <v>47570</v>
      </c>
      <c r="D1333" t="s">
        <v>30</v>
      </c>
      <c r="E1333" t="s">
        <v>22</v>
      </c>
      <c r="F1333" s="27">
        <v>45713</v>
      </c>
      <c r="G1333">
        <v>8</v>
      </c>
      <c r="H1333">
        <v>8</v>
      </c>
      <c r="I1333" t="s">
        <v>494</v>
      </c>
      <c r="J1333" s="27">
        <v>45777</v>
      </c>
      <c r="L1333" s="29">
        <v>632.18390812500002</v>
      </c>
      <c r="M1333" s="29">
        <v>5057.4712650000001</v>
      </c>
      <c r="N1333" s="15">
        <v>45689</v>
      </c>
    </row>
    <row r="1334" spans="1:14" x14ac:dyDescent="0.25">
      <c r="A1334">
        <v>393858</v>
      </c>
      <c r="B1334" t="s">
        <v>20</v>
      </c>
      <c r="C1334">
        <v>46185</v>
      </c>
      <c r="D1334" t="s">
        <v>21</v>
      </c>
      <c r="E1334" t="s">
        <v>22</v>
      </c>
      <c r="F1334" s="27">
        <v>45713</v>
      </c>
      <c r="G1334">
        <v>7</v>
      </c>
      <c r="H1334">
        <v>7</v>
      </c>
      <c r="I1334" t="s">
        <v>770</v>
      </c>
      <c r="J1334" s="27">
        <v>45737</v>
      </c>
      <c r="L1334" s="29">
        <v>1778.0172412500001</v>
      </c>
      <c r="M1334" s="29">
        <v>12446.120688750001</v>
      </c>
      <c r="N1334" s="15">
        <v>45689</v>
      </c>
    </row>
    <row r="1335" spans="1:14" x14ac:dyDescent="0.25">
      <c r="A1335">
        <v>393860</v>
      </c>
      <c r="B1335" t="s">
        <v>35</v>
      </c>
      <c r="C1335">
        <v>47572</v>
      </c>
      <c r="D1335" t="s">
        <v>21</v>
      </c>
      <c r="E1335" t="s">
        <v>22</v>
      </c>
      <c r="F1335" s="27">
        <v>45713</v>
      </c>
      <c r="G1335">
        <v>0.5</v>
      </c>
      <c r="H1335">
        <v>0.5</v>
      </c>
      <c r="I1335" t="s">
        <v>771</v>
      </c>
      <c r="J1335" s="27">
        <v>45737</v>
      </c>
      <c r="L1335" s="29">
        <v>1778.0172412500001</v>
      </c>
      <c r="M1335" s="29">
        <v>889.00862062500005</v>
      </c>
      <c r="N1335" s="15">
        <v>45689</v>
      </c>
    </row>
    <row r="1336" spans="1:14" x14ac:dyDescent="0.25">
      <c r="A1336">
        <v>432260</v>
      </c>
      <c r="B1336" t="s">
        <v>40</v>
      </c>
      <c r="C1336">
        <v>49386</v>
      </c>
      <c r="D1336" t="s">
        <v>26</v>
      </c>
      <c r="E1336" t="s">
        <v>22</v>
      </c>
      <c r="F1336" s="27">
        <v>45713</v>
      </c>
      <c r="G1336">
        <v>20</v>
      </c>
      <c r="H1336">
        <v>20</v>
      </c>
      <c r="I1336" t="s">
        <v>294</v>
      </c>
      <c r="J1336" s="27">
        <v>45836</v>
      </c>
      <c r="L1336" s="29">
        <v>1027.2988506249999</v>
      </c>
      <c r="M1336" s="29">
        <v>20545.9770125</v>
      </c>
      <c r="N1336" s="15">
        <v>45689</v>
      </c>
    </row>
    <row r="1337" spans="1:14" x14ac:dyDescent="0.25">
      <c r="A1337">
        <v>393862</v>
      </c>
      <c r="B1337" t="s">
        <v>35</v>
      </c>
      <c r="C1337">
        <v>47572</v>
      </c>
      <c r="D1337" t="s">
        <v>21</v>
      </c>
      <c r="E1337" t="s">
        <v>22</v>
      </c>
      <c r="F1337" s="27">
        <v>45713</v>
      </c>
      <c r="G1337">
        <v>0.5</v>
      </c>
      <c r="H1337">
        <v>0.5</v>
      </c>
      <c r="I1337" t="s">
        <v>699</v>
      </c>
      <c r="J1337" s="27">
        <v>45737</v>
      </c>
      <c r="L1337" s="29">
        <v>1778.0172412500001</v>
      </c>
      <c r="M1337" s="29">
        <v>889.00862062500005</v>
      </c>
      <c r="N1337" s="15">
        <v>45689</v>
      </c>
    </row>
    <row r="1338" spans="1:14" x14ac:dyDescent="0.25">
      <c r="A1338">
        <v>432265</v>
      </c>
      <c r="B1338" t="s">
        <v>31</v>
      </c>
      <c r="C1338">
        <v>13969</v>
      </c>
      <c r="D1338" t="s">
        <v>26</v>
      </c>
      <c r="E1338" t="s">
        <v>19</v>
      </c>
      <c r="F1338" s="27">
        <v>45713</v>
      </c>
      <c r="G1338">
        <v>78</v>
      </c>
      <c r="H1338">
        <v>78</v>
      </c>
      <c r="I1338" t="s">
        <v>292</v>
      </c>
      <c r="J1338" s="27">
        <v>45836</v>
      </c>
      <c r="L1338" s="29">
        <v>1027.2988506249999</v>
      </c>
      <c r="M1338" s="29">
        <v>80129.31034874999</v>
      </c>
      <c r="N1338" s="15">
        <v>45689</v>
      </c>
    </row>
    <row r="1339" spans="1:14" x14ac:dyDescent="0.25">
      <c r="A1339">
        <v>383882</v>
      </c>
      <c r="B1339" t="s">
        <v>34</v>
      </c>
      <c r="C1339">
        <v>21152</v>
      </c>
      <c r="D1339" t="s">
        <v>33</v>
      </c>
      <c r="E1339" t="s">
        <v>19</v>
      </c>
      <c r="F1339" s="27">
        <v>45713</v>
      </c>
      <c r="G1339">
        <v>20</v>
      </c>
      <c r="H1339">
        <v>20</v>
      </c>
      <c r="I1339" t="s">
        <v>772</v>
      </c>
      <c r="J1339" s="27">
        <v>45714</v>
      </c>
      <c r="L1339" s="29">
        <v>1580.4597699999999</v>
      </c>
      <c r="M1339" s="29">
        <v>31609.195399999997</v>
      </c>
      <c r="N1339" s="15">
        <v>45689</v>
      </c>
    </row>
    <row r="1340" spans="1:14" x14ac:dyDescent="0.25">
      <c r="A1340">
        <v>383883</v>
      </c>
      <c r="B1340" t="s">
        <v>31</v>
      </c>
      <c r="C1340">
        <v>13970</v>
      </c>
      <c r="D1340" t="s">
        <v>33</v>
      </c>
      <c r="E1340" t="s">
        <v>19</v>
      </c>
      <c r="F1340" s="27">
        <v>45713</v>
      </c>
      <c r="G1340">
        <v>30</v>
      </c>
      <c r="H1340">
        <v>30</v>
      </c>
      <c r="I1340" t="s">
        <v>773</v>
      </c>
      <c r="J1340" s="27">
        <v>45714</v>
      </c>
      <c r="L1340" s="29">
        <v>1580.4597699999999</v>
      </c>
      <c r="M1340" s="29">
        <v>47413.793099999995</v>
      </c>
      <c r="N1340" s="15">
        <v>45689</v>
      </c>
    </row>
    <row r="1341" spans="1:14" x14ac:dyDescent="0.25">
      <c r="A1341">
        <v>415654</v>
      </c>
      <c r="B1341" t="s">
        <v>35</v>
      </c>
      <c r="C1341">
        <v>47614</v>
      </c>
      <c r="D1341" t="s">
        <v>42</v>
      </c>
      <c r="E1341" t="s">
        <v>22</v>
      </c>
      <c r="F1341" s="27">
        <v>45713</v>
      </c>
      <c r="G1341">
        <v>1</v>
      </c>
      <c r="H1341">
        <v>1</v>
      </c>
      <c r="I1341" t="s">
        <v>768</v>
      </c>
      <c r="J1341" s="27">
        <v>45789</v>
      </c>
      <c r="L1341" s="29">
        <v>1418</v>
      </c>
      <c r="M1341" s="29">
        <v>1418</v>
      </c>
      <c r="N1341" s="15">
        <v>45689</v>
      </c>
    </row>
    <row r="1342" spans="1:14" x14ac:dyDescent="0.25">
      <c r="A1342">
        <v>391091</v>
      </c>
      <c r="B1342" t="s">
        <v>28</v>
      </c>
      <c r="C1342">
        <v>51263</v>
      </c>
      <c r="D1342" t="s">
        <v>27</v>
      </c>
      <c r="E1342" t="s">
        <v>22</v>
      </c>
      <c r="F1342" s="27">
        <v>45713</v>
      </c>
      <c r="G1342">
        <v>6</v>
      </c>
      <c r="H1342">
        <v>6</v>
      </c>
      <c r="I1342" t="s">
        <v>774</v>
      </c>
      <c r="J1342" s="27">
        <v>45729</v>
      </c>
      <c r="L1342" s="29">
        <v>632.18390812500002</v>
      </c>
      <c r="M1342" s="29">
        <v>3793.1034487500001</v>
      </c>
      <c r="N1342" s="15">
        <v>45689</v>
      </c>
    </row>
    <row r="1343" spans="1:14" x14ac:dyDescent="0.25">
      <c r="A1343">
        <v>390206</v>
      </c>
      <c r="B1343" t="s">
        <v>35</v>
      </c>
      <c r="C1343">
        <v>47615</v>
      </c>
      <c r="D1343" t="s">
        <v>25</v>
      </c>
      <c r="E1343" t="s">
        <v>22</v>
      </c>
      <c r="F1343" s="27">
        <v>45712</v>
      </c>
      <c r="G1343">
        <v>8</v>
      </c>
      <c r="H1343">
        <v>8</v>
      </c>
      <c r="I1343" t="s">
        <v>728</v>
      </c>
      <c r="J1343" s="27">
        <v>45727</v>
      </c>
      <c r="L1343" s="29">
        <v>1185.3448275000001</v>
      </c>
      <c r="M1343" s="29">
        <v>9482.7586200000005</v>
      </c>
      <c r="N1343" s="15">
        <v>45689</v>
      </c>
    </row>
    <row r="1344" spans="1:14" x14ac:dyDescent="0.25">
      <c r="A1344">
        <v>383320</v>
      </c>
      <c r="B1344" t="s">
        <v>35</v>
      </c>
      <c r="C1344">
        <v>47572</v>
      </c>
      <c r="D1344" t="s">
        <v>21</v>
      </c>
      <c r="E1344" t="s">
        <v>22</v>
      </c>
      <c r="F1344" s="27">
        <v>45712</v>
      </c>
      <c r="G1344">
        <v>0.5</v>
      </c>
      <c r="H1344">
        <v>0.5</v>
      </c>
      <c r="I1344" t="s">
        <v>775</v>
      </c>
      <c r="J1344" s="27">
        <v>45712</v>
      </c>
      <c r="L1344" s="29">
        <v>1778.0172412500001</v>
      </c>
      <c r="M1344" s="29">
        <v>889.00862062500005</v>
      </c>
      <c r="N1344" s="15">
        <v>45689</v>
      </c>
    </row>
    <row r="1345" spans="1:14" x14ac:dyDescent="0.25">
      <c r="A1345">
        <v>383322</v>
      </c>
      <c r="B1345" t="s">
        <v>20</v>
      </c>
      <c r="C1345">
        <v>45135</v>
      </c>
      <c r="D1345" t="s">
        <v>21</v>
      </c>
      <c r="E1345" t="s">
        <v>22</v>
      </c>
      <c r="F1345" s="27">
        <v>45712</v>
      </c>
      <c r="G1345">
        <v>1</v>
      </c>
      <c r="H1345">
        <v>1</v>
      </c>
      <c r="I1345" t="s">
        <v>776</v>
      </c>
      <c r="J1345" s="27">
        <v>45712</v>
      </c>
      <c r="L1345" s="29">
        <v>1778.0172412500001</v>
      </c>
      <c r="M1345" s="29">
        <v>1778.0172412500001</v>
      </c>
      <c r="N1345" s="15">
        <v>45689</v>
      </c>
    </row>
    <row r="1346" spans="1:14" x14ac:dyDescent="0.25">
      <c r="A1346">
        <v>383323</v>
      </c>
      <c r="B1346" t="s">
        <v>20</v>
      </c>
      <c r="C1346">
        <v>51353</v>
      </c>
      <c r="D1346" t="s">
        <v>21</v>
      </c>
      <c r="E1346" t="s">
        <v>22</v>
      </c>
      <c r="F1346" s="27">
        <v>45712</v>
      </c>
      <c r="G1346">
        <v>4</v>
      </c>
      <c r="H1346">
        <v>4</v>
      </c>
      <c r="I1346" t="s">
        <v>777</v>
      </c>
      <c r="J1346" s="27">
        <v>45712</v>
      </c>
      <c r="L1346" s="29">
        <v>1778.0172412500001</v>
      </c>
      <c r="M1346" s="29">
        <v>7112.0689650000004</v>
      </c>
      <c r="N1346" s="15">
        <v>45689</v>
      </c>
    </row>
    <row r="1347" spans="1:14" x14ac:dyDescent="0.25">
      <c r="A1347">
        <v>383324</v>
      </c>
      <c r="B1347" t="s">
        <v>35</v>
      </c>
      <c r="C1347">
        <v>47572</v>
      </c>
      <c r="D1347" t="s">
        <v>21</v>
      </c>
      <c r="E1347" t="s">
        <v>22</v>
      </c>
      <c r="F1347" s="27">
        <v>45712</v>
      </c>
      <c r="G1347">
        <v>1</v>
      </c>
      <c r="H1347">
        <v>1</v>
      </c>
      <c r="I1347" t="s">
        <v>778</v>
      </c>
      <c r="J1347" s="27">
        <v>45712</v>
      </c>
      <c r="L1347" s="29">
        <v>1778.0172412500001</v>
      </c>
      <c r="M1347" s="29">
        <v>1778.0172412500001</v>
      </c>
      <c r="N1347" s="15">
        <v>45689</v>
      </c>
    </row>
    <row r="1348" spans="1:14" x14ac:dyDescent="0.25">
      <c r="A1348">
        <v>383325</v>
      </c>
      <c r="B1348" t="s">
        <v>35</v>
      </c>
      <c r="C1348">
        <v>47569</v>
      </c>
      <c r="D1348" t="s">
        <v>21</v>
      </c>
      <c r="E1348" t="s">
        <v>22</v>
      </c>
      <c r="F1348" s="27">
        <v>45712</v>
      </c>
      <c r="G1348">
        <v>0.5</v>
      </c>
      <c r="H1348">
        <v>0.5</v>
      </c>
      <c r="I1348" t="s">
        <v>779</v>
      </c>
      <c r="J1348" s="27">
        <v>45712</v>
      </c>
      <c r="L1348" s="29">
        <v>1778.0172412500001</v>
      </c>
      <c r="M1348" s="29">
        <v>889.00862062500005</v>
      </c>
      <c r="N1348" s="15">
        <v>45689</v>
      </c>
    </row>
    <row r="1349" spans="1:14" x14ac:dyDescent="0.25">
      <c r="A1349">
        <v>412282</v>
      </c>
      <c r="B1349" t="s">
        <v>35</v>
      </c>
      <c r="C1349">
        <v>47569</v>
      </c>
      <c r="D1349" t="s">
        <v>30</v>
      </c>
      <c r="E1349" t="s">
        <v>22</v>
      </c>
      <c r="F1349" s="27">
        <v>45712</v>
      </c>
      <c r="G1349">
        <v>8</v>
      </c>
      <c r="H1349">
        <v>8</v>
      </c>
      <c r="I1349" t="s">
        <v>494</v>
      </c>
      <c r="J1349" s="27">
        <v>45777</v>
      </c>
      <c r="L1349" s="29">
        <v>632.18390812500002</v>
      </c>
      <c r="M1349" s="29">
        <v>5057.4712650000001</v>
      </c>
      <c r="N1349" s="15">
        <v>45689</v>
      </c>
    </row>
    <row r="1350" spans="1:14" x14ac:dyDescent="0.25">
      <c r="A1350">
        <v>415650</v>
      </c>
      <c r="B1350" t="s">
        <v>35</v>
      </c>
      <c r="C1350">
        <v>47614</v>
      </c>
      <c r="D1350" t="s">
        <v>42</v>
      </c>
      <c r="E1350" t="s">
        <v>22</v>
      </c>
      <c r="F1350" s="27">
        <v>45712</v>
      </c>
      <c r="G1350">
        <v>3</v>
      </c>
      <c r="H1350">
        <v>3</v>
      </c>
      <c r="I1350">
        <v>903</v>
      </c>
      <c r="J1350" s="27">
        <v>45789</v>
      </c>
      <c r="L1350" s="29">
        <v>1418</v>
      </c>
      <c r="M1350" s="29">
        <v>4254</v>
      </c>
      <c r="N1350" s="15">
        <v>45689</v>
      </c>
    </row>
    <row r="1351" spans="1:14" x14ac:dyDescent="0.25">
      <c r="A1351">
        <v>415651</v>
      </c>
      <c r="B1351" t="s">
        <v>35</v>
      </c>
      <c r="C1351">
        <v>47614</v>
      </c>
      <c r="D1351" t="s">
        <v>42</v>
      </c>
      <c r="E1351" t="s">
        <v>22</v>
      </c>
      <c r="F1351" s="27">
        <v>45712</v>
      </c>
      <c r="G1351">
        <v>3</v>
      </c>
      <c r="H1351">
        <v>3</v>
      </c>
      <c r="I1351">
        <v>904</v>
      </c>
      <c r="J1351" s="27">
        <v>45789</v>
      </c>
      <c r="L1351" s="29">
        <v>1418</v>
      </c>
      <c r="M1351" s="29">
        <v>4254</v>
      </c>
      <c r="N1351" s="15">
        <v>45689</v>
      </c>
    </row>
    <row r="1352" spans="1:14" x14ac:dyDescent="0.25">
      <c r="A1352">
        <v>415652</v>
      </c>
      <c r="B1352" t="s">
        <v>35</v>
      </c>
      <c r="C1352">
        <v>47614</v>
      </c>
      <c r="D1352" t="s">
        <v>42</v>
      </c>
      <c r="E1352" t="s">
        <v>22</v>
      </c>
      <c r="F1352" s="27">
        <v>45712</v>
      </c>
      <c r="G1352">
        <v>4</v>
      </c>
      <c r="H1352">
        <v>4</v>
      </c>
      <c r="I1352">
        <v>905</v>
      </c>
      <c r="J1352" s="27">
        <v>45789</v>
      </c>
      <c r="L1352" s="29">
        <v>1418</v>
      </c>
      <c r="M1352" s="29">
        <v>5672</v>
      </c>
      <c r="N1352" s="15">
        <v>45689</v>
      </c>
    </row>
    <row r="1353" spans="1:14" x14ac:dyDescent="0.25">
      <c r="A1353">
        <v>415653</v>
      </c>
      <c r="B1353" t="s">
        <v>35</v>
      </c>
      <c r="C1353">
        <v>47572</v>
      </c>
      <c r="D1353" t="s">
        <v>42</v>
      </c>
      <c r="E1353" t="s">
        <v>22</v>
      </c>
      <c r="F1353" s="27">
        <v>45712</v>
      </c>
      <c r="G1353">
        <v>0.5</v>
      </c>
      <c r="H1353">
        <v>0.5</v>
      </c>
      <c r="I1353" t="s">
        <v>621</v>
      </c>
      <c r="J1353" s="27">
        <v>45789</v>
      </c>
      <c r="L1353" s="29">
        <v>1418</v>
      </c>
      <c r="M1353" s="29">
        <v>709</v>
      </c>
      <c r="N1353" s="15">
        <v>45689</v>
      </c>
    </row>
    <row r="1354" spans="1:14" x14ac:dyDescent="0.25">
      <c r="A1354">
        <v>391090</v>
      </c>
      <c r="B1354" t="s">
        <v>28</v>
      </c>
      <c r="C1354">
        <v>51263</v>
      </c>
      <c r="D1354" t="s">
        <v>27</v>
      </c>
      <c r="E1354" t="s">
        <v>22</v>
      </c>
      <c r="F1354" s="27">
        <v>45712</v>
      </c>
      <c r="G1354">
        <v>6</v>
      </c>
      <c r="H1354">
        <v>6</v>
      </c>
      <c r="I1354" t="s">
        <v>780</v>
      </c>
      <c r="J1354" s="27">
        <v>45729</v>
      </c>
      <c r="L1354" s="29">
        <v>632.18390812500002</v>
      </c>
      <c r="M1354" s="29">
        <v>3793.1034487500001</v>
      </c>
      <c r="N1354" s="15">
        <v>45689</v>
      </c>
    </row>
    <row r="1355" spans="1:14" x14ac:dyDescent="0.25">
      <c r="A1355">
        <v>382751</v>
      </c>
      <c r="B1355" t="s">
        <v>951</v>
      </c>
      <c r="C1355">
        <v>45146</v>
      </c>
      <c r="D1355" t="s">
        <v>41</v>
      </c>
      <c r="E1355" t="s">
        <v>22</v>
      </c>
      <c r="F1355" s="27">
        <v>45709</v>
      </c>
      <c r="G1355">
        <v>10</v>
      </c>
      <c r="H1355">
        <v>10</v>
      </c>
      <c r="I1355" t="s">
        <v>1005</v>
      </c>
      <c r="J1355" s="27">
        <v>45709</v>
      </c>
      <c r="L1355" s="29">
        <v>1580.4597699999999</v>
      </c>
      <c r="M1355" s="29">
        <v>15804.597699999998</v>
      </c>
      <c r="N1355" s="15">
        <v>45689</v>
      </c>
    </row>
    <row r="1356" spans="1:14" x14ac:dyDescent="0.25">
      <c r="A1356">
        <v>390205</v>
      </c>
      <c r="B1356" t="s">
        <v>35</v>
      </c>
      <c r="C1356">
        <v>47615</v>
      </c>
      <c r="D1356" t="s">
        <v>25</v>
      </c>
      <c r="E1356" t="s">
        <v>22</v>
      </c>
      <c r="F1356" s="27">
        <v>45709</v>
      </c>
      <c r="G1356">
        <v>8</v>
      </c>
      <c r="H1356">
        <v>8</v>
      </c>
      <c r="I1356" t="s">
        <v>728</v>
      </c>
      <c r="J1356" s="27">
        <v>45727</v>
      </c>
      <c r="L1356" s="29">
        <v>1185.3448275000001</v>
      </c>
      <c r="M1356" s="29">
        <v>9482.7586200000005</v>
      </c>
      <c r="N1356" s="15">
        <v>45689</v>
      </c>
    </row>
    <row r="1357" spans="1:14" x14ac:dyDescent="0.25">
      <c r="A1357">
        <v>412280</v>
      </c>
      <c r="B1357" t="s">
        <v>35</v>
      </c>
      <c r="C1357">
        <v>47569</v>
      </c>
      <c r="D1357" t="s">
        <v>30</v>
      </c>
      <c r="E1357" t="s">
        <v>22</v>
      </c>
      <c r="F1357" s="27">
        <v>45709</v>
      </c>
      <c r="G1357">
        <v>8</v>
      </c>
      <c r="H1357">
        <v>8</v>
      </c>
      <c r="I1357" t="s">
        <v>494</v>
      </c>
      <c r="J1357" s="27">
        <v>45777</v>
      </c>
      <c r="L1357" s="29">
        <v>632.18390812500002</v>
      </c>
      <c r="M1357" s="29">
        <v>5057.4712650000001</v>
      </c>
      <c r="N1357" s="15">
        <v>45689</v>
      </c>
    </row>
    <row r="1358" spans="1:14" x14ac:dyDescent="0.25">
      <c r="A1358">
        <v>393851</v>
      </c>
      <c r="B1358" t="s">
        <v>35</v>
      </c>
      <c r="C1358">
        <v>47568</v>
      </c>
      <c r="D1358" t="s">
        <v>21</v>
      </c>
      <c r="E1358" t="s">
        <v>22</v>
      </c>
      <c r="F1358" s="27">
        <v>45709</v>
      </c>
      <c r="G1358">
        <v>4</v>
      </c>
      <c r="H1358">
        <v>4</v>
      </c>
      <c r="I1358" t="s">
        <v>781</v>
      </c>
      <c r="J1358" s="27">
        <v>45737</v>
      </c>
      <c r="L1358" s="29">
        <v>1778.0172412500001</v>
      </c>
      <c r="M1358" s="29">
        <v>7112.0689650000004</v>
      </c>
      <c r="N1358" s="15">
        <v>45689</v>
      </c>
    </row>
    <row r="1359" spans="1:14" x14ac:dyDescent="0.25">
      <c r="A1359">
        <v>393853</v>
      </c>
      <c r="B1359" t="s">
        <v>35</v>
      </c>
      <c r="C1359">
        <v>47572</v>
      </c>
      <c r="D1359" t="s">
        <v>21</v>
      </c>
      <c r="E1359" t="s">
        <v>22</v>
      </c>
      <c r="F1359" s="27">
        <v>45709</v>
      </c>
      <c r="G1359">
        <v>1.5</v>
      </c>
      <c r="H1359">
        <v>1.5</v>
      </c>
      <c r="I1359" t="s">
        <v>782</v>
      </c>
      <c r="J1359" s="27">
        <v>45737</v>
      </c>
      <c r="L1359" s="29">
        <v>1778.0172412500001</v>
      </c>
      <c r="M1359" s="29">
        <v>2667.0258618750004</v>
      </c>
      <c r="N1359" s="15">
        <v>45689</v>
      </c>
    </row>
    <row r="1360" spans="1:14" x14ac:dyDescent="0.25">
      <c r="A1360">
        <v>438655</v>
      </c>
      <c r="B1360" t="s">
        <v>952</v>
      </c>
      <c r="C1360">
        <v>52454</v>
      </c>
      <c r="D1360" t="s">
        <v>41</v>
      </c>
      <c r="E1360" t="s">
        <v>22</v>
      </c>
      <c r="F1360" s="27">
        <v>45709</v>
      </c>
      <c r="G1360">
        <v>8</v>
      </c>
      <c r="H1360">
        <v>8</v>
      </c>
      <c r="I1360" t="s">
        <v>1002</v>
      </c>
      <c r="J1360" s="27">
        <v>45852</v>
      </c>
      <c r="L1360" s="29">
        <v>1580.4597699999999</v>
      </c>
      <c r="M1360" s="29">
        <v>12643.678159999999</v>
      </c>
      <c r="N1360" s="15">
        <v>45689</v>
      </c>
    </row>
    <row r="1361" spans="1:14" x14ac:dyDescent="0.25">
      <c r="A1361">
        <v>393856</v>
      </c>
      <c r="B1361" t="s">
        <v>20</v>
      </c>
      <c r="C1361">
        <v>46185</v>
      </c>
      <c r="D1361" t="s">
        <v>21</v>
      </c>
      <c r="E1361" t="s">
        <v>22</v>
      </c>
      <c r="F1361" s="27">
        <v>45709</v>
      </c>
      <c r="G1361">
        <v>2.5</v>
      </c>
      <c r="H1361">
        <v>2.5</v>
      </c>
      <c r="I1361" t="s">
        <v>783</v>
      </c>
      <c r="J1361" s="27">
        <v>45737</v>
      </c>
      <c r="L1361" s="29">
        <v>1778.0172412500001</v>
      </c>
      <c r="M1361" s="29">
        <v>4445.043103125</v>
      </c>
      <c r="N1361" s="15">
        <v>45689</v>
      </c>
    </row>
    <row r="1362" spans="1:14" x14ac:dyDescent="0.25">
      <c r="A1362">
        <v>415648</v>
      </c>
      <c r="B1362" t="s">
        <v>35</v>
      </c>
      <c r="C1362">
        <v>47614</v>
      </c>
      <c r="D1362" t="s">
        <v>42</v>
      </c>
      <c r="E1362" t="s">
        <v>22</v>
      </c>
      <c r="F1362" s="27">
        <v>45709</v>
      </c>
      <c r="G1362">
        <v>3</v>
      </c>
      <c r="H1362">
        <v>3</v>
      </c>
      <c r="I1362">
        <v>904</v>
      </c>
      <c r="J1362" s="27">
        <v>45789</v>
      </c>
      <c r="L1362" s="29">
        <v>1418</v>
      </c>
      <c r="M1362" s="29">
        <v>4254</v>
      </c>
      <c r="N1362" s="15">
        <v>45689</v>
      </c>
    </row>
    <row r="1363" spans="1:14" x14ac:dyDescent="0.25">
      <c r="A1363">
        <v>415649</v>
      </c>
      <c r="B1363" t="s">
        <v>35</v>
      </c>
      <c r="C1363">
        <v>47572</v>
      </c>
      <c r="D1363" t="s">
        <v>42</v>
      </c>
      <c r="E1363" t="s">
        <v>22</v>
      </c>
      <c r="F1363" s="27">
        <v>45709</v>
      </c>
      <c r="G1363">
        <v>0.5</v>
      </c>
      <c r="H1363">
        <v>0.5</v>
      </c>
      <c r="I1363" t="s">
        <v>621</v>
      </c>
      <c r="J1363" s="27">
        <v>45789</v>
      </c>
      <c r="L1363" s="29">
        <v>1418</v>
      </c>
      <c r="M1363" s="29">
        <v>709</v>
      </c>
      <c r="N1363" s="15">
        <v>45689</v>
      </c>
    </row>
    <row r="1364" spans="1:14" x14ac:dyDescent="0.25">
      <c r="A1364">
        <v>391089</v>
      </c>
      <c r="B1364" t="s">
        <v>28</v>
      </c>
      <c r="C1364">
        <v>51263</v>
      </c>
      <c r="D1364" t="s">
        <v>27</v>
      </c>
      <c r="E1364" t="s">
        <v>22</v>
      </c>
      <c r="F1364" s="27">
        <v>45709</v>
      </c>
      <c r="G1364">
        <v>7</v>
      </c>
      <c r="H1364">
        <v>7</v>
      </c>
      <c r="I1364" t="s">
        <v>784</v>
      </c>
      <c r="J1364" s="27">
        <v>45729</v>
      </c>
      <c r="L1364" s="29">
        <v>632.18390812500002</v>
      </c>
      <c r="M1364" s="29">
        <v>4425.2873568750001</v>
      </c>
      <c r="N1364" s="15">
        <v>45689</v>
      </c>
    </row>
    <row r="1365" spans="1:14" x14ac:dyDescent="0.25">
      <c r="A1365">
        <v>389316</v>
      </c>
      <c r="B1365" t="s">
        <v>28</v>
      </c>
      <c r="C1365">
        <v>51262</v>
      </c>
      <c r="D1365" t="s">
        <v>44</v>
      </c>
      <c r="E1365" t="s">
        <v>22</v>
      </c>
      <c r="F1365" s="27">
        <v>45709</v>
      </c>
      <c r="G1365">
        <v>37</v>
      </c>
      <c r="H1365">
        <v>37</v>
      </c>
      <c r="I1365" t="s">
        <v>737</v>
      </c>
      <c r="J1365" s="27">
        <v>45725</v>
      </c>
      <c r="L1365" s="29">
        <v>2212.643678125</v>
      </c>
      <c r="M1365" s="29">
        <v>81867.816090624998</v>
      </c>
      <c r="N1365" s="15">
        <v>45689</v>
      </c>
    </row>
    <row r="1366" spans="1:14" x14ac:dyDescent="0.25">
      <c r="A1366">
        <v>390204</v>
      </c>
      <c r="B1366" t="s">
        <v>35</v>
      </c>
      <c r="C1366">
        <v>47615</v>
      </c>
      <c r="D1366" t="s">
        <v>25</v>
      </c>
      <c r="E1366" t="s">
        <v>22</v>
      </c>
      <c r="F1366" s="27">
        <v>45708</v>
      </c>
      <c r="G1366">
        <v>8</v>
      </c>
      <c r="H1366">
        <v>8</v>
      </c>
      <c r="I1366" t="s">
        <v>728</v>
      </c>
      <c r="J1366" s="27">
        <v>45727</v>
      </c>
      <c r="L1366" s="29">
        <v>1185.3448275000001</v>
      </c>
      <c r="M1366" s="29">
        <v>9482.7586200000005</v>
      </c>
      <c r="N1366" s="15">
        <v>45689</v>
      </c>
    </row>
    <row r="1367" spans="1:14" x14ac:dyDescent="0.25">
      <c r="A1367">
        <v>393843</v>
      </c>
      <c r="B1367" t="s">
        <v>20</v>
      </c>
      <c r="C1367">
        <v>51353</v>
      </c>
      <c r="D1367" t="s">
        <v>21</v>
      </c>
      <c r="E1367" t="s">
        <v>22</v>
      </c>
      <c r="F1367" s="27">
        <v>45708</v>
      </c>
      <c r="G1367">
        <v>5.5</v>
      </c>
      <c r="H1367">
        <v>5.5</v>
      </c>
      <c r="I1367" t="s">
        <v>785</v>
      </c>
      <c r="J1367" s="27">
        <v>45737</v>
      </c>
      <c r="L1367" s="29">
        <v>1778.0172412500001</v>
      </c>
      <c r="M1367" s="29">
        <v>9779.0948268749999</v>
      </c>
      <c r="N1367" s="15">
        <v>45689</v>
      </c>
    </row>
    <row r="1368" spans="1:14" x14ac:dyDescent="0.25">
      <c r="A1368">
        <v>393844</v>
      </c>
      <c r="B1368" t="s">
        <v>35</v>
      </c>
      <c r="C1368">
        <v>47572</v>
      </c>
      <c r="D1368" t="s">
        <v>21</v>
      </c>
      <c r="E1368" t="s">
        <v>22</v>
      </c>
      <c r="F1368" s="27">
        <v>45708</v>
      </c>
      <c r="G1368">
        <v>1</v>
      </c>
      <c r="H1368">
        <v>1</v>
      </c>
      <c r="I1368" t="s">
        <v>786</v>
      </c>
      <c r="J1368" s="27">
        <v>45737</v>
      </c>
      <c r="L1368" s="29">
        <v>1778.0172412500001</v>
      </c>
      <c r="M1368" s="29">
        <v>1778.0172412500001</v>
      </c>
      <c r="N1368" s="15">
        <v>45689</v>
      </c>
    </row>
    <row r="1369" spans="1:14" x14ac:dyDescent="0.25">
      <c r="A1369">
        <v>393847</v>
      </c>
      <c r="B1369" t="s">
        <v>35</v>
      </c>
      <c r="C1369">
        <v>50749</v>
      </c>
      <c r="D1369" t="s">
        <v>21</v>
      </c>
      <c r="E1369" t="s">
        <v>22</v>
      </c>
      <c r="F1369" s="27">
        <v>45708</v>
      </c>
      <c r="G1369">
        <v>1</v>
      </c>
      <c r="H1369">
        <v>1</v>
      </c>
      <c r="I1369" t="s">
        <v>787</v>
      </c>
      <c r="J1369" s="27">
        <v>45737</v>
      </c>
      <c r="L1369" s="29">
        <v>1778.0172412500001</v>
      </c>
      <c r="M1369" s="29">
        <v>1778.0172412500001</v>
      </c>
      <c r="N1369" s="15">
        <v>45689</v>
      </c>
    </row>
    <row r="1370" spans="1:14" x14ac:dyDescent="0.25">
      <c r="A1370">
        <v>412279</v>
      </c>
      <c r="B1370" t="s">
        <v>35</v>
      </c>
      <c r="C1370">
        <v>47569</v>
      </c>
      <c r="D1370" t="s">
        <v>30</v>
      </c>
      <c r="E1370" t="s">
        <v>22</v>
      </c>
      <c r="F1370" s="27">
        <v>45708</v>
      </c>
      <c r="G1370">
        <v>8</v>
      </c>
      <c r="H1370">
        <v>8</v>
      </c>
      <c r="I1370" t="s">
        <v>494</v>
      </c>
      <c r="J1370" s="27">
        <v>45777</v>
      </c>
      <c r="L1370" s="29">
        <v>632.18390812500002</v>
      </c>
      <c r="M1370" s="29">
        <v>5057.4712650000001</v>
      </c>
      <c r="N1370" s="15">
        <v>45689</v>
      </c>
    </row>
    <row r="1371" spans="1:14" x14ac:dyDescent="0.25">
      <c r="A1371">
        <v>393849</v>
      </c>
      <c r="B1371" t="s">
        <v>35</v>
      </c>
      <c r="C1371">
        <v>47572</v>
      </c>
      <c r="D1371" t="s">
        <v>21</v>
      </c>
      <c r="E1371" t="s">
        <v>22</v>
      </c>
      <c r="F1371" s="27">
        <v>45708</v>
      </c>
      <c r="G1371">
        <v>0.5</v>
      </c>
      <c r="H1371">
        <v>0.5</v>
      </c>
      <c r="I1371" t="s">
        <v>699</v>
      </c>
      <c r="J1371" s="27">
        <v>45737</v>
      </c>
      <c r="L1371" s="29">
        <v>1778.0172412500001</v>
      </c>
      <c r="M1371" s="29">
        <v>889.00862062500005</v>
      </c>
      <c r="N1371" s="15">
        <v>45689</v>
      </c>
    </row>
    <row r="1372" spans="1:14" x14ac:dyDescent="0.25">
      <c r="A1372">
        <v>383384</v>
      </c>
      <c r="B1372" t="s">
        <v>35</v>
      </c>
      <c r="C1372">
        <v>47569</v>
      </c>
      <c r="D1372" t="s">
        <v>36</v>
      </c>
      <c r="E1372" t="s">
        <v>22</v>
      </c>
      <c r="F1372" s="27">
        <v>45708</v>
      </c>
      <c r="G1372">
        <v>3</v>
      </c>
      <c r="H1372">
        <v>3</v>
      </c>
      <c r="I1372">
        <v>1395</v>
      </c>
      <c r="J1372" s="27">
        <v>45712</v>
      </c>
      <c r="L1372" s="29">
        <v>1896.551724375</v>
      </c>
      <c r="M1372" s="29">
        <v>5689.6551731250001</v>
      </c>
      <c r="N1372" s="15">
        <v>45689</v>
      </c>
    </row>
    <row r="1373" spans="1:14" x14ac:dyDescent="0.25">
      <c r="A1373">
        <v>383386</v>
      </c>
      <c r="B1373" t="s">
        <v>35</v>
      </c>
      <c r="C1373">
        <v>50244</v>
      </c>
      <c r="D1373" t="s">
        <v>36</v>
      </c>
      <c r="E1373" t="s">
        <v>22</v>
      </c>
      <c r="F1373" s="27">
        <v>45708</v>
      </c>
      <c r="G1373">
        <v>4</v>
      </c>
      <c r="H1373">
        <v>4</v>
      </c>
      <c r="I1373">
        <v>1398</v>
      </c>
      <c r="J1373" s="27">
        <v>45712</v>
      </c>
      <c r="L1373" s="29">
        <v>1896.551724375</v>
      </c>
      <c r="M1373" s="29">
        <v>7586.2068975000002</v>
      </c>
      <c r="N1373" s="15">
        <v>45689</v>
      </c>
    </row>
    <row r="1374" spans="1:14" x14ac:dyDescent="0.25">
      <c r="A1374">
        <v>415646</v>
      </c>
      <c r="B1374" t="s">
        <v>35</v>
      </c>
      <c r="C1374">
        <v>47572</v>
      </c>
      <c r="D1374" t="s">
        <v>42</v>
      </c>
      <c r="E1374" t="s">
        <v>22</v>
      </c>
      <c r="F1374" s="27">
        <v>45708</v>
      </c>
      <c r="G1374">
        <v>0.5</v>
      </c>
      <c r="H1374">
        <v>0.5</v>
      </c>
      <c r="I1374" t="s">
        <v>621</v>
      </c>
      <c r="J1374" s="27">
        <v>45789</v>
      </c>
      <c r="L1374" s="29">
        <v>1418</v>
      </c>
      <c r="M1374" s="29">
        <v>709</v>
      </c>
      <c r="N1374" s="15">
        <v>45689</v>
      </c>
    </row>
    <row r="1375" spans="1:14" x14ac:dyDescent="0.25">
      <c r="A1375">
        <v>415647</v>
      </c>
      <c r="B1375" t="s">
        <v>35</v>
      </c>
      <c r="C1375">
        <v>47614</v>
      </c>
      <c r="D1375" t="s">
        <v>42</v>
      </c>
      <c r="E1375" t="s">
        <v>22</v>
      </c>
      <c r="F1375" s="27">
        <v>45708</v>
      </c>
      <c r="G1375">
        <v>1</v>
      </c>
      <c r="H1375">
        <v>1</v>
      </c>
      <c r="I1375">
        <v>903</v>
      </c>
      <c r="J1375" s="27">
        <v>45789</v>
      </c>
      <c r="L1375" s="29">
        <v>1418</v>
      </c>
      <c r="M1375" s="29">
        <v>1418</v>
      </c>
      <c r="N1375" s="15">
        <v>45689</v>
      </c>
    </row>
    <row r="1376" spans="1:14" x14ac:dyDescent="0.25">
      <c r="A1376">
        <v>382453</v>
      </c>
      <c r="B1376" t="s">
        <v>50</v>
      </c>
      <c r="C1376">
        <v>51295</v>
      </c>
      <c r="D1376" t="s">
        <v>27</v>
      </c>
      <c r="E1376" t="s">
        <v>22</v>
      </c>
      <c r="F1376" s="27">
        <v>45708</v>
      </c>
      <c r="G1376">
        <v>55</v>
      </c>
      <c r="H1376">
        <v>55</v>
      </c>
      <c r="I1376" t="s">
        <v>788</v>
      </c>
      <c r="J1376" s="27">
        <v>45708</v>
      </c>
      <c r="L1376" s="29">
        <v>632.18390812500002</v>
      </c>
      <c r="M1376" s="29">
        <v>34770.114946875001</v>
      </c>
      <c r="N1376" s="15">
        <v>45689</v>
      </c>
    </row>
    <row r="1377" spans="1:14" x14ac:dyDescent="0.25">
      <c r="A1377">
        <v>382456</v>
      </c>
      <c r="B1377" t="s">
        <v>28</v>
      </c>
      <c r="C1377">
        <v>51263</v>
      </c>
      <c r="D1377" t="s">
        <v>27</v>
      </c>
      <c r="E1377" t="s">
        <v>22</v>
      </c>
      <c r="F1377" s="27">
        <v>45708</v>
      </c>
      <c r="G1377">
        <v>2.5</v>
      </c>
      <c r="H1377">
        <v>2.5</v>
      </c>
      <c r="I1377" t="s">
        <v>789</v>
      </c>
      <c r="J1377" s="27">
        <v>45708</v>
      </c>
      <c r="L1377" s="29">
        <v>632.18390812500002</v>
      </c>
      <c r="M1377" s="29">
        <v>1580.4597703125</v>
      </c>
      <c r="N1377" s="15">
        <v>45689</v>
      </c>
    </row>
    <row r="1378" spans="1:14" x14ac:dyDescent="0.25">
      <c r="A1378">
        <v>390203</v>
      </c>
      <c r="B1378" t="s">
        <v>35</v>
      </c>
      <c r="C1378">
        <v>47615</v>
      </c>
      <c r="D1378" t="s">
        <v>25</v>
      </c>
      <c r="E1378" t="s">
        <v>22</v>
      </c>
      <c r="F1378" s="27">
        <v>45707</v>
      </c>
      <c r="G1378">
        <v>8</v>
      </c>
      <c r="H1378">
        <v>8</v>
      </c>
      <c r="I1378" t="s">
        <v>728</v>
      </c>
      <c r="J1378" s="27">
        <v>45727</v>
      </c>
      <c r="L1378" s="29">
        <v>1185.3448275000001</v>
      </c>
      <c r="M1378" s="29">
        <v>9482.7586200000005</v>
      </c>
      <c r="N1378" s="15">
        <v>45689</v>
      </c>
    </row>
    <row r="1379" spans="1:14" x14ac:dyDescent="0.25">
      <c r="A1379">
        <v>393833</v>
      </c>
      <c r="B1379" t="s">
        <v>35</v>
      </c>
      <c r="C1379">
        <v>47569</v>
      </c>
      <c r="D1379" t="s">
        <v>21</v>
      </c>
      <c r="E1379" t="s">
        <v>22</v>
      </c>
      <c r="F1379" s="27">
        <v>45707</v>
      </c>
      <c r="G1379">
        <v>5</v>
      </c>
      <c r="H1379">
        <v>5</v>
      </c>
      <c r="I1379" t="s">
        <v>790</v>
      </c>
      <c r="J1379" s="27">
        <v>45737</v>
      </c>
      <c r="L1379" s="29">
        <v>1778.0172412500001</v>
      </c>
      <c r="M1379" s="29">
        <v>8890.08620625</v>
      </c>
      <c r="N1379" s="15">
        <v>45689</v>
      </c>
    </row>
    <row r="1380" spans="1:14" x14ac:dyDescent="0.25">
      <c r="A1380">
        <v>393834</v>
      </c>
      <c r="B1380" t="s">
        <v>35</v>
      </c>
      <c r="C1380">
        <v>47572</v>
      </c>
      <c r="D1380" t="s">
        <v>21</v>
      </c>
      <c r="E1380" t="s">
        <v>22</v>
      </c>
      <c r="F1380" s="27">
        <v>45707</v>
      </c>
      <c r="G1380">
        <v>1.5</v>
      </c>
      <c r="H1380">
        <v>1.5</v>
      </c>
      <c r="I1380" t="s">
        <v>791</v>
      </c>
      <c r="J1380" s="27">
        <v>45737</v>
      </c>
      <c r="L1380" s="29">
        <v>1778.0172412500001</v>
      </c>
      <c r="M1380" s="29">
        <v>2667.0258618750004</v>
      </c>
      <c r="N1380" s="15">
        <v>45689</v>
      </c>
    </row>
    <row r="1381" spans="1:14" x14ac:dyDescent="0.25">
      <c r="A1381">
        <v>393839</v>
      </c>
      <c r="B1381" t="s">
        <v>20</v>
      </c>
      <c r="C1381">
        <v>46185</v>
      </c>
      <c r="D1381" t="s">
        <v>21</v>
      </c>
      <c r="E1381" t="s">
        <v>22</v>
      </c>
      <c r="F1381" s="27">
        <v>45707</v>
      </c>
      <c r="G1381">
        <v>1.5</v>
      </c>
      <c r="H1381">
        <v>1.5</v>
      </c>
      <c r="I1381" t="s">
        <v>792</v>
      </c>
      <c r="J1381" s="27">
        <v>45737</v>
      </c>
      <c r="L1381" s="29">
        <v>1778.0172412500001</v>
      </c>
      <c r="M1381" s="29">
        <v>2667.0258618750004</v>
      </c>
      <c r="N1381" s="15">
        <v>45689</v>
      </c>
    </row>
    <row r="1382" spans="1:14" x14ac:dyDescent="0.25">
      <c r="A1382">
        <v>412277</v>
      </c>
      <c r="B1382" t="s">
        <v>35</v>
      </c>
      <c r="C1382">
        <v>47569</v>
      </c>
      <c r="D1382" t="s">
        <v>30</v>
      </c>
      <c r="E1382" t="s">
        <v>22</v>
      </c>
      <c r="F1382" s="27">
        <v>45707</v>
      </c>
      <c r="G1382">
        <v>8</v>
      </c>
      <c r="H1382">
        <v>8</v>
      </c>
      <c r="I1382" t="s">
        <v>494</v>
      </c>
      <c r="J1382" s="27">
        <v>45777</v>
      </c>
      <c r="L1382" s="29">
        <v>632.18390812500002</v>
      </c>
      <c r="M1382" s="29">
        <v>5057.4712650000001</v>
      </c>
      <c r="N1382" s="15">
        <v>45689</v>
      </c>
    </row>
    <row r="1383" spans="1:14" x14ac:dyDescent="0.25">
      <c r="A1383">
        <v>381837</v>
      </c>
      <c r="B1383" t="s">
        <v>28</v>
      </c>
      <c r="C1383">
        <v>51251</v>
      </c>
      <c r="D1383" t="s">
        <v>33</v>
      </c>
      <c r="E1383" t="s">
        <v>22</v>
      </c>
      <c r="F1383" s="27">
        <v>45707</v>
      </c>
      <c r="G1383">
        <v>22</v>
      </c>
      <c r="H1383">
        <v>22</v>
      </c>
      <c r="I1383" t="s">
        <v>793</v>
      </c>
      <c r="J1383" s="27">
        <v>45707</v>
      </c>
      <c r="L1383" s="29">
        <v>1580.4597699999999</v>
      </c>
      <c r="M1383" s="29">
        <v>34770.114939999999</v>
      </c>
      <c r="N1383" s="15">
        <v>45689</v>
      </c>
    </row>
    <row r="1384" spans="1:14" x14ac:dyDescent="0.25">
      <c r="A1384">
        <v>383383</v>
      </c>
      <c r="B1384" t="s">
        <v>35</v>
      </c>
      <c r="C1384">
        <v>47572</v>
      </c>
      <c r="D1384" t="s">
        <v>36</v>
      </c>
      <c r="E1384" t="s">
        <v>22</v>
      </c>
      <c r="F1384" s="27">
        <v>45707</v>
      </c>
      <c r="G1384">
        <v>8</v>
      </c>
      <c r="H1384">
        <v>8</v>
      </c>
      <c r="I1384" t="s">
        <v>746</v>
      </c>
      <c r="J1384" s="27">
        <v>45712</v>
      </c>
      <c r="L1384" s="29">
        <v>1896.551724375</v>
      </c>
      <c r="M1384" s="29">
        <v>15172.413795</v>
      </c>
      <c r="N1384" s="15">
        <v>45689</v>
      </c>
    </row>
    <row r="1385" spans="1:14" x14ac:dyDescent="0.25">
      <c r="A1385">
        <v>415644</v>
      </c>
      <c r="B1385" t="s">
        <v>35</v>
      </c>
      <c r="C1385">
        <v>47572</v>
      </c>
      <c r="D1385" t="s">
        <v>42</v>
      </c>
      <c r="E1385" t="s">
        <v>22</v>
      </c>
      <c r="F1385" s="27">
        <v>45707</v>
      </c>
      <c r="G1385">
        <v>1</v>
      </c>
      <c r="H1385">
        <v>1</v>
      </c>
      <c r="I1385" t="s">
        <v>794</v>
      </c>
      <c r="J1385" s="27">
        <v>45789</v>
      </c>
      <c r="L1385" s="29">
        <v>1418</v>
      </c>
      <c r="M1385" s="29">
        <v>1418</v>
      </c>
      <c r="N1385" s="15">
        <v>45689</v>
      </c>
    </row>
    <row r="1386" spans="1:14" x14ac:dyDescent="0.25">
      <c r="A1386">
        <v>415645</v>
      </c>
      <c r="B1386" t="s">
        <v>35</v>
      </c>
      <c r="C1386">
        <v>47614</v>
      </c>
      <c r="D1386" t="s">
        <v>42</v>
      </c>
      <c r="E1386" t="s">
        <v>22</v>
      </c>
      <c r="F1386" s="27">
        <v>45707</v>
      </c>
      <c r="G1386">
        <v>1</v>
      </c>
      <c r="H1386">
        <v>1</v>
      </c>
      <c r="I1386" t="s">
        <v>795</v>
      </c>
      <c r="J1386" s="27">
        <v>45789</v>
      </c>
      <c r="L1386" s="29">
        <v>1418</v>
      </c>
      <c r="M1386" s="29">
        <v>1418</v>
      </c>
      <c r="N1386" s="15">
        <v>45689</v>
      </c>
    </row>
    <row r="1387" spans="1:14" x14ac:dyDescent="0.25">
      <c r="A1387">
        <v>382455</v>
      </c>
      <c r="B1387" t="s">
        <v>28</v>
      </c>
      <c r="C1387">
        <v>51263</v>
      </c>
      <c r="D1387" t="s">
        <v>27</v>
      </c>
      <c r="E1387" t="s">
        <v>22</v>
      </c>
      <c r="F1387" s="27">
        <v>45707</v>
      </c>
      <c r="G1387">
        <v>6.5</v>
      </c>
      <c r="H1387">
        <v>6.5</v>
      </c>
      <c r="I1387" t="s">
        <v>796</v>
      </c>
      <c r="J1387" s="27">
        <v>45708</v>
      </c>
      <c r="L1387" s="29">
        <v>632.18390812500002</v>
      </c>
      <c r="M1387" s="29">
        <v>4109.1954028125001</v>
      </c>
      <c r="N1387" s="15">
        <v>45689</v>
      </c>
    </row>
    <row r="1388" spans="1:14" x14ac:dyDescent="0.25">
      <c r="A1388">
        <v>390202</v>
      </c>
      <c r="B1388" t="s">
        <v>35</v>
      </c>
      <c r="C1388">
        <v>47615</v>
      </c>
      <c r="D1388" t="s">
        <v>25</v>
      </c>
      <c r="E1388" t="s">
        <v>22</v>
      </c>
      <c r="F1388" s="27">
        <v>45706</v>
      </c>
      <c r="G1388">
        <v>8</v>
      </c>
      <c r="H1388">
        <v>8</v>
      </c>
      <c r="I1388" t="s">
        <v>728</v>
      </c>
      <c r="J1388" s="27">
        <v>45727</v>
      </c>
      <c r="L1388" s="29">
        <v>1185.3448275000001</v>
      </c>
      <c r="M1388" s="29">
        <v>9482.7586200000005</v>
      </c>
      <c r="N1388" s="15">
        <v>45689</v>
      </c>
    </row>
    <row r="1389" spans="1:14" x14ac:dyDescent="0.25">
      <c r="A1389">
        <v>393829</v>
      </c>
      <c r="B1389" t="s">
        <v>35</v>
      </c>
      <c r="C1389">
        <v>47537</v>
      </c>
      <c r="D1389" t="s">
        <v>21</v>
      </c>
      <c r="E1389" t="s">
        <v>22</v>
      </c>
      <c r="F1389" s="27">
        <v>45706</v>
      </c>
      <c r="G1389">
        <v>1</v>
      </c>
      <c r="H1389">
        <v>1</v>
      </c>
      <c r="I1389" t="s">
        <v>797</v>
      </c>
      <c r="J1389" s="27">
        <v>45737</v>
      </c>
      <c r="L1389" s="29">
        <v>1778.0172412500001</v>
      </c>
      <c r="M1389" s="29">
        <v>1778.0172412500001</v>
      </c>
      <c r="N1389" s="15">
        <v>45689</v>
      </c>
    </row>
    <row r="1390" spans="1:14" x14ac:dyDescent="0.25">
      <c r="A1390">
        <v>393831</v>
      </c>
      <c r="B1390" t="s">
        <v>35</v>
      </c>
      <c r="C1390">
        <v>47569</v>
      </c>
      <c r="D1390" t="s">
        <v>21</v>
      </c>
      <c r="E1390" t="s">
        <v>22</v>
      </c>
      <c r="F1390" s="27">
        <v>45706</v>
      </c>
      <c r="G1390">
        <v>4</v>
      </c>
      <c r="H1390">
        <v>4</v>
      </c>
      <c r="I1390" t="s">
        <v>798</v>
      </c>
      <c r="J1390" s="27">
        <v>45737</v>
      </c>
      <c r="L1390" s="29">
        <v>1778.0172412500001</v>
      </c>
      <c r="M1390" s="29">
        <v>7112.0689650000004</v>
      </c>
      <c r="N1390" s="15">
        <v>45689</v>
      </c>
    </row>
    <row r="1391" spans="1:14" x14ac:dyDescent="0.25">
      <c r="A1391">
        <v>393832</v>
      </c>
      <c r="B1391" t="s">
        <v>35</v>
      </c>
      <c r="C1391">
        <v>47572</v>
      </c>
      <c r="D1391" t="s">
        <v>21</v>
      </c>
      <c r="E1391" t="s">
        <v>22</v>
      </c>
      <c r="F1391" s="27">
        <v>45706</v>
      </c>
      <c r="G1391">
        <v>3</v>
      </c>
      <c r="H1391">
        <v>3</v>
      </c>
      <c r="I1391" t="s">
        <v>799</v>
      </c>
      <c r="J1391" s="27">
        <v>45737</v>
      </c>
      <c r="L1391" s="29">
        <v>1778.0172412500001</v>
      </c>
      <c r="M1391" s="29">
        <v>5334.0517237500007</v>
      </c>
      <c r="N1391" s="15">
        <v>45689</v>
      </c>
    </row>
    <row r="1392" spans="1:14" x14ac:dyDescent="0.25">
      <c r="A1392">
        <v>412275</v>
      </c>
      <c r="B1392" t="s">
        <v>35</v>
      </c>
      <c r="C1392">
        <v>47569</v>
      </c>
      <c r="D1392" t="s">
        <v>30</v>
      </c>
      <c r="E1392" t="s">
        <v>22</v>
      </c>
      <c r="F1392" s="27">
        <v>45706</v>
      </c>
      <c r="G1392">
        <v>8</v>
      </c>
      <c r="H1392">
        <v>8</v>
      </c>
      <c r="I1392" t="s">
        <v>494</v>
      </c>
      <c r="J1392" s="27">
        <v>45777</v>
      </c>
      <c r="L1392" s="29">
        <v>632.18390812500002</v>
      </c>
      <c r="M1392" s="29">
        <v>5057.4712650000001</v>
      </c>
      <c r="N1392" s="15">
        <v>45689</v>
      </c>
    </row>
    <row r="1393" spans="1:14" x14ac:dyDescent="0.25">
      <c r="A1393">
        <v>415643</v>
      </c>
      <c r="B1393" t="s">
        <v>35</v>
      </c>
      <c r="C1393">
        <v>47614</v>
      </c>
      <c r="D1393" t="s">
        <v>42</v>
      </c>
      <c r="E1393" t="s">
        <v>22</v>
      </c>
      <c r="F1393" s="27">
        <v>45706</v>
      </c>
      <c r="G1393">
        <v>4</v>
      </c>
      <c r="H1393">
        <v>4</v>
      </c>
      <c r="I1393">
        <v>1137</v>
      </c>
      <c r="J1393" s="27">
        <v>45789</v>
      </c>
      <c r="L1393" s="29">
        <v>1418</v>
      </c>
      <c r="M1393" s="29">
        <v>5672</v>
      </c>
      <c r="N1393" s="15">
        <v>45689</v>
      </c>
    </row>
    <row r="1394" spans="1:14" x14ac:dyDescent="0.25">
      <c r="A1394">
        <v>381610</v>
      </c>
      <c r="B1394" t="s">
        <v>35</v>
      </c>
      <c r="C1394">
        <v>47537</v>
      </c>
      <c r="D1394" t="s">
        <v>36</v>
      </c>
      <c r="E1394" t="s">
        <v>22</v>
      </c>
      <c r="F1394" s="27">
        <v>45706</v>
      </c>
      <c r="G1394">
        <v>1</v>
      </c>
      <c r="H1394">
        <v>1</v>
      </c>
      <c r="I1394" t="s">
        <v>800</v>
      </c>
      <c r="J1394" s="27">
        <v>45706</v>
      </c>
      <c r="L1394" s="29">
        <v>1896.551724375</v>
      </c>
      <c r="M1394" s="29">
        <v>1896.551724375</v>
      </c>
      <c r="N1394" s="15">
        <v>45689</v>
      </c>
    </row>
    <row r="1395" spans="1:14" x14ac:dyDescent="0.25">
      <c r="A1395">
        <v>381611</v>
      </c>
      <c r="B1395" t="s">
        <v>35</v>
      </c>
      <c r="C1395">
        <v>47569</v>
      </c>
      <c r="D1395" t="s">
        <v>36</v>
      </c>
      <c r="E1395" t="s">
        <v>22</v>
      </c>
      <c r="F1395" s="27">
        <v>45706</v>
      </c>
      <c r="G1395">
        <v>2</v>
      </c>
      <c r="H1395">
        <v>2</v>
      </c>
      <c r="I1395" t="s">
        <v>801</v>
      </c>
      <c r="J1395" s="27">
        <v>45706</v>
      </c>
      <c r="L1395" s="29">
        <v>1896.551724375</v>
      </c>
      <c r="M1395" s="29">
        <v>3793.1034487500001</v>
      </c>
      <c r="N1395" s="15">
        <v>45689</v>
      </c>
    </row>
    <row r="1396" spans="1:14" x14ac:dyDescent="0.25">
      <c r="A1396">
        <v>381612</v>
      </c>
      <c r="B1396" t="s">
        <v>35</v>
      </c>
      <c r="C1396">
        <v>47572</v>
      </c>
      <c r="D1396" t="s">
        <v>36</v>
      </c>
      <c r="E1396" t="s">
        <v>22</v>
      </c>
      <c r="F1396" s="27">
        <v>45706</v>
      </c>
      <c r="G1396">
        <v>5</v>
      </c>
      <c r="H1396">
        <v>5</v>
      </c>
      <c r="I1396" t="s">
        <v>802</v>
      </c>
      <c r="J1396" s="27">
        <v>45706</v>
      </c>
      <c r="L1396" s="29">
        <v>1896.551724375</v>
      </c>
      <c r="M1396" s="29">
        <v>9482.7586218750002</v>
      </c>
      <c r="N1396" s="15">
        <v>45689</v>
      </c>
    </row>
    <row r="1397" spans="1:14" x14ac:dyDescent="0.25">
      <c r="A1397">
        <v>390201</v>
      </c>
      <c r="B1397" t="s">
        <v>35</v>
      </c>
      <c r="C1397">
        <v>47615</v>
      </c>
      <c r="D1397" t="s">
        <v>25</v>
      </c>
      <c r="E1397" t="s">
        <v>22</v>
      </c>
      <c r="F1397" s="27">
        <v>45705</v>
      </c>
      <c r="G1397">
        <v>8</v>
      </c>
      <c r="H1397">
        <v>8</v>
      </c>
      <c r="I1397" t="s">
        <v>728</v>
      </c>
      <c r="J1397" s="27">
        <v>45727</v>
      </c>
      <c r="L1397" s="29">
        <v>1185.3448275000001</v>
      </c>
      <c r="M1397" s="29">
        <v>9482.7586200000005</v>
      </c>
      <c r="N1397" s="15">
        <v>45689</v>
      </c>
    </row>
    <row r="1398" spans="1:14" x14ac:dyDescent="0.25">
      <c r="A1398">
        <v>394077</v>
      </c>
      <c r="B1398" t="s">
        <v>35</v>
      </c>
      <c r="C1398">
        <v>52114</v>
      </c>
      <c r="D1398" t="s">
        <v>37</v>
      </c>
      <c r="E1398" t="s">
        <v>22</v>
      </c>
      <c r="F1398" s="27">
        <v>45705</v>
      </c>
      <c r="G1398">
        <v>4</v>
      </c>
      <c r="H1398">
        <v>4</v>
      </c>
      <c r="I1398" t="s">
        <v>493</v>
      </c>
      <c r="J1398" s="27">
        <v>45737</v>
      </c>
      <c r="L1398" s="29">
        <v>316.09195375000002</v>
      </c>
      <c r="M1398" s="29">
        <v>1264.3678150000001</v>
      </c>
      <c r="N1398" s="15">
        <v>45689</v>
      </c>
    </row>
    <row r="1399" spans="1:14" x14ac:dyDescent="0.25">
      <c r="A1399">
        <v>393824</v>
      </c>
      <c r="B1399" t="s">
        <v>35</v>
      </c>
      <c r="C1399">
        <v>47572</v>
      </c>
      <c r="D1399" t="s">
        <v>21</v>
      </c>
      <c r="E1399" t="s">
        <v>22</v>
      </c>
      <c r="F1399" s="27">
        <v>45705</v>
      </c>
      <c r="G1399">
        <v>1</v>
      </c>
      <c r="H1399">
        <v>1</v>
      </c>
      <c r="I1399" t="s">
        <v>803</v>
      </c>
      <c r="J1399" s="27">
        <v>45737</v>
      </c>
      <c r="L1399" s="29">
        <v>1778.0172412500001</v>
      </c>
      <c r="M1399" s="29">
        <v>1778.0172412500001</v>
      </c>
      <c r="N1399" s="15">
        <v>45689</v>
      </c>
    </row>
    <row r="1400" spans="1:14" x14ac:dyDescent="0.25">
      <c r="A1400">
        <v>393825</v>
      </c>
      <c r="B1400" t="s">
        <v>35</v>
      </c>
      <c r="C1400">
        <v>47572</v>
      </c>
      <c r="D1400" t="s">
        <v>21</v>
      </c>
      <c r="E1400" t="s">
        <v>22</v>
      </c>
      <c r="F1400" s="27">
        <v>45705</v>
      </c>
      <c r="G1400">
        <v>1</v>
      </c>
      <c r="H1400">
        <v>1</v>
      </c>
      <c r="I1400" t="s">
        <v>699</v>
      </c>
      <c r="J1400" s="27">
        <v>45737</v>
      </c>
      <c r="L1400" s="29">
        <v>1778.0172412500001</v>
      </c>
      <c r="M1400" s="29">
        <v>1778.0172412500001</v>
      </c>
      <c r="N1400" s="15">
        <v>45689</v>
      </c>
    </row>
    <row r="1401" spans="1:14" x14ac:dyDescent="0.25">
      <c r="A1401">
        <v>393826</v>
      </c>
      <c r="B1401" t="s">
        <v>35</v>
      </c>
      <c r="C1401">
        <v>47572</v>
      </c>
      <c r="D1401" t="s">
        <v>21</v>
      </c>
      <c r="E1401" t="s">
        <v>22</v>
      </c>
      <c r="F1401" s="27">
        <v>45705</v>
      </c>
      <c r="G1401">
        <v>1</v>
      </c>
      <c r="H1401">
        <v>1</v>
      </c>
      <c r="I1401" t="s">
        <v>804</v>
      </c>
      <c r="J1401" s="27">
        <v>45737</v>
      </c>
      <c r="L1401" s="29">
        <v>1778.0172412500001</v>
      </c>
      <c r="M1401" s="29">
        <v>1778.0172412500001</v>
      </c>
      <c r="N1401" s="15">
        <v>45689</v>
      </c>
    </row>
    <row r="1402" spans="1:14" x14ac:dyDescent="0.25">
      <c r="A1402">
        <v>393828</v>
      </c>
      <c r="B1402" t="s">
        <v>35</v>
      </c>
      <c r="C1402">
        <v>47569</v>
      </c>
      <c r="D1402" t="s">
        <v>21</v>
      </c>
      <c r="E1402" t="s">
        <v>22</v>
      </c>
      <c r="F1402" s="27">
        <v>45705</v>
      </c>
      <c r="G1402">
        <v>5</v>
      </c>
      <c r="H1402">
        <v>5</v>
      </c>
      <c r="I1402" t="s">
        <v>805</v>
      </c>
      <c r="J1402" s="27">
        <v>45737</v>
      </c>
      <c r="L1402" s="29">
        <v>1778.0172412500001</v>
      </c>
      <c r="M1402" s="29">
        <v>8890.08620625</v>
      </c>
      <c r="N1402" s="15">
        <v>45689</v>
      </c>
    </row>
    <row r="1403" spans="1:14" x14ac:dyDescent="0.25">
      <c r="A1403">
        <v>412274</v>
      </c>
      <c r="B1403" t="s">
        <v>35</v>
      </c>
      <c r="C1403">
        <v>47569</v>
      </c>
      <c r="D1403" t="s">
        <v>30</v>
      </c>
      <c r="E1403" t="s">
        <v>22</v>
      </c>
      <c r="F1403" s="27">
        <v>45705</v>
      </c>
      <c r="G1403">
        <v>8</v>
      </c>
      <c r="H1403">
        <v>8</v>
      </c>
      <c r="I1403" t="s">
        <v>494</v>
      </c>
      <c r="J1403" s="27">
        <v>45777</v>
      </c>
      <c r="L1403" s="29">
        <v>632.18390812500002</v>
      </c>
      <c r="M1403" s="29">
        <v>5057.4712650000001</v>
      </c>
      <c r="N1403" s="15">
        <v>45689</v>
      </c>
    </row>
    <row r="1404" spans="1:14" x14ac:dyDescent="0.25">
      <c r="A1404">
        <v>415639</v>
      </c>
      <c r="B1404" t="s">
        <v>35</v>
      </c>
      <c r="C1404">
        <v>47614</v>
      </c>
      <c r="D1404" t="s">
        <v>42</v>
      </c>
      <c r="E1404" t="s">
        <v>22</v>
      </c>
      <c r="F1404" s="27">
        <v>45705</v>
      </c>
      <c r="G1404">
        <v>3</v>
      </c>
      <c r="H1404">
        <v>3</v>
      </c>
      <c r="I1404">
        <v>1134</v>
      </c>
      <c r="J1404" s="27">
        <v>45789</v>
      </c>
      <c r="L1404" s="29">
        <v>1418</v>
      </c>
      <c r="M1404" s="29">
        <v>4254</v>
      </c>
      <c r="N1404" s="15">
        <v>45689</v>
      </c>
    </row>
    <row r="1405" spans="1:14" x14ac:dyDescent="0.25">
      <c r="A1405">
        <v>415640</v>
      </c>
      <c r="B1405" t="s">
        <v>35</v>
      </c>
      <c r="C1405">
        <v>47572</v>
      </c>
      <c r="D1405" t="s">
        <v>42</v>
      </c>
      <c r="E1405" t="s">
        <v>22</v>
      </c>
      <c r="F1405" s="27">
        <v>45705</v>
      </c>
      <c r="G1405">
        <v>0.5</v>
      </c>
      <c r="H1405">
        <v>0.5</v>
      </c>
      <c r="I1405" t="s">
        <v>621</v>
      </c>
      <c r="J1405" s="27">
        <v>45789</v>
      </c>
      <c r="L1405" s="29">
        <v>1418</v>
      </c>
      <c r="M1405" s="29">
        <v>709</v>
      </c>
      <c r="N1405" s="15">
        <v>45689</v>
      </c>
    </row>
    <row r="1406" spans="1:14" x14ac:dyDescent="0.25">
      <c r="A1406">
        <v>415641</v>
      </c>
      <c r="B1406" t="s">
        <v>35</v>
      </c>
      <c r="C1406">
        <v>47614</v>
      </c>
      <c r="D1406" t="s">
        <v>42</v>
      </c>
      <c r="E1406" t="s">
        <v>22</v>
      </c>
      <c r="F1406" s="27">
        <v>45705</v>
      </c>
      <c r="G1406">
        <v>2</v>
      </c>
      <c r="H1406">
        <v>2</v>
      </c>
      <c r="I1406">
        <v>1136</v>
      </c>
      <c r="J1406" s="27">
        <v>45789</v>
      </c>
      <c r="L1406" s="29">
        <v>1418</v>
      </c>
      <c r="M1406" s="29">
        <v>2836</v>
      </c>
      <c r="N1406" s="15">
        <v>45689</v>
      </c>
    </row>
    <row r="1407" spans="1:14" x14ac:dyDescent="0.25">
      <c r="A1407">
        <v>415642</v>
      </c>
      <c r="B1407" t="s">
        <v>35</v>
      </c>
      <c r="C1407">
        <v>47614</v>
      </c>
      <c r="D1407" t="s">
        <v>42</v>
      </c>
      <c r="E1407" t="s">
        <v>22</v>
      </c>
      <c r="F1407" s="27">
        <v>45705</v>
      </c>
      <c r="G1407">
        <v>2</v>
      </c>
      <c r="H1407">
        <v>2</v>
      </c>
      <c r="I1407">
        <v>1135</v>
      </c>
      <c r="J1407" s="27">
        <v>45789</v>
      </c>
      <c r="L1407" s="29">
        <v>1418</v>
      </c>
      <c r="M1407" s="29">
        <v>2836</v>
      </c>
      <c r="N1407" s="15">
        <v>45689</v>
      </c>
    </row>
    <row r="1408" spans="1:14" x14ac:dyDescent="0.25">
      <c r="A1408">
        <v>381608</v>
      </c>
      <c r="B1408" t="s">
        <v>35</v>
      </c>
      <c r="C1408">
        <v>47568</v>
      </c>
      <c r="D1408" t="s">
        <v>36</v>
      </c>
      <c r="E1408" t="s">
        <v>22</v>
      </c>
      <c r="F1408" s="27">
        <v>45705</v>
      </c>
      <c r="G1408">
        <v>1.5</v>
      </c>
      <c r="H1408">
        <v>1.5</v>
      </c>
      <c r="I1408" t="s">
        <v>806</v>
      </c>
      <c r="J1408" s="27">
        <v>45706</v>
      </c>
      <c r="L1408" s="29">
        <v>1896.551724375</v>
      </c>
      <c r="M1408" s="29">
        <v>2844.8275865625001</v>
      </c>
      <c r="N1408" s="15">
        <v>45689</v>
      </c>
    </row>
    <row r="1409" spans="1:14" x14ac:dyDescent="0.25">
      <c r="A1409">
        <v>381609</v>
      </c>
      <c r="B1409" t="s">
        <v>35</v>
      </c>
      <c r="C1409">
        <v>47572</v>
      </c>
      <c r="D1409" t="s">
        <v>36</v>
      </c>
      <c r="E1409" t="s">
        <v>22</v>
      </c>
      <c r="F1409" s="27">
        <v>45705</v>
      </c>
      <c r="G1409">
        <v>6.5</v>
      </c>
      <c r="H1409">
        <v>6.5</v>
      </c>
      <c r="I1409" t="s">
        <v>807</v>
      </c>
      <c r="J1409" s="27">
        <v>45706</v>
      </c>
      <c r="L1409" s="29">
        <v>1896.551724375</v>
      </c>
      <c r="M1409" s="29">
        <v>12327.5862084375</v>
      </c>
      <c r="N1409" s="15">
        <v>45689</v>
      </c>
    </row>
    <row r="1410" spans="1:14" x14ac:dyDescent="0.25">
      <c r="A1410">
        <v>390200</v>
      </c>
      <c r="B1410" t="s">
        <v>35</v>
      </c>
      <c r="C1410">
        <v>47615</v>
      </c>
      <c r="D1410" t="s">
        <v>25</v>
      </c>
      <c r="E1410" t="s">
        <v>22</v>
      </c>
      <c r="F1410" s="27">
        <v>45702</v>
      </c>
      <c r="G1410">
        <v>8</v>
      </c>
      <c r="H1410">
        <v>8</v>
      </c>
      <c r="I1410" t="s">
        <v>728</v>
      </c>
      <c r="J1410" s="27">
        <v>45727</v>
      </c>
      <c r="L1410" s="29">
        <v>1185.3448275000001</v>
      </c>
      <c r="M1410" s="29">
        <v>9482.7586200000005</v>
      </c>
      <c r="N1410" s="15">
        <v>45689</v>
      </c>
    </row>
    <row r="1411" spans="1:14" x14ac:dyDescent="0.25">
      <c r="A1411">
        <v>380989</v>
      </c>
      <c r="B1411" t="s">
        <v>35</v>
      </c>
      <c r="C1411">
        <v>47572</v>
      </c>
      <c r="D1411" t="s">
        <v>36</v>
      </c>
      <c r="E1411" t="s">
        <v>22</v>
      </c>
      <c r="F1411" s="27">
        <v>45702</v>
      </c>
      <c r="G1411">
        <v>8</v>
      </c>
      <c r="H1411">
        <v>8</v>
      </c>
      <c r="I1411" t="s">
        <v>808</v>
      </c>
      <c r="J1411" s="27">
        <v>45705</v>
      </c>
      <c r="L1411" s="29">
        <v>1896.551724375</v>
      </c>
      <c r="M1411" s="29">
        <v>15172.413795</v>
      </c>
      <c r="N1411" s="15">
        <v>45689</v>
      </c>
    </row>
    <row r="1412" spans="1:14" x14ac:dyDescent="0.25">
      <c r="A1412">
        <v>393816</v>
      </c>
      <c r="B1412" t="s">
        <v>20</v>
      </c>
      <c r="C1412">
        <v>46185</v>
      </c>
      <c r="D1412" t="s">
        <v>21</v>
      </c>
      <c r="E1412" t="s">
        <v>22</v>
      </c>
      <c r="F1412" s="27">
        <v>45702</v>
      </c>
      <c r="G1412">
        <v>5</v>
      </c>
      <c r="H1412">
        <v>5</v>
      </c>
      <c r="I1412" t="s">
        <v>707</v>
      </c>
      <c r="J1412" s="27">
        <v>45737</v>
      </c>
      <c r="L1412" s="29">
        <v>1778.0172412500001</v>
      </c>
      <c r="M1412" s="29">
        <v>8890.08620625</v>
      </c>
      <c r="N1412" s="15">
        <v>45689</v>
      </c>
    </row>
    <row r="1413" spans="1:14" x14ac:dyDescent="0.25">
      <c r="A1413">
        <v>382552</v>
      </c>
      <c r="B1413" t="s">
        <v>35</v>
      </c>
      <c r="C1413">
        <v>47570</v>
      </c>
      <c r="D1413" t="s">
        <v>33</v>
      </c>
      <c r="E1413" t="s">
        <v>22</v>
      </c>
      <c r="F1413" s="27">
        <v>45702</v>
      </c>
      <c r="G1413">
        <v>88</v>
      </c>
      <c r="H1413">
        <v>88</v>
      </c>
      <c r="I1413" t="s">
        <v>809</v>
      </c>
      <c r="J1413" s="27">
        <v>45709</v>
      </c>
      <c r="L1413" s="29">
        <v>1580.4597699999999</v>
      </c>
      <c r="M1413" s="29">
        <v>139080.45976</v>
      </c>
      <c r="N1413" s="15">
        <v>45689</v>
      </c>
    </row>
    <row r="1414" spans="1:14" x14ac:dyDescent="0.25">
      <c r="A1414">
        <v>393819</v>
      </c>
      <c r="B1414" t="s">
        <v>20</v>
      </c>
      <c r="C1414">
        <v>51353</v>
      </c>
      <c r="D1414" t="s">
        <v>21</v>
      </c>
      <c r="E1414" t="s">
        <v>22</v>
      </c>
      <c r="F1414" s="27">
        <v>45702</v>
      </c>
      <c r="G1414">
        <v>3</v>
      </c>
      <c r="H1414">
        <v>3</v>
      </c>
      <c r="I1414" t="s">
        <v>810</v>
      </c>
      <c r="J1414" s="27">
        <v>45737</v>
      </c>
      <c r="L1414" s="29">
        <v>1778.0172412500001</v>
      </c>
      <c r="M1414" s="29">
        <v>5334.0517237500007</v>
      </c>
      <c r="N1414" s="15">
        <v>45689</v>
      </c>
    </row>
    <row r="1415" spans="1:14" x14ac:dyDescent="0.25">
      <c r="A1415">
        <v>394076</v>
      </c>
      <c r="B1415" t="s">
        <v>35</v>
      </c>
      <c r="C1415">
        <v>52114</v>
      </c>
      <c r="D1415" t="s">
        <v>37</v>
      </c>
      <c r="E1415" t="s">
        <v>22</v>
      </c>
      <c r="F1415" s="27">
        <v>45702</v>
      </c>
      <c r="G1415">
        <v>8</v>
      </c>
      <c r="H1415">
        <v>8</v>
      </c>
      <c r="I1415" t="s">
        <v>493</v>
      </c>
      <c r="J1415" s="27">
        <v>45737</v>
      </c>
      <c r="L1415" s="29">
        <v>316.09195375000002</v>
      </c>
      <c r="M1415" s="29">
        <v>2528.7356300000001</v>
      </c>
      <c r="N1415" s="15">
        <v>45689</v>
      </c>
    </row>
    <row r="1416" spans="1:14" x14ac:dyDescent="0.25">
      <c r="A1416">
        <v>412272</v>
      </c>
      <c r="B1416" t="s">
        <v>35</v>
      </c>
      <c r="C1416">
        <v>47569</v>
      </c>
      <c r="D1416" t="s">
        <v>30</v>
      </c>
      <c r="E1416" t="s">
        <v>22</v>
      </c>
      <c r="F1416" s="27">
        <v>45702</v>
      </c>
      <c r="G1416">
        <v>8</v>
      </c>
      <c r="H1416">
        <v>8</v>
      </c>
      <c r="I1416" t="s">
        <v>494</v>
      </c>
      <c r="J1416" s="27">
        <v>45777</v>
      </c>
      <c r="L1416" s="29">
        <v>632.18390812500002</v>
      </c>
      <c r="M1416" s="29">
        <v>5057.4712650000001</v>
      </c>
      <c r="N1416" s="15">
        <v>45689</v>
      </c>
    </row>
    <row r="1417" spans="1:14" x14ac:dyDescent="0.25">
      <c r="A1417">
        <v>415637</v>
      </c>
      <c r="B1417" t="s">
        <v>35</v>
      </c>
      <c r="C1417">
        <v>47614</v>
      </c>
      <c r="D1417" t="s">
        <v>42</v>
      </c>
      <c r="E1417" t="s">
        <v>22</v>
      </c>
      <c r="F1417" s="27">
        <v>45702</v>
      </c>
      <c r="G1417">
        <v>7</v>
      </c>
      <c r="H1417">
        <v>7</v>
      </c>
      <c r="I1417">
        <v>1134</v>
      </c>
      <c r="J1417" s="27">
        <v>45789</v>
      </c>
      <c r="L1417" s="29">
        <v>1418</v>
      </c>
      <c r="M1417" s="29">
        <v>9926</v>
      </c>
      <c r="N1417" s="15">
        <v>45689</v>
      </c>
    </row>
    <row r="1418" spans="1:14" x14ac:dyDescent="0.25">
      <c r="A1418">
        <v>415638</v>
      </c>
      <c r="B1418" t="s">
        <v>35</v>
      </c>
      <c r="C1418">
        <v>47572</v>
      </c>
      <c r="D1418" t="s">
        <v>42</v>
      </c>
      <c r="E1418" t="s">
        <v>22</v>
      </c>
      <c r="F1418" s="27">
        <v>45702</v>
      </c>
      <c r="G1418">
        <v>1</v>
      </c>
      <c r="H1418">
        <v>1</v>
      </c>
      <c r="I1418">
        <v>1134</v>
      </c>
      <c r="J1418" s="27">
        <v>45789</v>
      </c>
      <c r="L1418" s="29">
        <v>1418</v>
      </c>
      <c r="M1418" s="29">
        <v>1418</v>
      </c>
      <c r="N1418" s="15">
        <v>45689</v>
      </c>
    </row>
    <row r="1419" spans="1:14" x14ac:dyDescent="0.25">
      <c r="A1419">
        <v>381351</v>
      </c>
      <c r="B1419" t="s">
        <v>38</v>
      </c>
      <c r="C1419">
        <v>47707</v>
      </c>
      <c r="D1419" t="s">
        <v>39</v>
      </c>
      <c r="E1419" t="s">
        <v>19</v>
      </c>
      <c r="F1419" s="27">
        <v>45702</v>
      </c>
      <c r="G1419">
        <v>88</v>
      </c>
      <c r="H1419">
        <v>88</v>
      </c>
      <c r="I1419" t="s">
        <v>580</v>
      </c>
      <c r="J1419" s="27">
        <v>45706</v>
      </c>
      <c r="L1419" s="29">
        <v>790.22988499999997</v>
      </c>
      <c r="M1419" s="29">
        <v>69540.229879999999</v>
      </c>
      <c r="N1419" s="15">
        <v>45689</v>
      </c>
    </row>
    <row r="1420" spans="1:14" x14ac:dyDescent="0.25">
      <c r="A1420">
        <v>390199</v>
      </c>
      <c r="B1420" t="s">
        <v>35</v>
      </c>
      <c r="C1420">
        <v>47615</v>
      </c>
      <c r="D1420" t="s">
        <v>25</v>
      </c>
      <c r="E1420" t="s">
        <v>22</v>
      </c>
      <c r="F1420" s="27">
        <v>45701</v>
      </c>
      <c r="G1420">
        <v>8</v>
      </c>
      <c r="H1420">
        <v>8</v>
      </c>
      <c r="I1420" t="s">
        <v>728</v>
      </c>
      <c r="J1420" s="27">
        <v>45727</v>
      </c>
      <c r="L1420" s="29">
        <v>1185.3448275000001</v>
      </c>
      <c r="M1420" s="29">
        <v>9482.7586200000005</v>
      </c>
      <c r="N1420" s="15">
        <v>45689</v>
      </c>
    </row>
    <row r="1421" spans="1:14" x14ac:dyDescent="0.25">
      <c r="A1421">
        <v>380988</v>
      </c>
      <c r="B1421" t="s">
        <v>35</v>
      </c>
      <c r="C1421">
        <v>47572</v>
      </c>
      <c r="D1421" t="s">
        <v>36</v>
      </c>
      <c r="E1421" t="s">
        <v>22</v>
      </c>
      <c r="F1421" s="27">
        <v>45701</v>
      </c>
      <c r="G1421">
        <v>8</v>
      </c>
      <c r="H1421">
        <v>8</v>
      </c>
      <c r="I1421" t="s">
        <v>808</v>
      </c>
      <c r="J1421" s="27">
        <v>45705</v>
      </c>
      <c r="L1421" s="29">
        <v>1896.551724375</v>
      </c>
      <c r="M1421" s="29">
        <v>15172.413795</v>
      </c>
      <c r="N1421" s="15">
        <v>45689</v>
      </c>
    </row>
    <row r="1422" spans="1:14" x14ac:dyDescent="0.25">
      <c r="A1422">
        <v>393809</v>
      </c>
      <c r="B1422" t="s">
        <v>35</v>
      </c>
      <c r="C1422">
        <v>47572</v>
      </c>
      <c r="D1422" t="s">
        <v>21</v>
      </c>
      <c r="E1422" t="s">
        <v>22</v>
      </c>
      <c r="F1422" s="27">
        <v>45701</v>
      </c>
      <c r="G1422">
        <v>1</v>
      </c>
      <c r="H1422">
        <v>1</v>
      </c>
      <c r="I1422" t="s">
        <v>811</v>
      </c>
      <c r="J1422" s="27">
        <v>45737</v>
      </c>
      <c r="L1422" s="29">
        <v>1778.0172412500001</v>
      </c>
      <c r="M1422" s="29">
        <v>1778.0172412500001</v>
      </c>
      <c r="N1422" s="15">
        <v>45689</v>
      </c>
    </row>
    <row r="1423" spans="1:14" x14ac:dyDescent="0.25">
      <c r="A1423">
        <v>393810</v>
      </c>
      <c r="B1423" t="s">
        <v>35</v>
      </c>
      <c r="C1423">
        <v>47572</v>
      </c>
      <c r="D1423" t="s">
        <v>21</v>
      </c>
      <c r="E1423" t="s">
        <v>22</v>
      </c>
      <c r="F1423" s="27">
        <v>45701</v>
      </c>
      <c r="G1423">
        <v>1</v>
      </c>
      <c r="H1423">
        <v>1</v>
      </c>
      <c r="I1423" t="s">
        <v>699</v>
      </c>
      <c r="J1423" s="27">
        <v>45737</v>
      </c>
      <c r="L1423" s="29">
        <v>1778.0172412500001</v>
      </c>
      <c r="M1423" s="29">
        <v>1778.0172412500001</v>
      </c>
      <c r="N1423" s="15">
        <v>45689</v>
      </c>
    </row>
    <row r="1424" spans="1:14" x14ac:dyDescent="0.25">
      <c r="A1424">
        <v>393811</v>
      </c>
      <c r="B1424" t="s">
        <v>35</v>
      </c>
      <c r="C1424">
        <v>47572</v>
      </c>
      <c r="D1424" t="s">
        <v>21</v>
      </c>
      <c r="E1424" t="s">
        <v>22</v>
      </c>
      <c r="F1424" s="27">
        <v>45701</v>
      </c>
      <c r="G1424">
        <v>1.5</v>
      </c>
      <c r="H1424">
        <v>1.5</v>
      </c>
      <c r="I1424" t="s">
        <v>812</v>
      </c>
      <c r="J1424" s="27">
        <v>45737</v>
      </c>
      <c r="L1424" s="29">
        <v>1778.0172412500001</v>
      </c>
      <c r="M1424" s="29">
        <v>2667.0258618750004</v>
      </c>
      <c r="N1424" s="15">
        <v>45689</v>
      </c>
    </row>
    <row r="1425" spans="1:14" x14ac:dyDescent="0.25">
      <c r="A1425">
        <v>393813</v>
      </c>
      <c r="B1425" t="s">
        <v>20</v>
      </c>
      <c r="C1425">
        <v>51353</v>
      </c>
      <c r="D1425" t="s">
        <v>21</v>
      </c>
      <c r="E1425" t="s">
        <v>22</v>
      </c>
      <c r="F1425" s="27">
        <v>45701</v>
      </c>
      <c r="G1425">
        <v>0.5</v>
      </c>
      <c r="H1425">
        <v>0.5</v>
      </c>
      <c r="I1425" t="s">
        <v>813</v>
      </c>
      <c r="J1425" s="27">
        <v>45737</v>
      </c>
      <c r="L1425" s="29">
        <v>1778.0172412500001</v>
      </c>
      <c r="M1425" s="29">
        <v>889.00862062500005</v>
      </c>
      <c r="N1425" s="15">
        <v>45689</v>
      </c>
    </row>
    <row r="1426" spans="1:14" x14ac:dyDescent="0.25">
      <c r="A1426">
        <v>394075</v>
      </c>
      <c r="B1426" t="s">
        <v>35</v>
      </c>
      <c r="C1426">
        <v>52114</v>
      </c>
      <c r="D1426" t="s">
        <v>37</v>
      </c>
      <c r="E1426" t="s">
        <v>22</v>
      </c>
      <c r="F1426" s="27">
        <v>45701</v>
      </c>
      <c r="G1426">
        <v>8</v>
      </c>
      <c r="H1426">
        <v>8</v>
      </c>
      <c r="I1426" t="s">
        <v>493</v>
      </c>
      <c r="J1426" s="27">
        <v>45737</v>
      </c>
      <c r="L1426" s="29">
        <v>316.09195375000002</v>
      </c>
      <c r="M1426" s="29">
        <v>2528.7356300000001</v>
      </c>
      <c r="N1426" s="15">
        <v>45689</v>
      </c>
    </row>
    <row r="1427" spans="1:14" x14ac:dyDescent="0.25">
      <c r="A1427">
        <v>412270</v>
      </c>
      <c r="B1427" t="s">
        <v>35</v>
      </c>
      <c r="C1427">
        <v>47569</v>
      </c>
      <c r="D1427" t="s">
        <v>30</v>
      </c>
      <c r="E1427" t="s">
        <v>22</v>
      </c>
      <c r="F1427" s="27">
        <v>45701</v>
      </c>
      <c r="G1427">
        <v>8</v>
      </c>
      <c r="H1427">
        <v>8</v>
      </c>
      <c r="I1427" t="s">
        <v>494</v>
      </c>
      <c r="J1427" s="27">
        <v>45777</v>
      </c>
      <c r="L1427" s="29">
        <v>632.18390812500002</v>
      </c>
      <c r="M1427" s="29">
        <v>5057.4712650000001</v>
      </c>
      <c r="N1427" s="15">
        <v>45689</v>
      </c>
    </row>
    <row r="1428" spans="1:14" x14ac:dyDescent="0.25">
      <c r="A1428">
        <v>415624</v>
      </c>
      <c r="B1428" t="s">
        <v>35</v>
      </c>
      <c r="C1428">
        <v>47572</v>
      </c>
      <c r="D1428" t="s">
        <v>42</v>
      </c>
      <c r="E1428" t="s">
        <v>22</v>
      </c>
      <c r="F1428" s="27">
        <v>45701</v>
      </c>
      <c r="G1428">
        <v>0.5</v>
      </c>
      <c r="H1428">
        <v>0.5</v>
      </c>
      <c r="I1428" t="s">
        <v>621</v>
      </c>
      <c r="J1428" s="27">
        <v>45789</v>
      </c>
      <c r="L1428" s="29">
        <v>1418</v>
      </c>
      <c r="M1428" s="29">
        <v>709</v>
      </c>
      <c r="N1428" s="15">
        <v>45689</v>
      </c>
    </row>
    <row r="1429" spans="1:14" x14ac:dyDescent="0.25">
      <c r="A1429">
        <v>415636</v>
      </c>
      <c r="B1429" t="s">
        <v>35</v>
      </c>
      <c r="C1429">
        <v>47614</v>
      </c>
      <c r="D1429" t="s">
        <v>42</v>
      </c>
      <c r="E1429" t="s">
        <v>22</v>
      </c>
      <c r="F1429" s="27">
        <v>45701</v>
      </c>
      <c r="G1429">
        <v>6</v>
      </c>
      <c r="H1429">
        <v>6</v>
      </c>
      <c r="I1429">
        <v>1134</v>
      </c>
      <c r="J1429" s="27">
        <v>45789</v>
      </c>
      <c r="L1429" s="29">
        <v>1418</v>
      </c>
      <c r="M1429" s="29">
        <v>8508</v>
      </c>
      <c r="N1429" s="15">
        <v>45689</v>
      </c>
    </row>
    <row r="1430" spans="1:14" x14ac:dyDescent="0.25">
      <c r="A1430">
        <v>381350</v>
      </c>
      <c r="B1430" t="s">
        <v>38</v>
      </c>
      <c r="C1430">
        <v>47707</v>
      </c>
      <c r="D1430" t="s">
        <v>39</v>
      </c>
      <c r="E1430" t="s">
        <v>19</v>
      </c>
      <c r="F1430" s="27">
        <v>45701</v>
      </c>
      <c r="G1430">
        <v>8</v>
      </c>
      <c r="H1430">
        <v>8</v>
      </c>
      <c r="I1430" t="s">
        <v>580</v>
      </c>
      <c r="J1430" s="27">
        <v>45706</v>
      </c>
      <c r="L1430" s="29">
        <v>790.22988499999997</v>
      </c>
      <c r="M1430" s="29">
        <v>6321.8390799999997</v>
      </c>
      <c r="N1430" s="15">
        <v>45689</v>
      </c>
    </row>
    <row r="1431" spans="1:14" x14ac:dyDescent="0.25">
      <c r="A1431">
        <v>390198</v>
      </c>
      <c r="B1431" t="s">
        <v>35</v>
      </c>
      <c r="C1431">
        <v>47615</v>
      </c>
      <c r="D1431" t="s">
        <v>25</v>
      </c>
      <c r="E1431" t="s">
        <v>22</v>
      </c>
      <c r="F1431" s="27">
        <v>45700</v>
      </c>
      <c r="G1431">
        <v>8</v>
      </c>
      <c r="H1431">
        <v>8</v>
      </c>
      <c r="I1431" t="s">
        <v>728</v>
      </c>
      <c r="J1431" s="27">
        <v>45727</v>
      </c>
      <c r="L1431" s="29">
        <v>1185.3448275000001</v>
      </c>
      <c r="M1431" s="29">
        <v>9482.7586200000005</v>
      </c>
      <c r="N1431" s="15">
        <v>45689</v>
      </c>
    </row>
    <row r="1432" spans="1:14" x14ac:dyDescent="0.25">
      <c r="A1432">
        <v>393807</v>
      </c>
      <c r="B1432" t="s">
        <v>35</v>
      </c>
      <c r="C1432">
        <v>47569</v>
      </c>
      <c r="D1432" t="s">
        <v>21</v>
      </c>
      <c r="E1432" t="s">
        <v>22</v>
      </c>
      <c r="F1432" s="27">
        <v>45700</v>
      </c>
      <c r="G1432">
        <v>4</v>
      </c>
      <c r="H1432">
        <v>4</v>
      </c>
      <c r="I1432" t="s">
        <v>814</v>
      </c>
      <c r="J1432" s="27">
        <v>45737</v>
      </c>
      <c r="L1432" s="29">
        <v>1778.0172412500001</v>
      </c>
      <c r="M1432" s="29">
        <v>7112.0689650000004</v>
      </c>
      <c r="N1432" s="15">
        <v>45689</v>
      </c>
    </row>
    <row r="1433" spans="1:14" x14ac:dyDescent="0.25">
      <c r="A1433">
        <v>394074</v>
      </c>
      <c r="B1433" t="s">
        <v>35</v>
      </c>
      <c r="C1433">
        <v>52114</v>
      </c>
      <c r="D1433" t="s">
        <v>37</v>
      </c>
      <c r="E1433" t="s">
        <v>22</v>
      </c>
      <c r="F1433" s="27">
        <v>45700</v>
      </c>
      <c r="G1433">
        <v>8</v>
      </c>
      <c r="H1433">
        <v>8</v>
      </c>
      <c r="I1433" t="s">
        <v>493</v>
      </c>
      <c r="J1433" s="27">
        <v>45737</v>
      </c>
      <c r="L1433" s="29">
        <v>316.09195375000002</v>
      </c>
      <c r="M1433" s="29">
        <v>2528.7356300000001</v>
      </c>
      <c r="N1433" s="15">
        <v>45689</v>
      </c>
    </row>
    <row r="1434" spans="1:14" x14ac:dyDescent="0.25">
      <c r="A1434">
        <v>412763</v>
      </c>
      <c r="B1434" t="s">
        <v>35</v>
      </c>
      <c r="C1434">
        <v>47538</v>
      </c>
      <c r="D1434" t="s">
        <v>32</v>
      </c>
      <c r="E1434" t="s">
        <v>22</v>
      </c>
      <c r="F1434" s="27">
        <v>45700</v>
      </c>
      <c r="G1434">
        <v>100</v>
      </c>
      <c r="H1434">
        <v>100</v>
      </c>
      <c r="I1434" t="s">
        <v>467</v>
      </c>
      <c r="J1434" s="27">
        <v>45777</v>
      </c>
      <c r="L1434" s="29">
        <v>1975.5747125000003</v>
      </c>
      <c r="M1434" s="29">
        <v>197557.47125000003</v>
      </c>
      <c r="N1434" s="15">
        <v>45689</v>
      </c>
    </row>
    <row r="1435" spans="1:14" x14ac:dyDescent="0.25">
      <c r="A1435">
        <v>412269</v>
      </c>
      <c r="B1435" t="s">
        <v>35</v>
      </c>
      <c r="C1435">
        <v>47569</v>
      </c>
      <c r="D1435" t="s">
        <v>30</v>
      </c>
      <c r="E1435" t="s">
        <v>22</v>
      </c>
      <c r="F1435" s="27">
        <v>45700</v>
      </c>
      <c r="G1435">
        <v>8</v>
      </c>
      <c r="H1435">
        <v>8</v>
      </c>
      <c r="I1435" t="s">
        <v>494</v>
      </c>
      <c r="J1435" s="27">
        <v>45777</v>
      </c>
      <c r="L1435" s="29">
        <v>632.18390812500002</v>
      </c>
      <c r="M1435" s="29">
        <v>5057.4712650000001</v>
      </c>
      <c r="N1435" s="15">
        <v>45689</v>
      </c>
    </row>
    <row r="1436" spans="1:14" x14ac:dyDescent="0.25">
      <c r="A1436">
        <v>432247</v>
      </c>
      <c r="B1436" t="s">
        <v>18</v>
      </c>
      <c r="C1436">
        <v>34</v>
      </c>
      <c r="D1436" t="s">
        <v>27</v>
      </c>
      <c r="E1436" t="s">
        <v>19</v>
      </c>
      <c r="F1436" s="27">
        <v>45700</v>
      </c>
      <c r="G1436">
        <v>56</v>
      </c>
      <c r="H1436">
        <v>56</v>
      </c>
      <c r="I1436" t="s">
        <v>294</v>
      </c>
      <c r="J1436" s="27">
        <v>45836</v>
      </c>
      <c r="L1436" s="29">
        <v>632.18390812500002</v>
      </c>
      <c r="M1436" s="29">
        <v>35402.298855000001</v>
      </c>
      <c r="N1436" s="15">
        <v>45689</v>
      </c>
    </row>
    <row r="1437" spans="1:14" x14ac:dyDescent="0.25">
      <c r="A1437">
        <v>379520</v>
      </c>
      <c r="B1437" t="s">
        <v>35</v>
      </c>
      <c r="C1437">
        <v>47569</v>
      </c>
      <c r="D1437" t="s">
        <v>21</v>
      </c>
      <c r="E1437" t="s">
        <v>22</v>
      </c>
      <c r="F1437" s="27">
        <v>45700</v>
      </c>
      <c r="G1437">
        <v>4</v>
      </c>
      <c r="H1437">
        <v>4</v>
      </c>
      <c r="I1437" t="s">
        <v>815</v>
      </c>
      <c r="J1437" s="27">
        <v>45700</v>
      </c>
      <c r="L1437" s="29">
        <v>1778.0172412500001</v>
      </c>
      <c r="M1437" s="29">
        <v>7112.0689650000004</v>
      </c>
      <c r="N1437" s="15">
        <v>45689</v>
      </c>
    </row>
    <row r="1438" spans="1:14" x14ac:dyDescent="0.25">
      <c r="A1438">
        <v>415623</v>
      </c>
      <c r="B1438" t="s">
        <v>35</v>
      </c>
      <c r="C1438">
        <v>47572</v>
      </c>
      <c r="D1438" t="s">
        <v>42</v>
      </c>
      <c r="E1438" t="s">
        <v>22</v>
      </c>
      <c r="F1438" s="27">
        <v>45700</v>
      </c>
      <c r="G1438">
        <v>0.5</v>
      </c>
      <c r="H1438">
        <v>0.5</v>
      </c>
      <c r="I1438" t="s">
        <v>621</v>
      </c>
      <c r="J1438" s="27">
        <v>45789</v>
      </c>
      <c r="L1438" s="29">
        <v>1418</v>
      </c>
      <c r="M1438" s="29">
        <v>709</v>
      </c>
      <c r="N1438" s="15">
        <v>45689</v>
      </c>
    </row>
    <row r="1439" spans="1:14" x14ac:dyDescent="0.25">
      <c r="A1439">
        <v>415634</v>
      </c>
      <c r="B1439" t="s">
        <v>35</v>
      </c>
      <c r="C1439">
        <v>47614</v>
      </c>
      <c r="D1439" t="s">
        <v>42</v>
      </c>
      <c r="E1439" t="s">
        <v>22</v>
      </c>
      <c r="F1439" s="27">
        <v>45700</v>
      </c>
      <c r="G1439">
        <v>4</v>
      </c>
      <c r="H1439">
        <v>4</v>
      </c>
      <c r="I1439">
        <v>1134</v>
      </c>
      <c r="J1439" s="27">
        <v>45789</v>
      </c>
      <c r="L1439" s="29">
        <v>1418</v>
      </c>
      <c r="M1439" s="29">
        <v>5672</v>
      </c>
      <c r="N1439" s="15">
        <v>45689</v>
      </c>
    </row>
    <row r="1440" spans="1:14" x14ac:dyDescent="0.25">
      <c r="A1440">
        <v>415635</v>
      </c>
      <c r="B1440" t="s">
        <v>35</v>
      </c>
      <c r="C1440">
        <v>47614</v>
      </c>
      <c r="D1440" t="s">
        <v>42</v>
      </c>
      <c r="E1440" t="s">
        <v>22</v>
      </c>
      <c r="F1440" s="27">
        <v>45700</v>
      </c>
      <c r="G1440">
        <v>3</v>
      </c>
      <c r="H1440">
        <v>3</v>
      </c>
      <c r="I1440">
        <v>1134</v>
      </c>
      <c r="J1440" s="27">
        <v>45789</v>
      </c>
      <c r="L1440" s="29">
        <v>1418</v>
      </c>
      <c r="M1440" s="29">
        <v>4254</v>
      </c>
      <c r="N1440" s="15">
        <v>45689</v>
      </c>
    </row>
    <row r="1441" spans="1:14" x14ac:dyDescent="0.25">
      <c r="A1441">
        <v>381349</v>
      </c>
      <c r="B1441" t="s">
        <v>38</v>
      </c>
      <c r="C1441">
        <v>47707</v>
      </c>
      <c r="D1441" t="s">
        <v>39</v>
      </c>
      <c r="E1441" t="s">
        <v>19</v>
      </c>
      <c r="F1441" s="27">
        <v>45700</v>
      </c>
      <c r="G1441">
        <v>8</v>
      </c>
      <c r="H1441">
        <v>8</v>
      </c>
      <c r="I1441" t="s">
        <v>580</v>
      </c>
      <c r="J1441" s="27">
        <v>45706</v>
      </c>
      <c r="L1441" s="29">
        <v>790.22988499999997</v>
      </c>
      <c r="M1441" s="29">
        <v>6321.8390799999997</v>
      </c>
      <c r="N1441" s="15">
        <v>45689</v>
      </c>
    </row>
    <row r="1442" spans="1:14" x14ac:dyDescent="0.25">
      <c r="A1442">
        <v>379630</v>
      </c>
      <c r="B1442" t="s">
        <v>35</v>
      </c>
      <c r="C1442">
        <v>47569</v>
      </c>
      <c r="D1442" t="s">
        <v>36</v>
      </c>
      <c r="E1442" t="s">
        <v>22</v>
      </c>
      <c r="F1442" s="27">
        <v>45700</v>
      </c>
      <c r="G1442">
        <v>5</v>
      </c>
      <c r="H1442">
        <v>5</v>
      </c>
      <c r="I1442" t="s">
        <v>816</v>
      </c>
      <c r="J1442" s="27">
        <v>45700</v>
      </c>
      <c r="L1442" s="29">
        <v>1896.551724375</v>
      </c>
      <c r="M1442" s="29">
        <v>9482.7586218750002</v>
      </c>
      <c r="N1442" s="15">
        <v>45689</v>
      </c>
    </row>
    <row r="1443" spans="1:14" x14ac:dyDescent="0.25">
      <c r="A1443">
        <v>379631</v>
      </c>
      <c r="B1443" t="s">
        <v>35</v>
      </c>
      <c r="C1443">
        <v>47570</v>
      </c>
      <c r="D1443" t="s">
        <v>36</v>
      </c>
      <c r="E1443" t="s">
        <v>22</v>
      </c>
      <c r="F1443" s="27">
        <v>45700</v>
      </c>
      <c r="G1443">
        <v>1.75</v>
      </c>
      <c r="H1443">
        <v>1.75</v>
      </c>
      <c r="I1443" t="s">
        <v>310</v>
      </c>
      <c r="J1443" s="27">
        <v>45700</v>
      </c>
      <c r="L1443" s="29">
        <v>1896.551724375</v>
      </c>
      <c r="M1443" s="29">
        <v>3318.9655176562501</v>
      </c>
      <c r="N1443" s="15">
        <v>45689</v>
      </c>
    </row>
    <row r="1444" spans="1:14" x14ac:dyDescent="0.25">
      <c r="A1444">
        <v>379632</v>
      </c>
      <c r="B1444" t="s">
        <v>35</v>
      </c>
      <c r="C1444">
        <v>47572</v>
      </c>
      <c r="D1444" t="s">
        <v>36</v>
      </c>
      <c r="E1444" t="s">
        <v>22</v>
      </c>
      <c r="F1444" s="27">
        <v>45700</v>
      </c>
      <c r="G1444">
        <v>2</v>
      </c>
      <c r="H1444">
        <v>2</v>
      </c>
      <c r="I1444" t="s">
        <v>817</v>
      </c>
      <c r="J1444" s="27">
        <v>45700</v>
      </c>
      <c r="L1444" s="29">
        <v>1896.551724375</v>
      </c>
      <c r="M1444" s="29">
        <v>3793.1034487500001</v>
      </c>
      <c r="N1444" s="15">
        <v>45689</v>
      </c>
    </row>
    <row r="1445" spans="1:14" x14ac:dyDescent="0.25">
      <c r="A1445">
        <v>390197</v>
      </c>
      <c r="B1445" t="s">
        <v>35</v>
      </c>
      <c r="C1445">
        <v>47615</v>
      </c>
      <c r="D1445" t="s">
        <v>25</v>
      </c>
      <c r="E1445" t="s">
        <v>22</v>
      </c>
      <c r="F1445" s="27">
        <v>45699</v>
      </c>
      <c r="G1445">
        <v>8</v>
      </c>
      <c r="H1445">
        <v>8</v>
      </c>
      <c r="I1445" t="s">
        <v>728</v>
      </c>
      <c r="J1445" s="27">
        <v>45727</v>
      </c>
      <c r="L1445" s="29">
        <v>1185.3448275000001</v>
      </c>
      <c r="M1445" s="29">
        <v>9482.7586200000005</v>
      </c>
      <c r="N1445" s="15">
        <v>45689</v>
      </c>
    </row>
    <row r="1446" spans="1:14" x14ac:dyDescent="0.25">
      <c r="A1446">
        <v>394073</v>
      </c>
      <c r="B1446" t="s">
        <v>35</v>
      </c>
      <c r="C1446">
        <v>52114</v>
      </c>
      <c r="D1446" t="s">
        <v>37</v>
      </c>
      <c r="E1446" t="s">
        <v>22</v>
      </c>
      <c r="F1446" s="27">
        <v>45699</v>
      </c>
      <c r="G1446">
        <v>8</v>
      </c>
      <c r="H1446">
        <v>8</v>
      </c>
      <c r="I1446" t="s">
        <v>607</v>
      </c>
      <c r="J1446" s="27">
        <v>45737</v>
      </c>
      <c r="L1446" s="29">
        <v>316.09195375000002</v>
      </c>
      <c r="M1446" s="29">
        <v>2528.7356300000001</v>
      </c>
      <c r="N1446" s="15">
        <v>45689</v>
      </c>
    </row>
    <row r="1447" spans="1:14" x14ac:dyDescent="0.25">
      <c r="A1447">
        <v>412267</v>
      </c>
      <c r="B1447" t="s">
        <v>35</v>
      </c>
      <c r="C1447">
        <v>47569</v>
      </c>
      <c r="D1447" t="s">
        <v>30</v>
      </c>
      <c r="E1447" t="s">
        <v>22</v>
      </c>
      <c r="F1447" s="27">
        <v>45699</v>
      </c>
      <c r="G1447">
        <v>8</v>
      </c>
      <c r="H1447">
        <v>8</v>
      </c>
      <c r="I1447" t="s">
        <v>494</v>
      </c>
      <c r="J1447" s="27">
        <v>45777</v>
      </c>
      <c r="L1447" s="29">
        <v>632.18390812500002</v>
      </c>
      <c r="M1447" s="29">
        <v>5057.4712650000001</v>
      </c>
      <c r="N1447" s="15">
        <v>45689</v>
      </c>
    </row>
    <row r="1448" spans="1:14" x14ac:dyDescent="0.25">
      <c r="A1448">
        <v>379516</v>
      </c>
      <c r="B1448" t="s">
        <v>35</v>
      </c>
      <c r="C1448">
        <v>47572</v>
      </c>
      <c r="D1448" t="s">
        <v>21</v>
      </c>
      <c r="E1448" t="s">
        <v>22</v>
      </c>
      <c r="F1448" s="27">
        <v>45699</v>
      </c>
      <c r="G1448">
        <v>1.5</v>
      </c>
      <c r="H1448">
        <v>1.5</v>
      </c>
      <c r="I1448" t="s">
        <v>804</v>
      </c>
      <c r="J1448" s="27">
        <v>45700</v>
      </c>
      <c r="L1448" s="29">
        <v>1778.0172412500001</v>
      </c>
      <c r="M1448" s="29">
        <v>2667.0258618750004</v>
      </c>
      <c r="N1448" s="15">
        <v>45689</v>
      </c>
    </row>
    <row r="1449" spans="1:14" x14ac:dyDescent="0.25">
      <c r="A1449">
        <v>379517</v>
      </c>
      <c r="B1449" t="s">
        <v>35</v>
      </c>
      <c r="C1449">
        <v>47569</v>
      </c>
      <c r="D1449" t="s">
        <v>21</v>
      </c>
      <c r="E1449" t="s">
        <v>22</v>
      </c>
      <c r="F1449" s="27">
        <v>45699</v>
      </c>
      <c r="G1449">
        <v>1.5</v>
      </c>
      <c r="H1449">
        <v>1.5</v>
      </c>
      <c r="I1449" t="s">
        <v>818</v>
      </c>
      <c r="J1449" s="27">
        <v>45700</v>
      </c>
      <c r="L1449" s="29">
        <v>1778.0172412500001</v>
      </c>
      <c r="M1449" s="29">
        <v>2667.0258618750004</v>
      </c>
      <c r="N1449" s="15">
        <v>45689</v>
      </c>
    </row>
    <row r="1450" spans="1:14" x14ac:dyDescent="0.25">
      <c r="A1450">
        <v>379518</v>
      </c>
      <c r="B1450" t="s">
        <v>35</v>
      </c>
      <c r="C1450">
        <v>47569</v>
      </c>
      <c r="D1450" t="s">
        <v>21</v>
      </c>
      <c r="E1450" t="s">
        <v>22</v>
      </c>
      <c r="F1450" s="27">
        <v>45699</v>
      </c>
      <c r="G1450">
        <v>2</v>
      </c>
      <c r="H1450">
        <v>2</v>
      </c>
      <c r="I1450" t="s">
        <v>819</v>
      </c>
      <c r="J1450" s="27">
        <v>45700</v>
      </c>
      <c r="L1450" s="29">
        <v>1778.0172412500001</v>
      </c>
      <c r="M1450" s="29">
        <v>3556.0344825000002</v>
      </c>
      <c r="N1450" s="15">
        <v>45689</v>
      </c>
    </row>
    <row r="1451" spans="1:14" x14ac:dyDescent="0.25">
      <c r="A1451">
        <v>379519</v>
      </c>
      <c r="B1451" t="s">
        <v>35</v>
      </c>
      <c r="C1451">
        <v>47569</v>
      </c>
      <c r="D1451" t="s">
        <v>21</v>
      </c>
      <c r="E1451" t="s">
        <v>22</v>
      </c>
      <c r="F1451" s="27">
        <v>45699</v>
      </c>
      <c r="G1451">
        <v>3</v>
      </c>
      <c r="H1451">
        <v>3</v>
      </c>
      <c r="I1451" t="s">
        <v>820</v>
      </c>
      <c r="J1451" s="27">
        <v>45700</v>
      </c>
      <c r="L1451" s="29">
        <v>1778.0172412500001</v>
      </c>
      <c r="M1451" s="29">
        <v>5334.0517237500007</v>
      </c>
      <c r="N1451" s="15">
        <v>45689</v>
      </c>
    </row>
    <row r="1452" spans="1:14" x14ac:dyDescent="0.25">
      <c r="A1452">
        <v>415633</v>
      </c>
      <c r="B1452" t="s">
        <v>35</v>
      </c>
      <c r="C1452">
        <v>47614</v>
      </c>
      <c r="D1452" t="s">
        <v>42</v>
      </c>
      <c r="E1452" t="s">
        <v>22</v>
      </c>
      <c r="F1452" s="27">
        <v>45699</v>
      </c>
      <c r="G1452">
        <v>5</v>
      </c>
      <c r="H1452">
        <v>5</v>
      </c>
      <c r="I1452">
        <v>1133</v>
      </c>
      <c r="J1452" s="27">
        <v>45789</v>
      </c>
      <c r="L1452" s="29">
        <v>1418</v>
      </c>
      <c r="M1452" s="29">
        <v>7090</v>
      </c>
      <c r="N1452" s="15">
        <v>45689</v>
      </c>
    </row>
    <row r="1453" spans="1:14" x14ac:dyDescent="0.25">
      <c r="A1453">
        <v>381348</v>
      </c>
      <c r="B1453" t="s">
        <v>38</v>
      </c>
      <c r="C1453">
        <v>47707</v>
      </c>
      <c r="D1453" t="s">
        <v>39</v>
      </c>
      <c r="E1453" t="s">
        <v>19</v>
      </c>
      <c r="F1453" s="27">
        <v>45699</v>
      </c>
      <c r="G1453">
        <v>8</v>
      </c>
      <c r="H1453">
        <v>8</v>
      </c>
      <c r="I1453" t="s">
        <v>580</v>
      </c>
      <c r="J1453" s="27">
        <v>45706</v>
      </c>
      <c r="L1453" s="29">
        <v>790.22988499999997</v>
      </c>
      <c r="M1453" s="29">
        <v>6321.8390799999997</v>
      </c>
      <c r="N1453" s="15">
        <v>45689</v>
      </c>
    </row>
    <row r="1454" spans="1:14" x14ac:dyDescent="0.25">
      <c r="A1454">
        <v>412853</v>
      </c>
      <c r="B1454" t="s">
        <v>31</v>
      </c>
      <c r="C1454">
        <v>42715</v>
      </c>
      <c r="D1454" t="s">
        <v>32</v>
      </c>
      <c r="E1454" t="s">
        <v>19</v>
      </c>
      <c r="F1454" s="27">
        <v>45699</v>
      </c>
      <c r="G1454">
        <v>26</v>
      </c>
      <c r="H1454">
        <v>26</v>
      </c>
      <c r="I1454" t="s">
        <v>294</v>
      </c>
      <c r="J1454" s="27">
        <v>45777</v>
      </c>
      <c r="L1454" s="29">
        <v>1975.5747125000003</v>
      </c>
      <c r="M1454" s="29">
        <v>51364.942525000006</v>
      </c>
      <c r="N1454" s="15">
        <v>45689</v>
      </c>
    </row>
    <row r="1455" spans="1:14" x14ac:dyDescent="0.25">
      <c r="A1455">
        <v>379628</v>
      </c>
      <c r="B1455" t="s">
        <v>35</v>
      </c>
      <c r="C1455">
        <v>47569</v>
      </c>
      <c r="D1455" t="s">
        <v>36</v>
      </c>
      <c r="E1455" t="s">
        <v>22</v>
      </c>
      <c r="F1455" s="27">
        <v>45699</v>
      </c>
      <c r="G1455">
        <v>6</v>
      </c>
      <c r="H1455">
        <v>6</v>
      </c>
      <c r="I1455" t="s">
        <v>816</v>
      </c>
      <c r="J1455" s="27">
        <v>45700</v>
      </c>
      <c r="L1455" s="29">
        <v>1896.551724375</v>
      </c>
      <c r="M1455" s="29">
        <v>11379.31034625</v>
      </c>
      <c r="N1455" s="15">
        <v>45689</v>
      </c>
    </row>
    <row r="1456" spans="1:14" x14ac:dyDescent="0.25">
      <c r="A1456">
        <v>379629</v>
      </c>
      <c r="B1456" t="s">
        <v>35</v>
      </c>
      <c r="C1456">
        <v>47570</v>
      </c>
      <c r="D1456" t="s">
        <v>36</v>
      </c>
      <c r="E1456" t="s">
        <v>22</v>
      </c>
      <c r="F1456" s="27">
        <v>45699</v>
      </c>
      <c r="G1456">
        <v>2</v>
      </c>
      <c r="H1456">
        <v>2</v>
      </c>
      <c r="I1456" t="s">
        <v>310</v>
      </c>
      <c r="J1456" s="27">
        <v>45700</v>
      </c>
      <c r="L1456" s="29">
        <v>1896.551724375</v>
      </c>
      <c r="M1456" s="29">
        <v>3793.1034487500001</v>
      </c>
      <c r="N1456" s="15">
        <v>45689</v>
      </c>
    </row>
    <row r="1457" spans="1:14" x14ac:dyDescent="0.25">
      <c r="A1457">
        <v>390196</v>
      </c>
      <c r="B1457" t="s">
        <v>35</v>
      </c>
      <c r="C1457">
        <v>47615</v>
      </c>
      <c r="D1457" t="s">
        <v>25</v>
      </c>
      <c r="E1457" t="s">
        <v>22</v>
      </c>
      <c r="F1457" s="27">
        <v>45698</v>
      </c>
      <c r="G1457">
        <v>8</v>
      </c>
      <c r="H1457">
        <v>8</v>
      </c>
      <c r="I1457" t="s">
        <v>728</v>
      </c>
      <c r="J1457" s="27">
        <v>45727</v>
      </c>
      <c r="L1457" s="29">
        <v>1185.3448275000001</v>
      </c>
      <c r="M1457" s="29">
        <v>9482.7586200000005</v>
      </c>
      <c r="N1457" s="15">
        <v>45689</v>
      </c>
    </row>
    <row r="1458" spans="1:14" x14ac:dyDescent="0.25">
      <c r="A1458">
        <v>394072</v>
      </c>
      <c r="B1458" t="s">
        <v>35</v>
      </c>
      <c r="C1458">
        <v>52114</v>
      </c>
      <c r="D1458" t="s">
        <v>37</v>
      </c>
      <c r="E1458" t="s">
        <v>22</v>
      </c>
      <c r="F1458" s="27">
        <v>45698</v>
      </c>
      <c r="G1458">
        <v>8</v>
      </c>
      <c r="H1458">
        <v>8</v>
      </c>
      <c r="I1458" t="s">
        <v>607</v>
      </c>
      <c r="J1458" s="27">
        <v>45737</v>
      </c>
      <c r="L1458" s="29">
        <v>316.09195375000002</v>
      </c>
      <c r="M1458" s="29">
        <v>2528.7356300000001</v>
      </c>
      <c r="N1458" s="15">
        <v>45689</v>
      </c>
    </row>
    <row r="1459" spans="1:14" x14ac:dyDescent="0.25">
      <c r="A1459">
        <v>412265</v>
      </c>
      <c r="B1459" t="s">
        <v>35</v>
      </c>
      <c r="C1459">
        <v>47570</v>
      </c>
      <c r="D1459" t="s">
        <v>30</v>
      </c>
      <c r="E1459" t="s">
        <v>22</v>
      </c>
      <c r="F1459" s="27">
        <v>45698</v>
      </c>
      <c r="G1459">
        <v>8</v>
      </c>
      <c r="H1459">
        <v>8</v>
      </c>
      <c r="I1459" t="s">
        <v>494</v>
      </c>
      <c r="J1459" s="27">
        <v>45777</v>
      </c>
      <c r="L1459" s="29">
        <v>632.18390812500002</v>
      </c>
      <c r="M1459" s="29">
        <v>5057.4712650000001</v>
      </c>
      <c r="N1459" s="15">
        <v>45689</v>
      </c>
    </row>
    <row r="1460" spans="1:14" x14ac:dyDescent="0.25">
      <c r="A1460">
        <v>379511</v>
      </c>
      <c r="B1460" t="s">
        <v>35</v>
      </c>
      <c r="C1460">
        <v>47569</v>
      </c>
      <c r="D1460" t="s">
        <v>21</v>
      </c>
      <c r="E1460" t="s">
        <v>22</v>
      </c>
      <c r="F1460" s="27">
        <v>45698</v>
      </c>
      <c r="G1460">
        <v>1</v>
      </c>
      <c r="H1460">
        <v>1</v>
      </c>
      <c r="I1460" t="s">
        <v>821</v>
      </c>
      <c r="J1460" s="27">
        <v>45700</v>
      </c>
      <c r="L1460" s="29">
        <v>1778.0172412500001</v>
      </c>
      <c r="M1460" s="29">
        <v>1778.0172412500001</v>
      </c>
      <c r="N1460" s="15">
        <v>45689</v>
      </c>
    </row>
    <row r="1461" spans="1:14" x14ac:dyDescent="0.25">
      <c r="A1461">
        <v>379512</v>
      </c>
      <c r="B1461" t="s">
        <v>35</v>
      </c>
      <c r="C1461">
        <v>47569</v>
      </c>
      <c r="D1461" t="s">
        <v>21</v>
      </c>
      <c r="E1461" t="s">
        <v>22</v>
      </c>
      <c r="F1461" s="27">
        <v>45698</v>
      </c>
      <c r="G1461">
        <v>2</v>
      </c>
      <c r="H1461">
        <v>2</v>
      </c>
      <c r="I1461" t="s">
        <v>822</v>
      </c>
      <c r="J1461" s="27">
        <v>45700</v>
      </c>
      <c r="L1461" s="29">
        <v>1778.0172412500001</v>
      </c>
      <c r="M1461" s="29">
        <v>3556.0344825000002</v>
      </c>
      <c r="N1461" s="15">
        <v>45689</v>
      </c>
    </row>
    <row r="1462" spans="1:14" x14ac:dyDescent="0.25">
      <c r="A1462">
        <v>379513</v>
      </c>
      <c r="B1462" t="s">
        <v>35</v>
      </c>
      <c r="C1462">
        <v>47569</v>
      </c>
      <c r="D1462" t="s">
        <v>21</v>
      </c>
      <c r="E1462" t="s">
        <v>22</v>
      </c>
      <c r="F1462" s="27">
        <v>45698</v>
      </c>
      <c r="G1462">
        <v>0.5</v>
      </c>
      <c r="H1462">
        <v>0.5</v>
      </c>
      <c r="I1462" t="s">
        <v>823</v>
      </c>
      <c r="J1462" s="27">
        <v>45700</v>
      </c>
      <c r="L1462" s="29">
        <v>1778.0172412500001</v>
      </c>
      <c r="M1462" s="29">
        <v>889.00862062500005</v>
      </c>
      <c r="N1462" s="15">
        <v>45689</v>
      </c>
    </row>
    <row r="1463" spans="1:14" x14ac:dyDescent="0.25">
      <c r="A1463">
        <v>379514</v>
      </c>
      <c r="B1463" t="s">
        <v>35</v>
      </c>
      <c r="C1463">
        <v>47569</v>
      </c>
      <c r="D1463" t="s">
        <v>21</v>
      </c>
      <c r="E1463" t="s">
        <v>22</v>
      </c>
      <c r="F1463" s="27">
        <v>45698</v>
      </c>
      <c r="G1463">
        <v>2</v>
      </c>
      <c r="H1463">
        <v>2</v>
      </c>
      <c r="I1463" t="s">
        <v>824</v>
      </c>
      <c r="J1463" s="27">
        <v>45700</v>
      </c>
      <c r="L1463" s="29">
        <v>1778.0172412500001</v>
      </c>
      <c r="M1463" s="29">
        <v>3556.0344825000002</v>
      </c>
      <c r="N1463" s="15">
        <v>45689</v>
      </c>
    </row>
    <row r="1464" spans="1:14" x14ac:dyDescent="0.25">
      <c r="A1464">
        <v>379515</v>
      </c>
      <c r="B1464" t="s">
        <v>35</v>
      </c>
      <c r="C1464">
        <v>47569</v>
      </c>
      <c r="D1464" t="s">
        <v>21</v>
      </c>
      <c r="E1464" t="s">
        <v>22</v>
      </c>
      <c r="F1464" s="27">
        <v>45698</v>
      </c>
      <c r="G1464">
        <v>2.5</v>
      </c>
      <c r="H1464">
        <v>2.5</v>
      </c>
      <c r="I1464" t="s">
        <v>825</v>
      </c>
      <c r="J1464" s="27">
        <v>45700</v>
      </c>
      <c r="L1464" s="29">
        <v>1778.0172412500001</v>
      </c>
      <c r="M1464" s="29">
        <v>4445.043103125</v>
      </c>
      <c r="N1464" s="15">
        <v>45689</v>
      </c>
    </row>
    <row r="1465" spans="1:14" x14ac:dyDescent="0.25">
      <c r="A1465">
        <v>415622</v>
      </c>
      <c r="B1465" t="s">
        <v>35</v>
      </c>
      <c r="C1465">
        <v>47572</v>
      </c>
      <c r="D1465" t="s">
        <v>42</v>
      </c>
      <c r="E1465" t="s">
        <v>22</v>
      </c>
      <c r="F1465" s="27">
        <v>45698</v>
      </c>
      <c r="G1465">
        <v>0.5</v>
      </c>
      <c r="H1465">
        <v>0.5</v>
      </c>
      <c r="I1465" t="s">
        <v>621</v>
      </c>
      <c r="J1465" s="27">
        <v>45789</v>
      </c>
      <c r="L1465" s="29">
        <v>1418</v>
      </c>
      <c r="M1465" s="29">
        <v>709</v>
      </c>
      <c r="N1465" s="15">
        <v>45689</v>
      </c>
    </row>
    <row r="1466" spans="1:14" x14ac:dyDescent="0.25">
      <c r="A1466">
        <v>415632</v>
      </c>
      <c r="B1466" t="s">
        <v>35</v>
      </c>
      <c r="C1466">
        <v>47614</v>
      </c>
      <c r="D1466" t="s">
        <v>42</v>
      </c>
      <c r="E1466" t="s">
        <v>22</v>
      </c>
      <c r="F1466" s="27">
        <v>45698</v>
      </c>
      <c r="G1466">
        <v>4</v>
      </c>
      <c r="H1466">
        <v>4</v>
      </c>
      <c r="I1466">
        <v>1133</v>
      </c>
      <c r="J1466" s="27">
        <v>45789</v>
      </c>
      <c r="L1466" s="29">
        <v>1418</v>
      </c>
      <c r="M1466" s="29">
        <v>5672</v>
      </c>
      <c r="N1466" s="15">
        <v>45689</v>
      </c>
    </row>
    <row r="1467" spans="1:14" x14ac:dyDescent="0.25">
      <c r="A1467">
        <v>381347</v>
      </c>
      <c r="B1467" t="s">
        <v>38</v>
      </c>
      <c r="C1467">
        <v>47707</v>
      </c>
      <c r="D1467" t="s">
        <v>39</v>
      </c>
      <c r="E1467" t="s">
        <v>19</v>
      </c>
      <c r="F1467" s="27">
        <v>45698</v>
      </c>
      <c r="G1467">
        <v>8</v>
      </c>
      <c r="H1467">
        <v>8</v>
      </c>
      <c r="I1467" t="s">
        <v>580</v>
      </c>
      <c r="J1467" s="27">
        <v>45706</v>
      </c>
      <c r="L1467" s="29">
        <v>790.22988499999997</v>
      </c>
      <c r="M1467" s="29">
        <v>6321.8390799999997</v>
      </c>
      <c r="N1467" s="15">
        <v>45689</v>
      </c>
    </row>
    <row r="1468" spans="1:14" x14ac:dyDescent="0.25">
      <c r="A1468">
        <v>379624</v>
      </c>
      <c r="B1468" t="s">
        <v>35</v>
      </c>
      <c r="C1468">
        <v>47569</v>
      </c>
      <c r="D1468" t="s">
        <v>36</v>
      </c>
      <c r="E1468" t="s">
        <v>22</v>
      </c>
      <c r="F1468" s="27">
        <v>45698</v>
      </c>
      <c r="G1468">
        <v>4</v>
      </c>
      <c r="H1468">
        <v>4</v>
      </c>
      <c r="I1468" t="s">
        <v>826</v>
      </c>
      <c r="J1468" s="27">
        <v>45700</v>
      </c>
      <c r="L1468" s="29">
        <v>1896.551724375</v>
      </c>
      <c r="M1468" s="29">
        <v>7586.2068975000002</v>
      </c>
      <c r="N1468" s="15">
        <v>45689</v>
      </c>
    </row>
    <row r="1469" spans="1:14" x14ac:dyDescent="0.25">
      <c r="A1469">
        <v>379625</v>
      </c>
      <c r="B1469" t="s">
        <v>35</v>
      </c>
      <c r="C1469">
        <v>47570</v>
      </c>
      <c r="D1469" t="s">
        <v>36</v>
      </c>
      <c r="E1469" t="s">
        <v>22</v>
      </c>
      <c r="F1469" s="27">
        <v>45698</v>
      </c>
      <c r="G1469">
        <v>1.5</v>
      </c>
      <c r="H1469">
        <v>1.5</v>
      </c>
      <c r="I1469" t="s">
        <v>827</v>
      </c>
      <c r="J1469" s="27">
        <v>45700</v>
      </c>
      <c r="L1469" s="29">
        <v>1896.551724375</v>
      </c>
      <c r="M1469" s="29">
        <v>2844.8275865625001</v>
      </c>
      <c r="N1469" s="15">
        <v>45689</v>
      </c>
    </row>
    <row r="1470" spans="1:14" x14ac:dyDescent="0.25">
      <c r="A1470">
        <v>379626</v>
      </c>
      <c r="B1470" t="s">
        <v>35</v>
      </c>
      <c r="C1470">
        <v>50244</v>
      </c>
      <c r="D1470" t="s">
        <v>36</v>
      </c>
      <c r="E1470" t="s">
        <v>22</v>
      </c>
      <c r="F1470" s="27">
        <v>45698</v>
      </c>
      <c r="G1470">
        <v>2</v>
      </c>
      <c r="H1470">
        <v>2</v>
      </c>
      <c r="I1470" t="s">
        <v>828</v>
      </c>
      <c r="J1470" s="27">
        <v>45700</v>
      </c>
      <c r="L1470" s="29">
        <v>1896.551724375</v>
      </c>
      <c r="M1470" s="29">
        <v>3793.1034487500001</v>
      </c>
      <c r="N1470" s="15">
        <v>45689</v>
      </c>
    </row>
    <row r="1471" spans="1:14" x14ac:dyDescent="0.25">
      <c r="A1471">
        <v>379627</v>
      </c>
      <c r="B1471" t="s">
        <v>35</v>
      </c>
      <c r="C1471">
        <v>47572</v>
      </c>
      <c r="D1471" t="s">
        <v>36</v>
      </c>
      <c r="E1471" t="s">
        <v>22</v>
      </c>
      <c r="F1471" s="27">
        <v>45698</v>
      </c>
      <c r="G1471">
        <v>1</v>
      </c>
      <c r="H1471">
        <v>1</v>
      </c>
      <c r="I1471" t="s">
        <v>637</v>
      </c>
      <c r="J1471" s="27">
        <v>45700</v>
      </c>
      <c r="L1471" s="29">
        <v>1896.551724375</v>
      </c>
      <c r="M1471" s="29">
        <v>1896.551724375</v>
      </c>
      <c r="N1471" s="15">
        <v>45689</v>
      </c>
    </row>
    <row r="1472" spans="1:14" x14ac:dyDescent="0.25">
      <c r="A1472">
        <v>415630</v>
      </c>
      <c r="B1472" t="s">
        <v>35</v>
      </c>
      <c r="C1472">
        <v>47614</v>
      </c>
      <c r="D1472" t="s">
        <v>42</v>
      </c>
      <c r="E1472" t="s">
        <v>22</v>
      </c>
      <c r="F1472" s="27">
        <v>45697</v>
      </c>
      <c r="G1472">
        <v>6</v>
      </c>
      <c r="H1472">
        <v>6</v>
      </c>
      <c r="I1472">
        <v>904</v>
      </c>
      <c r="J1472" s="27">
        <v>45789</v>
      </c>
      <c r="L1472" s="29">
        <v>1418</v>
      </c>
      <c r="M1472" s="29">
        <v>8508</v>
      </c>
      <c r="N1472" s="15">
        <v>45689</v>
      </c>
    </row>
    <row r="1473" spans="1:14" x14ac:dyDescent="0.25">
      <c r="A1473">
        <v>415631</v>
      </c>
      <c r="B1473" t="s">
        <v>35</v>
      </c>
      <c r="C1473">
        <v>47614</v>
      </c>
      <c r="D1473" t="s">
        <v>42</v>
      </c>
      <c r="E1473" t="s">
        <v>22</v>
      </c>
      <c r="F1473" s="27">
        <v>45697</v>
      </c>
      <c r="G1473">
        <v>8</v>
      </c>
      <c r="H1473">
        <v>8</v>
      </c>
      <c r="I1473">
        <v>1132</v>
      </c>
      <c r="J1473" s="27">
        <v>45789</v>
      </c>
      <c r="L1473" s="29">
        <v>1418</v>
      </c>
      <c r="M1473" s="29">
        <v>11344</v>
      </c>
      <c r="N1473" s="15">
        <v>45689</v>
      </c>
    </row>
    <row r="1474" spans="1:14" x14ac:dyDescent="0.25">
      <c r="A1474">
        <v>390195</v>
      </c>
      <c r="B1474" t="s">
        <v>35</v>
      </c>
      <c r="C1474">
        <v>47615</v>
      </c>
      <c r="D1474" t="s">
        <v>25</v>
      </c>
      <c r="E1474" t="s">
        <v>22</v>
      </c>
      <c r="F1474" s="27">
        <v>45695</v>
      </c>
      <c r="G1474">
        <v>8</v>
      </c>
      <c r="H1474">
        <v>8</v>
      </c>
      <c r="I1474" t="s">
        <v>728</v>
      </c>
      <c r="J1474" s="27">
        <v>45727</v>
      </c>
      <c r="L1474" s="29">
        <v>1185.3448275000001</v>
      </c>
      <c r="M1474" s="29">
        <v>9482.7586200000005</v>
      </c>
      <c r="N1474" s="15">
        <v>45689</v>
      </c>
    </row>
    <row r="1475" spans="1:14" x14ac:dyDescent="0.25">
      <c r="A1475">
        <v>394071</v>
      </c>
      <c r="B1475" t="s">
        <v>35</v>
      </c>
      <c r="C1475">
        <v>52114</v>
      </c>
      <c r="D1475" t="s">
        <v>37</v>
      </c>
      <c r="E1475" t="s">
        <v>22</v>
      </c>
      <c r="F1475" s="27">
        <v>45695</v>
      </c>
      <c r="G1475">
        <v>6</v>
      </c>
      <c r="H1475">
        <v>6</v>
      </c>
      <c r="I1475" t="s">
        <v>607</v>
      </c>
      <c r="J1475" s="27">
        <v>45737</v>
      </c>
      <c r="L1475" s="29">
        <v>316.09195375000002</v>
      </c>
      <c r="M1475" s="29">
        <v>1896.5517225000001</v>
      </c>
      <c r="N1475" s="15">
        <v>45689</v>
      </c>
    </row>
    <row r="1476" spans="1:14" x14ac:dyDescent="0.25">
      <c r="A1476">
        <v>412263</v>
      </c>
      <c r="B1476" t="s">
        <v>35</v>
      </c>
      <c r="C1476">
        <v>47570</v>
      </c>
      <c r="D1476" t="s">
        <v>30</v>
      </c>
      <c r="E1476" t="s">
        <v>22</v>
      </c>
      <c r="F1476" s="27">
        <v>45695</v>
      </c>
      <c r="G1476">
        <v>8</v>
      </c>
      <c r="H1476">
        <v>8</v>
      </c>
      <c r="I1476" t="s">
        <v>494</v>
      </c>
      <c r="J1476" s="27">
        <v>45777</v>
      </c>
      <c r="L1476" s="29">
        <v>632.18390812500002</v>
      </c>
      <c r="M1476" s="29">
        <v>5057.4712650000001</v>
      </c>
      <c r="N1476" s="15">
        <v>45689</v>
      </c>
    </row>
    <row r="1477" spans="1:14" x14ac:dyDescent="0.25">
      <c r="A1477">
        <v>379504</v>
      </c>
      <c r="B1477" t="s">
        <v>35</v>
      </c>
      <c r="C1477">
        <v>47569</v>
      </c>
      <c r="D1477" t="s">
        <v>21</v>
      </c>
      <c r="E1477" t="s">
        <v>22</v>
      </c>
      <c r="F1477" s="27">
        <v>45695</v>
      </c>
      <c r="G1477">
        <v>4</v>
      </c>
      <c r="H1477">
        <v>4</v>
      </c>
      <c r="I1477" t="s">
        <v>829</v>
      </c>
      <c r="J1477" s="27">
        <v>45700</v>
      </c>
      <c r="L1477" s="29">
        <v>1778.0172412500001</v>
      </c>
      <c r="M1477" s="29">
        <v>7112.0689650000004</v>
      </c>
      <c r="N1477" s="15">
        <v>45689</v>
      </c>
    </row>
    <row r="1478" spans="1:14" x14ac:dyDescent="0.25">
      <c r="A1478">
        <v>379505</v>
      </c>
      <c r="B1478" t="s">
        <v>35</v>
      </c>
      <c r="C1478">
        <v>47569</v>
      </c>
      <c r="D1478" t="s">
        <v>21</v>
      </c>
      <c r="E1478" t="s">
        <v>22</v>
      </c>
      <c r="F1478" s="27">
        <v>45695</v>
      </c>
      <c r="G1478">
        <v>0.2</v>
      </c>
      <c r="H1478">
        <v>0.2</v>
      </c>
      <c r="I1478" t="s">
        <v>830</v>
      </c>
      <c r="J1478" s="27">
        <v>45700</v>
      </c>
      <c r="L1478" s="29">
        <v>1778.0172412500001</v>
      </c>
      <c r="M1478" s="29">
        <v>355.60344825000004</v>
      </c>
      <c r="N1478" s="15">
        <v>45689</v>
      </c>
    </row>
    <row r="1479" spans="1:14" x14ac:dyDescent="0.25">
      <c r="A1479">
        <v>379506</v>
      </c>
      <c r="B1479" t="s">
        <v>35</v>
      </c>
      <c r="C1479">
        <v>47569</v>
      </c>
      <c r="D1479" t="s">
        <v>21</v>
      </c>
      <c r="E1479" t="s">
        <v>22</v>
      </c>
      <c r="F1479" s="27">
        <v>45695</v>
      </c>
      <c r="G1479">
        <v>1</v>
      </c>
      <c r="H1479">
        <v>1</v>
      </c>
      <c r="I1479" t="s">
        <v>831</v>
      </c>
      <c r="J1479" s="27">
        <v>45700</v>
      </c>
      <c r="L1479" s="29">
        <v>1778.0172412500001</v>
      </c>
      <c r="M1479" s="29">
        <v>1778.0172412500001</v>
      </c>
      <c r="N1479" s="15">
        <v>45689</v>
      </c>
    </row>
    <row r="1480" spans="1:14" x14ac:dyDescent="0.25">
      <c r="A1480">
        <v>379507</v>
      </c>
      <c r="B1480" t="s">
        <v>35</v>
      </c>
      <c r="C1480">
        <v>47569</v>
      </c>
      <c r="D1480" t="s">
        <v>21</v>
      </c>
      <c r="E1480" t="s">
        <v>22</v>
      </c>
      <c r="F1480" s="27">
        <v>45695</v>
      </c>
      <c r="G1480">
        <v>0.8</v>
      </c>
      <c r="H1480">
        <v>0.8</v>
      </c>
      <c r="I1480" t="s">
        <v>832</v>
      </c>
      <c r="J1480" s="27">
        <v>45700</v>
      </c>
      <c r="L1480" s="29">
        <v>1778.0172412500001</v>
      </c>
      <c r="M1480" s="29">
        <v>1422.4137930000002</v>
      </c>
      <c r="N1480" s="15">
        <v>45689</v>
      </c>
    </row>
    <row r="1481" spans="1:14" x14ac:dyDescent="0.25">
      <c r="A1481">
        <v>379508</v>
      </c>
      <c r="B1481" t="s">
        <v>35</v>
      </c>
      <c r="C1481">
        <v>47569</v>
      </c>
      <c r="D1481" t="s">
        <v>21</v>
      </c>
      <c r="E1481" t="s">
        <v>22</v>
      </c>
      <c r="F1481" s="27">
        <v>45695</v>
      </c>
      <c r="G1481">
        <v>1</v>
      </c>
      <c r="H1481">
        <v>1</v>
      </c>
      <c r="I1481" t="s">
        <v>833</v>
      </c>
      <c r="J1481" s="27">
        <v>45700</v>
      </c>
      <c r="L1481" s="29">
        <v>1778.0172412500001</v>
      </c>
      <c r="M1481" s="29">
        <v>1778.0172412500001</v>
      </c>
      <c r="N1481" s="15">
        <v>45689</v>
      </c>
    </row>
    <row r="1482" spans="1:14" x14ac:dyDescent="0.25">
      <c r="A1482">
        <v>379509</v>
      </c>
      <c r="B1482" t="s">
        <v>35</v>
      </c>
      <c r="C1482">
        <v>47569</v>
      </c>
      <c r="D1482" t="s">
        <v>21</v>
      </c>
      <c r="E1482" t="s">
        <v>22</v>
      </c>
      <c r="F1482" s="27">
        <v>45695</v>
      </c>
      <c r="G1482">
        <v>1</v>
      </c>
      <c r="H1482">
        <v>1</v>
      </c>
      <c r="I1482" t="s">
        <v>834</v>
      </c>
      <c r="J1482" s="27">
        <v>45700</v>
      </c>
      <c r="L1482" s="29">
        <v>1778.0172412500001</v>
      </c>
      <c r="M1482" s="29">
        <v>1778.0172412500001</v>
      </c>
      <c r="N1482" s="15">
        <v>45689</v>
      </c>
    </row>
    <row r="1483" spans="1:14" x14ac:dyDescent="0.25">
      <c r="A1483">
        <v>378497</v>
      </c>
      <c r="B1483" t="s">
        <v>35</v>
      </c>
      <c r="C1483">
        <v>47568</v>
      </c>
      <c r="D1483" t="s">
        <v>36</v>
      </c>
      <c r="E1483" t="s">
        <v>22</v>
      </c>
      <c r="F1483" s="27">
        <v>45695</v>
      </c>
      <c r="G1483">
        <v>2.5</v>
      </c>
      <c r="H1483">
        <v>2.5</v>
      </c>
      <c r="I1483" t="s">
        <v>835</v>
      </c>
      <c r="J1483" s="27">
        <v>45695</v>
      </c>
      <c r="L1483" s="29">
        <v>1896.551724375</v>
      </c>
      <c r="M1483" s="29">
        <v>4741.3793109375001</v>
      </c>
      <c r="N1483" s="15">
        <v>45689</v>
      </c>
    </row>
    <row r="1484" spans="1:14" x14ac:dyDescent="0.25">
      <c r="A1484">
        <v>378498</v>
      </c>
      <c r="B1484" t="s">
        <v>35</v>
      </c>
      <c r="C1484">
        <v>50244</v>
      </c>
      <c r="D1484" t="s">
        <v>36</v>
      </c>
      <c r="E1484" t="s">
        <v>22</v>
      </c>
      <c r="F1484" s="27">
        <v>45695</v>
      </c>
      <c r="G1484">
        <v>0.7</v>
      </c>
      <c r="H1484">
        <v>0.7</v>
      </c>
      <c r="I1484" t="s">
        <v>836</v>
      </c>
      <c r="J1484" s="27">
        <v>45695</v>
      </c>
      <c r="L1484" s="29">
        <v>1896.551724375</v>
      </c>
      <c r="M1484" s="29">
        <v>1327.5862070624999</v>
      </c>
      <c r="N1484" s="15">
        <v>45689</v>
      </c>
    </row>
    <row r="1485" spans="1:14" x14ac:dyDescent="0.25">
      <c r="A1485">
        <v>378499</v>
      </c>
      <c r="B1485" t="s">
        <v>35</v>
      </c>
      <c r="C1485">
        <v>47570</v>
      </c>
      <c r="D1485" t="s">
        <v>36</v>
      </c>
      <c r="E1485" t="s">
        <v>22</v>
      </c>
      <c r="F1485" s="27">
        <v>45695</v>
      </c>
      <c r="G1485">
        <v>2.5</v>
      </c>
      <c r="H1485">
        <v>2.5</v>
      </c>
      <c r="I1485" t="s">
        <v>633</v>
      </c>
      <c r="J1485" s="27">
        <v>45695</v>
      </c>
      <c r="L1485" s="29">
        <v>1896.551724375</v>
      </c>
      <c r="M1485" s="29">
        <v>4741.3793109375001</v>
      </c>
      <c r="N1485" s="15">
        <v>45689</v>
      </c>
    </row>
    <row r="1486" spans="1:14" x14ac:dyDescent="0.25">
      <c r="A1486">
        <v>378500</v>
      </c>
      <c r="B1486" t="s">
        <v>35</v>
      </c>
      <c r="C1486">
        <v>47572</v>
      </c>
      <c r="D1486" t="s">
        <v>36</v>
      </c>
      <c r="E1486" t="s">
        <v>22</v>
      </c>
      <c r="F1486" s="27">
        <v>45695</v>
      </c>
      <c r="G1486">
        <v>2.2999999999999998</v>
      </c>
      <c r="H1486">
        <v>2.2999999999999998</v>
      </c>
      <c r="I1486" t="s">
        <v>686</v>
      </c>
      <c r="J1486" s="27">
        <v>45695</v>
      </c>
      <c r="L1486" s="29">
        <v>1896.551724375</v>
      </c>
      <c r="M1486" s="29">
        <v>4362.0689660624994</v>
      </c>
      <c r="N1486" s="15">
        <v>45689</v>
      </c>
    </row>
    <row r="1487" spans="1:14" x14ac:dyDescent="0.25">
      <c r="A1487">
        <v>415621</v>
      </c>
      <c r="B1487" t="s">
        <v>35</v>
      </c>
      <c r="C1487">
        <v>47572</v>
      </c>
      <c r="D1487" t="s">
        <v>42</v>
      </c>
      <c r="E1487" t="s">
        <v>22</v>
      </c>
      <c r="F1487" s="27">
        <v>45695</v>
      </c>
      <c r="G1487">
        <v>0.5</v>
      </c>
      <c r="H1487">
        <v>0.5</v>
      </c>
      <c r="I1487" t="s">
        <v>621</v>
      </c>
      <c r="J1487" s="27">
        <v>45789</v>
      </c>
      <c r="L1487" s="29">
        <v>1418</v>
      </c>
      <c r="M1487" s="29">
        <v>709</v>
      </c>
      <c r="N1487" s="15">
        <v>45689</v>
      </c>
    </row>
    <row r="1488" spans="1:14" x14ac:dyDescent="0.25">
      <c r="A1488">
        <v>415629</v>
      </c>
      <c r="B1488" t="s">
        <v>35</v>
      </c>
      <c r="C1488">
        <v>47614</v>
      </c>
      <c r="D1488" t="s">
        <v>42</v>
      </c>
      <c r="E1488" t="s">
        <v>22</v>
      </c>
      <c r="F1488" s="27">
        <v>45695</v>
      </c>
      <c r="G1488">
        <v>8</v>
      </c>
      <c r="H1488">
        <v>8</v>
      </c>
      <c r="I1488">
        <v>904</v>
      </c>
      <c r="J1488" s="27">
        <v>45789</v>
      </c>
      <c r="L1488" s="29">
        <v>1418</v>
      </c>
      <c r="M1488" s="29">
        <v>11344</v>
      </c>
      <c r="N1488" s="15">
        <v>45689</v>
      </c>
    </row>
    <row r="1489" spans="1:14" x14ac:dyDescent="0.25">
      <c r="A1489">
        <v>381346</v>
      </c>
      <c r="B1489" t="s">
        <v>38</v>
      </c>
      <c r="C1489">
        <v>47707</v>
      </c>
      <c r="D1489" t="s">
        <v>39</v>
      </c>
      <c r="E1489" t="s">
        <v>19</v>
      </c>
      <c r="F1489" s="27">
        <v>45695</v>
      </c>
      <c r="G1489">
        <v>8</v>
      </c>
      <c r="H1489">
        <v>8</v>
      </c>
      <c r="I1489" t="s">
        <v>580</v>
      </c>
      <c r="J1489" s="27">
        <v>45706</v>
      </c>
      <c r="L1489" s="29">
        <v>790.22988499999997</v>
      </c>
      <c r="M1489" s="29">
        <v>6321.8390799999997</v>
      </c>
      <c r="N1489" s="15">
        <v>45689</v>
      </c>
    </row>
    <row r="1490" spans="1:14" x14ac:dyDescent="0.25">
      <c r="A1490">
        <v>378328</v>
      </c>
      <c r="B1490" t="s">
        <v>951</v>
      </c>
      <c r="C1490">
        <v>45146</v>
      </c>
      <c r="D1490" t="s">
        <v>41</v>
      </c>
      <c r="E1490" t="s">
        <v>22</v>
      </c>
      <c r="F1490" s="27">
        <v>45695</v>
      </c>
      <c r="G1490">
        <v>1</v>
      </c>
      <c r="H1490">
        <v>1</v>
      </c>
      <c r="I1490" t="s">
        <v>288</v>
      </c>
      <c r="J1490" s="27">
        <v>45695</v>
      </c>
      <c r="L1490" s="29">
        <v>1580.4597699999999</v>
      </c>
      <c r="M1490" s="29">
        <v>1580.4597699999999</v>
      </c>
      <c r="N1490" s="15">
        <v>45689</v>
      </c>
    </row>
    <row r="1491" spans="1:14" x14ac:dyDescent="0.25">
      <c r="A1491">
        <v>378151</v>
      </c>
      <c r="B1491" t="s">
        <v>35</v>
      </c>
      <c r="C1491">
        <v>47568</v>
      </c>
      <c r="D1491" t="s">
        <v>36</v>
      </c>
      <c r="E1491" t="s">
        <v>22</v>
      </c>
      <c r="F1491" s="27">
        <v>45694</v>
      </c>
      <c r="G1491">
        <v>3</v>
      </c>
      <c r="H1491">
        <v>3</v>
      </c>
      <c r="I1491" t="s">
        <v>835</v>
      </c>
      <c r="J1491" s="27">
        <v>45694</v>
      </c>
      <c r="L1491" s="29">
        <v>1896.551724375</v>
      </c>
      <c r="M1491" s="29">
        <v>5689.6551731250001</v>
      </c>
      <c r="N1491" s="15">
        <v>45689</v>
      </c>
    </row>
    <row r="1492" spans="1:14" x14ac:dyDescent="0.25">
      <c r="A1492">
        <v>378152</v>
      </c>
      <c r="B1492" t="s">
        <v>35</v>
      </c>
      <c r="C1492">
        <v>47570</v>
      </c>
      <c r="D1492" t="s">
        <v>36</v>
      </c>
      <c r="E1492" t="s">
        <v>22</v>
      </c>
      <c r="F1492" s="27">
        <v>45694</v>
      </c>
      <c r="G1492">
        <v>1.5</v>
      </c>
      <c r="H1492">
        <v>1.5</v>
      </c>
      <c r="I1492" t="s">
        <v>310</v>
      </c>
      <c r="J1492" s="27">
        <v>45694</v>
      </c>
      <c r="L1492" s="29">
        <v>1896.551724375</v>
      </c>
      <c r="M1492" s="29">
        <v>2844.8275865625001</v>
      </c>
      <c r="N1492" s="15">
        <v>45689</v>
      </c>
    </row>
    <row r="1493" spans="1:14" x14ac:dyDescent="0.25">
      <c r="A1493">
        <v>378153</v>
      </c>
      <c r="B1493" t="s">
        <v>35</v>
      </c>
      <c r="C1493">
        <v>50244</v>
      </c>
      <c r="D1493" t="s">
        <v>36</v>
      </c>
      <c r="E1493" t="s">
        <v>22</v>
      </c>
      <c r="F1493" s="27">
        <v>45694</v>
      </c>
      <c r="G1493">
        <v>2</v>
      </c>
      <c r="H1493">
        <v>2</v>
      </c>
      <c r="I1493" t="s">
        <v>837</v>
      </c>
      <c r="J1493" s="27">
        <v>45694</v>
      </c>
      <c r="L1493" s="29">
        <v>1896.551724375</v>
      </c>
      <c r="M1493" s="29">
        <v>3793.1034487500001</v>
      </c>
      <c r="N1493" s="15">
        <v>45689</v>
      </c>
    </row>
    <row r="1494" spans="1:14" x14ac:dyDescent="0.25">
      <c r="A1494">
        <v>378154</v>
      </c>
      <c r="B1494" t="s">
        <v>35</v>
      </c>
      <c r="C1494">
        <v>47572</v>
      </c>
      <c r="D1494" t="s">
        <v>36</v>
      </c>
      <c r="E1494" t="s">
        <v>22</v>
      </c>
      <c r="F1494" s="27">
        <v>45694</v>
      </c>
      <c r="G1494">
        <v>1.5</v>
      </c>
      <c r="H1494">
        <v>1.5</v>
      </c>
      <c r="I1494" t="s">
        <v>838</v>
      </c>
      <c r="J1494" s="27">
        <v>45694</v>
      </c>
      <c r="L1494" s="29">
        <v>1896.551724375</v>
      </c>
      <c r="M1494" s="29">
        <v>2844.8275865625001</v>
      </c>
      <c r="N1494" s="15">
        <v>45689</v>
      </c>
    </row>
    <row r="1495" spans="1:14" x14ac:dyDescent="0.25">
      <c r="A1495">
        <v>379435</v>
      </c>
      <c r="B1495" t="s">
        <v>20</v>
      </c>
      <c r="C1495">
        <v>46185</v>
      </c>
      <c r="D1495" t="s">
        <v>21</v>
      </c>
      <c r="E1495" t="s">
        <v>22</v>
      </c>
      <c r="F1495" s="27">
        <v>45694</v>
      </c>
      <c r="G1495">
        <v>2</v>
      </c>
      <c r="H1495">
        <v>2</v>
      </c>
      <c r="I1495" t="s">
        <v>839</v>
      </c>
      <c r="J1495" s="27">
        <v>45700</v>
      </c>
      <c r="L1495" s="29">
        <v>1778.0172412500001</v>
      </c>
      <c r="M1495" s="29">
        <v>3556.0344825000002</v>
      </c>
      <c r="N1495" s="15">
        <v>45689</v>
      </c>
    </row>
    <row r="1496" spans="1:14" x14ac:dyDescent="0.25">
      <c r="A1496">
        <v>390194</v>
      </c>
      <c r="B1496" t="s">
        <v>35</v>
      </c>
      <c r="C1496">
        <v>47615</v>
      </c>
      <c r="D1496" t="s">
        <v>25</v>
      </c>
      <c r="E1496" t="s">
        <v>22</v>
      </c>
      <c r="F1496" s="27">
        <v>45694</v>
      </c>
      <c r="G1496">
        <v>8</v>
      </c>
      <c r="H1496">
        <v>8</v>
      </c>
      <c r="I1496" t="s">
        <v>728</v>
      </c>
      <c r="J1496" s="27">
        <v>45727</v>
      </c>
      <c r="L1496" s="29">
        <v>1185.3448275000001</v>
      </c>
      <c r="M1496" s="29">
        <v>9482.7586200000005</v>
      </c>
      <c r="N1496" s="15">
        <v>45689</v>
      </c>
    </row>
    <row r="1497" spans="1:14" x14ac:dyDescent="0.25">
      <c r="A1497">
        <v>394070</v>
      </c>
      <c r="B1497" t="s">
        <v>35</v>
      </c>
      <c r="C1497">
        <v>52114</v>
      </c>
      <c r="D1497" t="s">
        <v>37</v>
      </c>
      <c r="E1497" t="s">
        <v>22</v>
      </c>
      <c r="F1497" s="27">
        <v>45694</v>
      </c>
      <c r="G1497">
        <v>6</v>
      </c>
      <c r="H1497">
        <v>6</v>
      </c>
      <c r="I1497" t="s">
        <v>607</v>
      </c>
      <c r="J1497" s="27">
        <v>45737</v>
      </c>
      <c r="L1497" s="29">
        <v>316.09195375000002</v>
      </c>
      <c r="M1497" s="29">
        <v>1896.5517225000001</v>
      </c>
      <c r="N1497" s="15">
        <v>45689</v>
      </c>
    </row>
    <row r="1498" spans="1:14" x14ac:dyDescent="0.25">
      <c r="A1498">
        <v>412261</v>
      </c>
      <c r="B1498" t="s">
        <v>35</v>
      </c>
      <c r="C1498">
        <v>47569</v>
      </c>
      <c r="D1498" t="s">
        <v>30</v>
      </c>
      <c r="E1498" t="s">
        <v>22</v>
      </c>
      <c r="F1498" s="27">
        <v>45694</v>
      </c>
      <c r="G1498">
        <v>8</v>
      </c>
      <c r="H1498">
        <v>8</v>
      </c>
      <c r="I1498" t="s">
        <v>494</v>
      </c>
      <c r="J1498" s="27">
        <v>45777</v>
      </c>
      <c r="L1498" s="29">
        <v>632.18390812500002</v>
      </c>
      <c r="M1498" s="29">
        <v>5057.4712650000001</v>
      </c>
      <c r="N1498" s="15">
        <v>45689</v>
      </c>
    </row>
    <row r="1499" spans="1:14" x14ac:dyDescent="0.25">
      <c r="A1499">
        <v>379500</v>
      </c>
      <c r="B1499" t="s">
        <v>35</v>
      </c>
      <c r="C1499">
        <v>47569</v>
      </c>
      <c r="D1499" t="s">
        <v>21</v>
      </c>
      <c r="E1499" t="s">
        <v>22</v>
      </c>
      <c r="F1499" s="27">
        <v>45694</v>
      </c>
      <c r="G1499">
        <v>4</v>
      </c>
      <c r="H1499">
        <v>4</v>
      </c>
      <c r="I1499" t="s">
        <v>840</v>
      </c>
      <c r="J1499" s="27">
        <v>45700</v>
      </c>
      <c r="L1499" s="29">
        <v>1778.0172412500001</v>
      </c>
      <c r="M1499" s="29">
        <v>7112.0689650000004</v>
      </c>
      <c r="N1499" s="15">
        <v>45689</v>
      </c>
    </row>
    <row r="1500" spans="1:14" x14ac:dyDescent="0.25">
      <c r="A1500">
        <v>379501</v>
      </c>
      <c r="B1500" t="s">
        <v>35</v>
      </c>
      <c r="C1500">
        <v>47569</v>
      </c>
      <c r="D1500" t="s">
        <v>21</v>
      </c>
      <c r="E1500" t="s">
        <v>22</v>
      </c>
      <c r="F1500" s="27">
        <v>45694</v>
      </c>
      <c r="G1500">
        <v>1</v>
      </c>
      <c r="H1500">
        <v>1</v>
      </c>
      <c r="I1500" t="s">
        <v>841</v>
      </c>
      <c r="J1500" s="27">
        <v>45700</v>
      </c>
      <c r="L1500" s="29">
        <v>1778.0172412500001</v>
      </c>
      <c r="M1500" s="29">
        <v>1778.0172412500001</v>
      </c>
      <c r="N1500" s="15">
        <v>45689</v>
      </c>
    </row>
    <row r="1501" spans="1:14" x14ac:dyDescent="0.25">
      <c r="A1501">
        <v>379502</v>
      </c>
      <c r="B1501" t="s">
        <v>35</v>
      </c>
      <c r="C1501">
        <v>47569</v>
      </c>
      <c r="D1501" t="s">
        <v>21</v>
      </c>
      <c r="E1501" t="s">
        <v>22</v>
      </c>
      <c r="F1501" s="27">
        <v>45694</v>
      </c>
      <c r="G1501">
        <v>1</v>
      </c>
      <c r="H1501">
        <v>1</v>
      </c>
      <c r="I1501" t="s">
        <v>842</v>
      </c>
      <c r="J1501" s="27">
        <v>45700</v>
      </c>
      <c r="L1501" s="29">
        <v>1778.0172412500001</v>
      </c>
      <c r="M1501" s="29">
        <v>1778.0172412500001</v>
      </c>
      <c r="N1501" s="15">
        <v>45689</v>
      </c>
    </row>
    <row r="1502" spans="1:14" x14ac:dyDescent="0.25">
      <c r="A1502">
        <v>415620</v>
      </c>
      <c r="B1502" t="s">
        <v>35</v>
      </c>
      <c r="C1502">
        <v>47572</v>
      </c>
      <c r="D1502" t="s">
        <v>42</v>
      </c>
      <c r="E1502" t="s">
        <v>22</v>
      </c>
      <c r="F1502" s="27">
        <v>45694</v>
      </c>
      <c r="G1502">
        <v>0.5</v>
      </c>
      <c r="H1502">
        <v>0.5</v>
      </c>
      <c r="I1502" t="s">
        <v>621</v>
      </c>
      <c r="J1502" s="27">
        <v>45789</v>
      </c>
      <c r="L1502" s="29">
        <v>1418</v>
      </c>
      <c r="M1502" s="29">
        <v>709</v>
      </c>
      <c r="N1502" s="15">
        <v>45689</v>
      </c>
    </row>
    <row r="1503" spans="1:14" x14ac:dyDescent="0.25">
      <c r="A1503">
        <v>381345</v>
      </c>
      <c r="B1503" t="s">
        <v>38</v>
      </c>
      <c r="C1503">
        <v>47707</v>
      </c>
      <c r="D1503" t="s">
        <v>39</v>
      </c>
      <c r="E1503" t="s">
        <v>19</v>
      </c>
      <c r="F1503" s="27">
        <v>45694</v>
      </c>
      <c r="G1503">
        <v>8</v>
      </c>
      <c r="H1503">
        <v>8</v>
      </c>
      <c r="I1503" t="s">
        <v>580</v>
      </c>
      <c r="J1503" s="27">
        <v>45706</v>
      </c>
      <c r="L1503" s="29">
        <v>790.22988499999997</v>
      </c>
      <c r="M1503" s="29">
        <v>6321.8390799999997</v>
      </c>
      <c r="N1503" s="15">
        <v>45689</v>
      </c>
    </row>
    <row r="1504" spans="1:14" x14ac:dyDescent="0.25">
      <c r="A1504">
        <v>377601</v>
      </c>
      <c r="B1504" t="s">
        <v>951</v>
      </c>
      <c r="C1504">
        <v>45146</v>
      </c>
      <c r="D1504" t="s">
        <v>26</v>
      </c>
      <c r="E1504" t="s">
        <v>22</v>
      </c>
      <c r="F1504" s="27">
        <v>45693</v>
      </c>
      <c r="G1504">
        <v>40</v>
      </c>
      <c r="H1504">
        <v>40</v>
      </c>
      <c r="I1504" t="s">
        <v>1006</v>
      </c>
      <c r="J1504" s="27">
        <v>45693</v>
      </c>
      <c r="L1504" s="29">
        <v>1027.2988506249999</v>
      </c>
      <c r="M1504" s="29">
        <v>41091.954024999999</v>
      </c>
      <c r="N1504" s="15">
        <v>45689</v>
      </c>
    </row>
    <row r="1505" spans="1:14" x14ac:dyDescent="0.25">
      <c r="A1505">
        <v>378149</v>
      </c>
      <c r="B1505" t="s">
        <v>35</v>
      </c>
      <c r="C1505">
        <v>47569</v>
      </c>
      <c r="D1505" t="s">
        <v>36</v>
      </c>
      <c r="E1505" t="s">
        <v>22</v>
      </c>
      <c r="F1505" s="27">
        <v>45693</v>
      </c>
      <c r="G1505">
        <v>5</v>
      </c>
      <c r="H1505">
        <v>5</v>
      </c>
      <c r="I1505">
        <v>1303</v>
      </c>
      <c r="J1505" s="27">
        <v>45694</v>
      </c>
      <c r="L1505" s="29">
        <v>1896.551724375</v>
      </c>
      <c r="M1505" s="29">
        <v>9482.7586218750002</v>
      </c>
      <c r="N1505" s="15">
        <v>45689</v>
      </c>
    </row>
    <row r="1506" spans="1:14" x14ac:dyDescent="0.25">
      <c r="A1506">
        <v>378150</v>
      </c>
      <c r="B1506" t="s">
        <v>35</v>
      </c>
      <c r="C1506">
        <v>47572</v>
      </c>
      <c r="D1506" t="s">
        <v>36</v>
      </c>
      <c r="E1506" t="s">
        <v>22</v>
      </c>
      <c r="F1506" s="27">
        <v>45693</v>
      </c>
      <c r="G1506">
        <v>3</v>
      </c>
      <c r="H1506">
        <v>3</v>
      </c>
      <c r="I1506" t="s">
        <v>838</v>
      </c>
      <c r="J1506" s="27">
        <v>45694</v>
      </c>
      <c r="L1506" s="29">
        <v>1896.551724375</v>
      </c>
      <c r="M1506" s="29">
        <v>5689.6551731250001</v>
      </c>
      <c r="N1506" s="15">
        <v>45689</v>
      </c>
    </row>
    <row r="1507" spans="1:14" x14ac:dyDescent="0.25">
      <c r="A1507">
        <v>390193</v>
      </c>
      <c r="B1507" t="s">
        <v>35</v>
      </c>
      <c r="C1507">
        <v>47615</v>
      </c>
      <c r="D1507" t="s">
        <v>25</v>
      </c>
      <c r="E1507" t="s">
        <v>22</v>
      </c>
      <c r="F1507" s="27">
        <v>45693</v>
      </c>
      <c r="G1507">
        <v>8</v>
      </c>
      <c r="H1507">
        <v>8</v>
      </c>
      <c r="I1507" t="s">
        <v>728</v>
      </c>
      <c r="J1507" s="27">
        <v>45727</v>
      </c>
      <c r="L1507" s="29">
        <v>1185.3448275000001</v>
      </c>
      <c r="M1507" s="29">
        <v>9482.7586200000005</v>
      </c>
      <c r="N1507" s="15">
        <v>45689</v>
      </c>
    </row>
    <row r="1508" spans="1:14" x14ac:dyDescent="0.25">
      <c r="A1508">
        <v>377431</v>
      </c>
      <c r="B1508" t="s">
        <v>40</v>
      </c>
      <c r="C1508">
        <v>49384</v>
      </c>
      <c r="D1508" t="s">
        <v>37</v>
      </c>
      <c r="E1508" t="s">
        <v>22</v>
      </c>
      <c r="F1508" s="27">
        <v>45693</v>
      </c>
      <c r="G1508">
        <v>32</v>
      </c>
      <c r="H1508">
        <v>32</v>
      </c>
      <c r="I1508" t="s">
        <v>843</v>
      </c>
      <c r="J1508" s="27">
        <v>45693</v>
      </c>
      <c r="L1508" s="29">
        <v>316.09195375000002</v>
      </c>
      <c r="M1508" s="29">
        <v>10114.942520000001</v>
      </c>
      <c r="N1508" s="15">
        <v>45689</v>
      </c>
    </row>
    <row r="1509" spans="1:14" x14ac:dyDescent="0.25">
      <c r="A1509">
        <v>412260</v>
      </c>
      <c r="B1509" t="s">
        <v>35</v>
      </c>
      <c r="C1509">
        <v>47570</v>
      </c>
      <c r="D1509" t="s">
        <v>30</v>
      </c>
      <c r="E1509" t="s">
        <v>22</v>
      </c>
      <c r="F1509" s="27">
        <v>45693</v>
      </c>
      <c r="G1509">
        <v>8</v>
      </c>
      <c r="H1509">
        <v>8</v>
      </c>
      <c r="I1509" t="s">
        <v>494</v>
      </c>
      <c r="J1509" s="27">
        <v>45777</v>
      </c>
      <c r="L1509" s="29">
        <v>632.18390812500002</v>
      </c>
      <c r="M1509" s="29">
        <v>5057.4712650000001</v>
      </c>
      <c r="N1509" s="15">
        <v>45689</v>
      </c>
    </row>
    <row r="1510" spans="1:14" x14ac:dyDescent="0.25">
      <c r="A1510">
        <v>379496</v>
      </c>
      <c r="B1510" t="s">
        <v>35</v>
      </c>
      <c r="C1510">
        <v>47572</v>
      </c>
      <c r="D1510" t="s">
        <v>21</v>
      </c>
      <c r="E1510" t="s">
        <v>22</v>
      </c>
      <c r="F1510" s="27">
        <v>45693</v>
      </c>
      <c r="G1510">
        <v>1</v>
      </c>
      <c r="H1510">
        <v>1</v>
      </c>
      <c r="I1510" t="s">
        <v>804</v>
      </c>
      <c r="J1510" s="27">
        <v>45700</v>
      </c>
      <c r="L1510" s="29">
        <v>1778.0172412500001</v>
      </c>
      <c r="M1510" s="29">
        <v>1778.0172412500001</v>
      </c>
      <c r="N1510" s="15">
        <v>45689</v>
      </c>
    </row>
    <row r="1511" spans="1:14" x14ac:dyDescent="0.25">
      <c r="A1511">
        <v>379497</v>
      </c>
      <c r="B1511" t="s">
        <v>35</v>
      </c>
      <c r="C1511">
        <v>47569</v>
      </c>
      <c r="D1511" t="s">
        <v>21</v>
      </c>
      <c r="E1511" t="s">
        <v>22</v>
      </c>
      <c r="F1511" s="27">
        <v>45693</v>
      </c>
      <c r="G1511">
        <v>4</v>
      </c>
      <c r="H1511">
        <v>4</v>
      </c>
      <c r="I1511" t="s">
        <v>844</v>
      </c>
      <c r="J1511" s="27">
        <v>45700</v>
      </c>
      <c r="L1511" s="29">
        <v>1778.0172412500001</v>
      </c>
      <c r="M1511" s="29">
        <v>7112.0689650000004</v>
      </c>
      <c r="N1511" s="15">
        <v>45689</v>
      </c>
    </row>
    <row r="1512" spans="1:14" x14ac:dyDescent="0.25">
      <c r="A1512">
        <v>379498</v>
      </c>
      <c r="B1512" t="s">
        <v>35</v>
      </c>
      <c r="C1512">
        <v>47569</v>
      </c>
      <c r="D1512" t="s">
        <v>21</v>
      </c>
      <c r="E1512" t="s">
        <v>22</v>
      </c>
      <c r="F1512" s="27">
        <v>45693</v>
      </c>
      <c r="G1512">
        <v>3</v>
      </c>
      <c r="H1512">
        <v>3</v>
      </c>
      <c r="I1512" t="s">
        <v>845</v>
      </c>
      <c r="J1512" s="27">
        <v>45700</v>
      </c>
      <c r="L1512" s="29">
        <v>1778.0172412500001</v>
      </c>
      <c r="M1512" s="29">
        <v>5334.0517237500007</v>
      </c>
      <c r="N1512" s="15">
        <v>45689</v>
      </c>
    </row>
    <row r="1513" spans="1:14" x14ac:dyDescent="0.25">
      <c r="A1513">
        <v>379499</v>
      </c>
      <c r="B1513" t="s">
        <v>35</v>
      </c>
      <c r="C1513">
        <v>47572</v>
      </c>
      <c r="D1513" t="s">
        <v>21</v>
      </c>
      <c r="E1513" t="s">
        <v>22</v>
      </c>
      <c r="F1513" s="27">
        <v>45693</v>
      </c>
      <c r="G1513">
        <v>0.5</v>
      </c>
      <c r="H1513">
        <v>0.5</v>
      </c>
      <c r="I1513" t="s">
        <v>846</v>
      </c>
      <c r="J1513" s="27">
        <v>45700</v>
      </c>
      <c r="L1513" s="29">
        <v>1778.0172412500001</v>
      </c>
      <c r="M1513" s="29">
        <v>889.00862062500005</v>
      </c>
      <c r="N1513" s="15">
        <v>45689</v>
      </c>
    </row>
    <row r="1514" spans="1:14" x14ac:dyDescent="0.25">
      <c r="A1514">
        <v>415619</v>
      </c>
      <c r="B1514" t="s">
        <v>35</v>
      </c>
      <c r="C1514">
        <v>47572</v>
      </c>
      <c r="D1514" t="s">
        <v>42</v>
      </c>
      <c r="E1514" t="s">
        <v>22</v>
      </c>
      <c r="F1514" s="27">
        <v>45693</v>
      </c>
      <c r="G1514">
        <v>0.5</v>
      </c>
      <c r="H1514">
        <v>0.5</v>
      </c>
      <c r="I1514" t="s">
        <v>621</v>
      </c>
      <c r="J1514" s="27">
        <v>45789</v>
      </c>
      <c r="L1514" s="29">
        <v>1418</v>
      </c>
      <c r="M1514" s="29">
        <v>709</v>
      </c>
      <c r="N1514" s="15">
        <v>45689</v>
      </c>
    </row>
    <row r="1515" spans="1:14" x14ac:dyDescent="0.25">
      <c r="A1515">
        <v>415628</v>
      </c>
      <c r="B1515" t="s">
        <v>35</v>
      </c>
      <c r="C1515">
        <v>47614</v>
      </c>
      <c r="D1515" t="s">
        <v>42</v>
      </c>
      <c r="E1515" t="s">
        <v>22</v>
      </c>
      <c r="F1515" s="27">
        <v>45693</v>
      </c>
      <c r="G1515">
        <v>3</v>
      </c>
      <c r="H1515">
        <v>3</v>
      </c>
      <c r="I1515">
        <v>903</v>
      </c>
      <c r="J1515" s="27">
        <v>45789</v>
      </c>
      <c r="L1515" s="29">
        <v>1418</v>
      </c>
      <c r="M1515" s="29">
        <v>4254</v>
      </c>
      <c r="N1515" s="15">
        <v>45689</v>
      </c>
    </row>
    <row r="1516" spans="1:14" x14ac:dyDescent="0.25">
      <c r="A1516">
        <v>381344</v>
      </c>
      <c r="B1516" t="s">
        <v>38</v>
      </c>
      <c r="C1516">
        <v>47707</v>
      </c>
      <c r="D1516" t="s">
        <v>39</v>
      </c>
      <c r="E1516" t="s">
        <v>19</v>
      </c>
      <c r="F1516" s="27">
        <v>45693</v>
      </c>
      <c r="G1516">
        <v>8</v>
      </c>
      <c r="H1516">
        <v>8</v>
      </c>
      <c r="I1516" t="s">
        <v>580</v>
      </c>
      <c r="J1516" s="27">
        <v>45706</v>
      </c>
      <c r="L1516" s="29">
        <v>790.22988499999997</v>
      </c>
      <c r="M1516" s="29">
        <v>6321.8390799999997</v>
      </c>
      <c r="N1516" s="15">
        <v>45689</v>
      </c>
    </row>
    <row r="1517" spans="1:14" x14ac:dyDescent="0.25">
      <c r="A1517">
        <v>377253</v>
      </c>
      <c r="B1517" t="s">
        <v>40</v>
      </c>
      <c r="C1517">
        <v>49383</v>
      </c>
      <c r="D1517" t="s">
        <v>41</v>
      </c>
      <c r="E1517" t="s">
        <v>22</v>
      </c>
      <c r="F1517" s="27">
        <v>45693</v>
      </c>
      <c r="G1517">
        <v>46</v>
      </c>
      <c r="H1517">
        <v>46</v>
      </c>
      <c r="I1517" t="s">
        <v>439</v>
      </c>
      <c r="J1517" s="27">
        <v>45693</v>
      </c>
      <c r="L1517" s="29">
        <v>1580.4597699999999</v>
      </c>
      <c r="M1517" s="29">
        <v>72701.149420000002</v>
      </c>
      <c r="N1517" s="15">
        <v>45689</v>
      </c>
    </row>
    <row r="1518" spans="1:14" x14ac:dyDescent="0.25">
      <c r="A1518">
        <v>377254</v>
      </c>
      <c r="B1518" t="s">
        <v>40</v>
      </c>
      <c r="C1518">
        <v>49384</v>
      </c>
      <c r="D1518" t="s">
        <v>41</v>
      </c>
      <c r="E1518" t="s">
        <v>22</v>
      </c>
      <c r="F1518" s="27">
        <v>45693</v>
      </c>
      <c r="G1518">
        <v>34</v>
      </c>
      <c r="H1518">
        <v>34</v>
      </c>
      <c r="I1518" t="s">
        <v>847</v>
      </c>
      <c r="J1518" s="27">
        <v>45693</v>
      </c>
      <c r="L1518" s="29">
        <v>1580.4597699999999</v>
      </c>
      <c r="M1518" s="29">
        <v>53735.632180000001</v>
      </c>
      <c r="N1518" s="15">
        <v>45689</v>
      </c>
    </row>
    <row r="1519" spans="1:14" x14ac:dyDescent="0.25">
      <c r="A1519">
        <v>377255</v>
      </c>
      <c r="B1519" t="s">
        <v>40</v>
      </c>
      <c r="C1519">
        <v>49385</v>
      </c>
      <c r="D1519" t="s">
        <v>41</v>
      </c>
      <c r="E1519" t="s">
        <v>22</v>
      </c>
      <c r="F1519" s="27">
        <v>45693</v>
      </c>
      <c r="G1519">
        <v>3</v>
      </c>
      <c r="H1519">
        <v>3</v>
      </c>
      <c r="I1519" t="s">
        <v>848</v>
      </c>
      <c r="J1519" s="27">
        <v>45693</v>
      </c>
      <c r="L1519" s="29">
        <v>1580.4597699999999</v>
      </c>
      <c r="M1519" s="29">
        <v>4741.3793100000003</v>
      </c>
      <c r="N1519" s="15">
        <v>45689</v>
      </c>
    </row>
    <row r="1520" spans="1:14" x14ac:dyDescent="0.25">
      <c r="A1520">
        <v>377256</v>
      </c>
      <c r="B1520" t="s">
        <v>40</v>
      </c>
      <c r="C1520">
        <v>49386</v>
      </c>
      <c r="D1520" t="s">
        <v>41</v>
      </c>
      <c r="E1520" t="s">
        <v>22</v>
      </c>
      <c r="F1520" s="27">
        <v>45693</v>
      </c>
      <c r="G1520">
        <v>8</v>
      </c>
      <c r="H1520">
        <v>8</v>
      </c>
      <c r="I1520" t="s">
        <v>849</v>
      </c>
      <c r="J1520" s="27">
        <v>45693</v>
      </c>
      <c r="L1520" s="29">
        <v>1580.4597699999999</v>
      </c>
      <c r="M1520" s="29">
        <v>12643.678159999999</v>
      </c>
      <c r="N1520" s="15">
        <v>45689</v>
      </c>
    </row>
    <row r="1521" spans="1:14" x14ac:dyDescent="0.25">
      <c r="A1521">
        <v>378146</v>
      </c>
      <c r="B1521" t="s">
        <v>35</v>
      </c>
      <c r="C1521">
        <v>47570</v>
      </c>
      <c r="D1521" t="s">
        <v>36</v>
      </c>
      <c r="E1521" t="s">
        <v>22</v>
      </c>
      <c r="F1521" s="27">
        <v>45692</v>
      </c>
      <c r="G1521">
        <v>3.5</v>
      </c>
      <c r="H1521">
        <v>3.5</v>
      </c>
      <c r="I1521" t="s">
        <v>633</v>
      </c>
      <c r="J1521" s="27">
        <v>45694</v>
      </c>
      <c r="L1521" s="29">
        <v>1896.551724375</v>
      </c>
      <c r="M1521" s="29">
        <v>6637.9310353125002</v>
      </c>
      <c r="N1521" s="15">
        <v>45689</v>
      </c>
    </row>
    <row r="1522" spans="1:14" x14ac:dyDescent="0.25">
      <c r="A1522">
        <v>378147</v>
      </c>
      <c r="B1522" t="s">
        <v>35</v>
      </c>
      <c r="C1522">
        <v>47569</v>
      </c>
      <c r="D1522" t="s">
        <v>36</v>
      </c>
      <c r="E1522" t="s">
        <v>22</v>
      </c>
      <c r="F1522" s="27">
        <v>45692</v>
      </c>
      <c r="G1522">
        <v>1</v>
      </c>
      <c r="H1522">
        <v>1</v>
      </c>
      <c r="I1522" t="s">
        <v>850</v>
      </c>
      <c r="J1522" s="27">
        <v>45694</v>
      </c>
      <c r="L1522" s="29">
        <v>1896.551724375</v>
      </c>
      <c r="M1522" s="29">
        <v>1896.551724375</v>
      </c>
      <c r="N1522" s="15">
        <v>45689</v>
      </c>
    </row>
    <row r="1523" spans="1:14" x14ac:dyDescent="0.25">
      <c r="A1523">
        <v>378148</v>
      </c>
      <c r="B1523" t="s">
        <v>35</v>
      </c>
      <c r="C1523">
        <v>47572</v>
      </c>
      <c r="D1523" t="s">
        <v>36</v>
      </c>
      <c r="E1523" t="s">
        <v>22</v>
      </c>
      <c r="F1523" s="27">
        <v>45692</v>
      </c>
      <c r="G1523">
        <v>3.5</v>
      </c>
      <c r="H1523">
        <v>3.5</v>
      </c>
      <c r="I1523" t="s">
        <v>838</v>
      </c>
      <c r="J1523" s="27">
        <v>45694</v>
      </c>
      <c r="L1523" s="29">
        <v>1896.551724375</v>
      </c>
      <c r="M1523" s="29">
        <v>6637.9310353125002</v>
      </c>
      <c r="N1523" s="15">
        <v>45689</v>
      </c>
    </row>
    <row r="1524" spans="1:14" x14ac:dyDescent="0.25">
      <c r="A1524">
        <v>390192</v>
      </c>
      <c r="B1524" t="s">
        <v>35</v>
      </c>
      <c r="C1524">
        <v>47615</v>
      </c>
      <c r="D1524" t="s">
        <v>25</v>
      </c>
      <c r="E1524" t="s">
        <v>22</v>
      </c>
      <c r="F1524" s="27">
        <v>45692</v>
      </c>
      <c r="G1524">
        <v>8</v>
      </c>
      <c r="H1524">
        <v>8</v>
      </c>
      <c r="I1524" t="s">
        <v>728</v>
      </c>
      <c r="J1524" s="27">
        <v>45727</v>
      </c>
      <c r="L1524" s="29">
        <v>1185.3448275000001</v>
      </c>
      <c r="M1524" s="29">
        <v>9482.7586200000005</v>
      </c>
      <c r="N1524" s="15">
        <v>45689</v>
      </c>
    </row>
    <row r="1525" spans="1:14" x14ac:dyDescent="0.25">
      <c r="A1525">
        <v>412243</v>
      </c>
      <c r="B1525" t="s">
        <v>20</v>
      </c>
      <c r="C1525">
        <v>52828</v>
      </c>
      <c r="D1525" t="s">
        <v>21</v>
      </c>
      <c r="E1525" t="s">
        <v>22</v>
      </c>
      <c r="F1525" s="27">
        <v>45692</v>
      </c>
      <c r="G1525">
        <v>1.5</v>
      </c>
      <c r="H1525">
        <v>1.5</v>
      </c>
      <c r="I1525" t="s">
        <v>397</v>
      </c>
      <c r="J1525" s="27">
        <v>45777</v>
      </c>
      <c r="L1525" s="29">
        <v>1778.0172412500001</v>
      </c>
      <c r="M1525" s="29">
        <v>2667.0258618750004</v>
      </c>
      <c r="N1525" s="15">
        <v>45689</v>
      </c>
    </row>
    <row r="1526" spans="1:14" x14ac:dyDescent="0.25">
      <c r="A1526">
        <v>412259</v>
      </c>
      <c r="B1526" t="s">
        <v>35</v>
      </c>
      <c r="C1526">
        <v>47569</v>
      </c>
      <c r="D1526" t="s">
        <v>30</v>
      </c>
      <c r="E1526" t="s">
        <v>22</v>
      </c>
      <c r="F1526" s="27">
        <v>45692</v>
      </c>
      <c r="G1526">
        <v>8</v>
      </c>
      <c r="H1526">
        <v>8</v>
      </c>
      <c r="I1526" t="s">
        <v>494</v>
      </c>
      <c r="J1526" s="27">
        <v>45777</v>
      </c>
      <c r="L1526" s="29">
        <v>632.18390812500002</v>
      </c>
      <c r="M1526" s="29">
        <v>5057.4712650000001</v>
      </c>
      <c r="N1526" s="15">
        <v>45689</v>
      </c>
    </row>
    <row r="1527" spans="1:14" x14ac:dyDescent="0.25">
      <c r="A1527">
        <v>379492</v>
      </c>
      <c r="B1527" t="s">
        <v>35</v>
      </c>
      <c r="C1527">
        <v>47572</v>
      </c>
      <c r="D1527" t="s">
        <v>21</v>
      </c>
      <c r="E1527" t="s">
        <v>22</v>
      </c>
      <c r="F1527" s="27">
        <v>45692</v>
      </c>
      <c r="G1527">
        <v>0.5</v>
      </c>
      <c r="H1527">
        <v>0.5</v>
      </c>
      <c r="I1527" t="s">
        <v>851</v>
      </c>
      <c r="J1527" s="27">
        <v>45700</v>
      </c>
      <c r="L1527" s="29">
        <v>1778.0172412500001</v>
      </c>
      <c r="M1527" s="29">
        <v>889.00862062500005</v>
      </c>
      <c r="N1527" s="15">
        <v>45689</v>
      </c>
    </row>
    <row r="1528" spans="1:14" x14ac:dyDescent="0.25">
      <c r="A1528">
        <v>379493</v>
      </c>
      <c r="B1528" t="s">
        <v>35</v>
      </c>
      <c r="C1528">
        <v>47572</v>
      </c>
      <c r="D1528" t="s">
        <v>21</v>
      </c>
      <c r="E1528" t="s">
        <v>22</v>
      </c>
      <c r="F1528" s="27">
        <v>45692</v>
      </c>
      <c r="G1528">
        <v>0.5</v>
      </c>
      <c r="H1528">
        <v>0.5</v>
      </c>
      <c r="I1528" t="s">
        <v>699</v>
      </c>
      <c r="J1528" s="27">
        <v>45700</v>
      </c>
      <c r="L1528" s="29">
        <v>1778.0172412500001</v>
      </c>
      <c r="M1528" s="29">
        <v>889.00862062500005</v>
      </c>
      <c r="N1528" s="15">
        <v>45689</v>
      </c>
    </row>
    <row r="1529" spans="1:14" x14ac:dyDescent="0.25">
      <c r="A1529">
        <v>379494</v>
      </c>
      <c r="B1529" t="s">
        <v>35</v>
      </c>
      <c r="C1529">
        <v>47572</v>
      </c>
      <c r="D1529" t="s">
        <v>21</v>
      </c>
      <c r="E1529" t="s">
        <v>22</v>
      </c>
      <c r="F1529" s="27">
        <v>45692</v>
      </c>
      <c r="G1529">
        <v>0.5</v>
      </c>
      <c r="H1529">
        <v>0.5</v>
      </c>
      <c r="I1529" t="s">
        <v>852</v>
      </c>
      <c r="J1529" s="27">
        <v>45700</v>
      </c>
      <c r="L1529" s="29">
        <v>1778.0172412500001</v>
      </c>
      <c r="M1529" s="29">
        <v>889.00862062500005</v>
      </c>
      <c r="N1529" s="15">
        <v>45689</v>
      </c>
    </row>
    <row r="1530" spans="1:14" x14ac:dyDescent="0.25">
      <c r="A1530">
        <v>379495</v>
      </c>
      <c r="B1530" t="s">
        <v>35</v>
      </c>
      <c r="C1530">
        <v>47569</v>
      </c>
      <c r="D1530" t="s">
        <v>21</v>
      </c>
      <c r="E1530" t="s">
        <v>22</v>
      </c>
      <c r="F1530" s="27">
        <v>45692</v>
      </c>
      <c r="G1530">
        <v>5</v>
      </c>
      <c r="H1530">
        <v>5</v>
      </c>
      <c r="I1530" t="s">
        <v>853</v>
      </c>
      <c r="J1530" s="27">
        <v>45700</v>
      </c>
      <c r="L1530" s="29">
        <v>1778.0172412500001</v>
      </c>
      <c r="M1530" s="29">
        <v>8890.08620625</v>
      </c>
      <c r="N1530" s="15">
        <v>45689</v>
      </c>
    </row>
    <row r="1531" spans="1:14" x14ac:dyDescent="0.25">
      <c r="A1531">
        <v>415618</v>
      </c>
      <c r="B1531" t="s">
        <v>35</v>
      </c>
      <c r="C1531">
        <v>47572</v>
      </c>
      <c r="D1531" t="s">
        <v>42</v>
      </c>
      <c r="E1531" t="s">
        <v>22</v>
      </c>
      <c r="F1531" s="27">
        <v>45692</v>
      </c>
      <c r="G1531">
        <v>0.5</v>
      </c>
      <c r="H1531">
        <v>0.5</v>
      </c>
      <c r="I1531" t="s">
        <v>621</v>
      </c>
      <c r="J1531" s="27">
        <v>45789</v>
      </c>
      <c r="L1531" s="29">
        <v>1418</v>
      </c>
      <c r="M1531" s="29">
        <v>709</v>
      </c>
      <c r="N1531" s="15">
        <v>45689</v>
      </c>
    </row>
    <row r="1532" spans="1:14" x14ac:dyDescent="0.25">
      <c r="A1532">
        <v>381343</v>
      </c>
      <c r="B1532" t="s">
        <v>38</v>
      </c>
      <c r="C1532">
        <v>47707</v>
      </c>
      <c r="D1532" t="s">
        <v>39</v>
      </c>
      <c r="E1532" t="s">
        <v>19</v>
      </c>
      <c r="F1532" s="27">
        <v>45692</v>
      </c>
      <c r="G1532">
        <v>8</v>
      </c>
      <c r="H1532">
        <v>8</v>
      </c>
      <c r="I1532" t="s">
        <v>580</v>
      </c>
      <c r="J1532" s="27">
        <v>45706</v>
      </c>
      <c r="L1532" s="29">
        <v>790.22988499999997</v>
      </c>
      <c r="M1532" s="29">
        <v>6321.8390799999997</v>
      </c>
      <c r="N1532" s="15">
        <v>45689</v>
      </c>
    </row>
    <row r="1533" spans="1:14" x14ac:dyDescent="0.25">
      <c r="A1533">
        <v>378142</v>
      </c>
      <c r="B1533" t="s">
        <v>35</v>
      </c>
      <c r="C1533">
        <v>47537</v>
      </c>
      <c r="D1533" t="s">
        <v>36</v>
      </c>
      <c r="E1533" t="s">
        <v>22</v>
      </c>
      <c r="F1533" s="27">
        <v>45691</v>
      </c>
      <c r="G1533">
        <v>1</v>
      </c>
      <c r="H1533">
        <v>1</v>
      </c>
      <c r="I1533" t="s">
        <v>854</v>
      </c>
      <c r="J1533" s="27">
        <v>45694</v>
      </c>
      <c r="L1533" s="29">
        <v>1896.551724375</v>
      </c>
      <c r="M1533" s="29">
        <v>1896.551724375</v>
      </c>
      <c r="N1533" s="15">
        <v>45689</v>
      </c>
    </row>
    <row r="1534" spans="1:14" x14ac:dyDescent="0.25">
      <c r="A1534">
        <v>378143</v>
      </c>
      <c r="B1534" t="s">
        <v>35</v>
      </c>
      <c r="C1534">
        <v>47570</v>
      </c>
      <c r="D1534" t="s">
        <v>36</v>
      </c>
      <c r="E1534" t="s">
        <v>22</v>
      </c>
      <c r="F1534" s="27">
        <v>45691</v>
      </c>
      <c r="G1534">
        <v>2.5</v>
      </c>
      <c r="H1534">
        <v>2.5</v>
      </c>
      <c r="I1534" t="s">
        <v>633</v>
      </c>
      <c r="J1534" s="27">
        <v>45694</v>
      </c>
      <c r="L1534" s="29">
        <v>1896.551724375</v>
      </c>
      <c r="M1534" s="29">
        <v>4741.3793109375001</v>
      </c>
      <c r="N1534" s="15">
        <v>45689</v>
      </c>
    </row>
    <row r="1535" spans="1:14" x14ac:dyDescent="0.25">
      <c r="A1535">
        <v>378144</v>
      </c>
      <c r="B1535" t="s">
        <v>35</v>
      </c>
      <c r="C1535">
        <v>47568</v>
      </c>
      <c r="D1535" t="s">
        <v>36</v>
      </c>
      <c r="E1535" t="s">
        <v>22</v>
      </c>
      <c r="F1535" s="27">
        <v>45691</v>
      </c>
      <c r="G1535">
        <v>2.75</v>
      </c>
      <c r="H1535">
        <v>2.75</v>
      </c>
      <c r="I1535" t="s">
        <v>855</v>
      </c>
      <c r="J1535" s="27">
        <v>45694</v>
      </c>
      <c r="L1535" s="29">
        <v>1896.551724375</v>
      </c>
      <c r="M1535" s="29">
        <v>5215.5172420312501</v>
      </c>
      <c r="N1535" s="15">
        <v>45689</v>
      </c>
    </row>
    <row r="1536" spans="1:14" x14ac:dyDescent="0.25">
      <c r="A1536">
        <v>378145</v>
      </c>
      <c r="B1536" t="s">
        <v>35</v>
      </c>
      <c r="C1536">
        <v>47572</v>
      </c>
      <c r="D1536" t="s">
        <v>36</v>
      </c>
      <c r="E1536" t="s">
        <v>22</v>
      </c>
      <c r="F1536" s="27">
        <v>45691</v>
      </c>
      <c r="G1536">
        <v>1.5</v>
      </c>
      <c r="H1536">
        <v>1.5</v>
      </c>
      <c r="I1536" t="s">
        <v>856</v>
      </c>
      <c r="J1536" s="27">
        <v>45694</v>
      </c>
      <c r="L1536" s="29">
        <v>1896.551724375</v>
      </c>
      <c r="M1536" s="29">
        <v>2844.8275865625001</v>
      </c>
      <c r="N1536" s="15">
        <v>45689</v>
      </c>
    </row>
    <row r="1537" spans="1:14" x14ac:dyDescent="0.25">
      <c r="A1537">
        <v>390191</v>
      </c>
      <c r="B1537" t="s">
        <v>35</v>
      </c>
      <c r="C1537">
        <v>47615</v>
      </c>
      <c r="D1537" t="s">
        <v>25</v>
      </c>
      <c r="E1537" t="s">
        <v>22</v>
      </c>
      <c r="F1537" s="27">
        <v>45691</v>
      </c>
      <c r="G1537">
        <v>8</v>
      </c>
      <c r="H1537">
        <v>8</v>
      </c>
      <c r="I1537" t="s">
        <v>728</v>
      </c>
      <c r="J1537" s="27">
        <v>45727</v>
      </c>
      <c r="L1537" s="29">
        <v>1185.3448275000001</v>
      </c>
      <c r="M1537" s="29">
        <v>9482.7586200000005</v>
      </c>
      <c r="N1537" s="15">
        <v>45689</v>
      </c>
    </row>
    <row r="1538" spans="1:14" x14ac:dyDescent="0.25">
      <c r="A1538">
        <v>379487</v>
      </c>
      <c r="B1538" t="s">
        <v>35</v>
      </c>
      <c r="C1538">
        <v>47572</v>
      </c>
      <c r="D1538" t="s">
        <v>21</v>
      </c>
      <c r="E1538" t="s">
        <v>22</v>
      </c>
      <c r="F1538" s="27">
        <v>45691</v>
      </c>
      <c r="G1538">
        <v>0.5</v>
      </c>
      <c r="H1538">
        <v>0.5</v>
      </c>
      <c r="I1538" t="s">
        <v>699</v>
      </c>
      <c r="J1538" s="27">
        <v>45700</v>
      </c>
      <c r="L1538" s="29">
        <v>1778.0172412500001</v>
      </c>
      <c r="M1538" s="29">
        <v>889.00862062500005</v>
      </c>
      <c r="N1538" s="15">
        <v>45689</v>
      </c>
    </row>
    <row r="1539" spans="1:14" x14ac:dyDescent="0.25">
      <c r="A1539">
        <v>379488</v>
      </c>
      <c r="B1539" t="s">
        <v>35</v>
      </c>
      <c r="C1539">
        <v>47572</v>
      </c>
      <c r="D1539" t="s">
        <v>21</v>
      </c>
      <c r="E1539" t="s">
        <v>22</v>
      </c>
      <c r="F1539" s="27">
        <v>45691</v>
      </c>
      <c r="G1539">
        <v>1.5</v>
      </c>
      <c r="H1539">
        <v>1.5</v>
      </c>
      <c r="I1539" t="s">
        <v>857</v>
      </c>
      <c r="J1539" s="27">
        <v>45700</v>
      </c>
      <c r="L1539" s="29">
        <v>1778.0172412500001</v>
      </c>
      <c r="M1539" s="29">
        <v>2667.0258618750004</v>
      </c>
      <c r="N1539" s="15">
        <v>45689</v>
      </c>
    </row>
    <row r="1540" spans="1:14" x14ac:dyDescent="0.25">
      <c r="A1540">
        <v>412258</v>
      </c>
      <c r="B1540" t="s">
        <v>35</v>
      </c>
      <c r="C1540">
        <v>47569</v>
      </c>
      <c r="D1540" t="s">
        <v>30</v>
      </c>
      <c r="E1540" t="s">
        <v>22</v>
      </c>
      <c r="F1540" s="27">
        <v>45691</v>
      </c>
      <c r="G1540">
        <v>8</v>
      </c>
      <c r="H1540">
        <v>8</v>
      </c>
      <c r="I1540" t="s">
        <v>858</v>
      </c>
      <c r="J1540" s="27">
        <v>45777</v>
      </c>
      <c r="L1540" s="29">
        <v>632.18390812500002</v>
      </c>
      <c r="M1540" s="29">
        <v>5057.4712650000001</v>
      </c>
      <c r="N1540" s="15">
        <v>45689</v>
      </c>
    </row>
    <row r="1541" spans="1:14" x14ac:dyDescent="0.25">
      <c r="A1541">
        <v>379490</v>
      </c>
      <c r="B1541" t="s">
        <v>35</v>
      </c>
      <c r="C1541">
        <v>47569</v>
      </c>
      <c r="D1541" t="s">
        <v>21</v>
      </c>
      <c r="E1541" t="s">
        <v>22</v>
      </c>
      <c r="F1541" s="27">
        <v>45691</v>
      </c>
      <c r="G1541">
        <v>5</v>
      </c>
      <c r="H1541">
        <v>5</v>
      </c>
      <c r="I1541" t="s">
        <v>859</v>
      </c>
      <c r="J1541" s="27">
        <v>45700</v>
      </c>
      <c r="L1541" s="29">
        <v>1778.0172412500001</v>
      </c>
      <c r="M1541" s="29">
        <v>8890.08620625</v>
      </c>
      <c r="N1541" s="15">
        <v>45689</v>
      </c>
    </row>
    <row r="1542" spans="1:14" x14ac:dyDescent="0.25">
      <c r="A1542">
        <v>379491</v>
      </c>
      <c r="B1542" t="s">
        <v>35</v>
      </c>
      <c r="C1542">
        <v>47569</v>
      </c>
      <c r="D1542" t="s">
        <v>21</v>
      </c>
      <c r="E1542" t="s">
        <v>22</v>
      </c>
      <c r="F1542" s="27">
        <v>45691</v>
      </c>
      <c r="G1542">
        <v>5.5</v>
      </c>
      <c r="H1542">
        <v>5.5</v>
      </c>
      <c r="I1542" t="s">
        <v>860</v>
      </c>
      <c r="J1542" s="27">
        <v>45700</v>
      </c>
      <c r="L1542" s="29">
        <v>1778.0172412500001</v>
      </c>
      <c r="M1542" s="29">
        <v>9779.0948268749999</v>
      </c>
      <c r="N1542" s="15">
        <v>45689</v>
      </c>
    </row>
    <row r="1543" spans="1:14" x14ac:dyDescent="0.25">
      <c r="A1543">
        <v>415627</v>
      </c>
      <c r="B1543" t="s">
        <v>35</v>
      </c>
      <c r="C1543">
        <v>47614</v>
      </c>
      <c r="D1543" t="s">
        <v>42</v>
      </c>
      <c r="E1543" t="s">
        <v>22</v>
      </c>
      <c r="F1543" s="27">
        <v>45691</v>
      </c>
      <c r="G1543">
        <v>6</v>
      </c>
      <c r="H1543">
        <v>6</v>
      </c>
      <c r="I1543">
        <v>1187</v>
      </c>
      <c r="J1543" s="27">
        <v>45789</v>
      </c>
      <c r="L1543" s="29">
        <v>1418</v>
      </c>
      <c r="M1543" s="29">
        <v>8508</v>
      </c>
      <c r="N1543" s="15">
        <v>45689</v>
      </c>
    </row>
    <row r="1544" spans="1:14" x14ac:dyDescent="0.25">
      <c r="A1544">
        <v>381342</v>
      </c>
      <c r="B1544" t="s">
        <v>38</v>
      </c>
      <c r="C1544">
        <v>47707</v>
      </c>
      <c r="D1544" t="s">
        <v>39</v>
      </c>
      <c r="E1544" t="s">
        <v>19</v>
      </c>
      <c r="F1544" s="27">
        <v>45691</v>
      </c>
      <c r="G1544">
        <v>8</v>
      </c>
      <c r="H1544">
        <v>8</v>
      </c>
      <c r="I1544" t="s">
        <v>580</v>
      </c>
      <c r="J1544" s="27">
        <v>45706</v>
      </c>
      <c r="L1544" s="29">
        <v>790.22988499999997</v>
      </c>
      <c r="M1544" s="29">
        <v>6321.8390799999997</v>
      </c>
      <c r="N1544" s="15">
        <v>45689</v>
      </c>
    </row>
    <row r="1545" spans="1:14" x14ac:dyDescent="0.25">
      <c r="A1545">
        <v>415626</v>
      </c>
      <c r="B1545" t="s">
        <v>35</v>
      </c>
      <c r="C1545">
        <v>47614</v>
      </c>
      <c r="D1545" t="s">
        <v>42</v>
      </c>
      <c r="E1545" t="s">
        <v>22</v>
      </c>
      <c r="F1545" s="27">
        <v>45690</v>
      </c>
      <c r="G1545">
        <v>2</v>
      </c>
      <c r="H1545">
        <v>2</v>
      </c>
      <c r="I1545">
        <v>187</v>
      </c>
      <c r="J1545" s="27">
        <v>45789</v>
      </c>
      <c r="L1545" s="29">
        <v>1418</v>
      </c>
      <c r="M1545" s="29">
        <v>2836</v>
      </c>
      <c r="N1545" s="15">
        <v>45689</v>
      </c>
    </row>
    <row r="1546" spans="1:14" x14ac:dyDescent="0.25">
      <c r="A1546">
        <v>415625</v>
      </c>
      <c r="B1546" t="s">
        <v>35</v>
      </c>
      <c r="C1546">
        <v>47614</v>
      </c>
      <c r="D1546" t="s">
        <v>42</v>
      </c>
      <c r="E1546" t="s">
        <v>22</v>
      </c>
      <c r="F1546" s="27">
        <v>45689</v>
      </c>
      <c r="G1546">
        <v>2</v>
      </c>
      <c r="H1546">
        <v>2</v>
      </c>
      <c r="I1546">
        <v>1187</v>
      </c>
      <c r="J1546" s="27">
        <v>45789</v>
      </c>
      <c r="L1546" s="29">
        <v>1418</v>
      </c>
      <c r="M1546" s="29">
        <v>2836</v>
      </c>
      <c r="N1546" s="15">
        <v>45689</v>
      </c>
    </row>
    <row r="1547" spans="1:14" x14ac:dyDescent="0.25">
      <c r="A1547">
        <v>390190</v>
      </c>
      <c r="B1547" t="s">
        <v>35</v>
      </c>
      <c r="C1547">
        <v>47615</v>
      </c>
      <c r="D1547" t="s">
        <v>25</v>
      </c>
      <c r="E1547" t="s">
        <v>22</v>
      </c>
      <c r="F1547" s="27">
        <v>45688</v>
      </c>
      <c r="G1547">
        <v>8</v>
      </c>
      <c r="H1547">
        <v>8</v>
      </c>
      <c r="I1547" t="s">
        <v>728</v>
      </c>
      <c r="J1547" s="27">
        <v>45727</v>
      </c>
      <c r="L1547" s="29">
        <v>1394.5233264705882</v>
      </c>
      <c r="M1547" s="29">
        <v>11156.186611764706</v>
      </c>
      <c r="N1547" s="15">
        <v>45658</v>
      </c>
    </row>
    <row r="1548" spans="1:14" x14ac:dyDescent="0.25">
      <c r="A1548">
        <v>393801</v>
      </c>
      <c r="B1548" t="s">
        <v>35</v>
      </c>
      <c r="C1548">
        <v>47569</v>
      </c>
      <c r="D1548" t="s">
        <v>21</v>
      </c>
      <c r="E1548" t="s">
        <v>22</v>
      </c>
      <c r="F1548" s="27">
        <v>45688</v>
      </c>
      <c r="G1548">
        <v>6</v>
      </c>
      <c r="H1548">
        <v>6</v>
      </c>
      <c r="I1548" t="s">
        <v>861</v>
      </c>
      <c r="J1548" s="27">
        <v>45737</v>
      </c>
      <c r="L1548" s="29">
        <v>2091.7849897058823</v>
      </c>
      <c r="M1548" s="29">
        <v>12550.709938235294</v>
      </c>
      <c r="N1548" s="15">
        <v>45658</v>
      </c>
    </row>
    <row r="1549" spans="1:14" x14ac:dyDescent="0.25">
      <c r="A1549">
        <v>379485</v>
      </c>
      <c r="B1549" t="s">
        <v>35</v>
      </c>
      <c r="C1549">
        <v>47537</v>
      </c>
      <c r="D1549" t="s">
        <v>21</v>
      </c>
      <c r="E1549" t="s">
        <v>22</v>
      </c>
      <c r="F1549" s="27">
        <v>45688</v>
      </c>
      <c r="G1549">
        <v>1</v>
      </c>
      <c r="H1549">
        <v>1</v>
      </c>
      <c r="I1549" t="s">
        <v>862</v>
      </c>
      <c r="J1549" s="27">
        <v>45700</v>
      </c>
      <c r="L1549" s="29">
        <v>2091.7849897058823</v>
      </c>
      <c r="M1549" s="29">
        <v>2091.7849897058823</v>
      </c>
      <c r="N1549" s="15">
        <v>45658</v>
      </c>
    </row>
    <row r="1550" spans="1:14" x14ac:dyDescent="0.25">
      <c r="A1550">
        <v>379486</v>
      </c>
      <c r="B1550" t="s">
        <v>35</v>
      </c>
      <c r="C1550">
        <v>47572</v>
      </c>
      <c r="D1550" t="s">
        <v>21</v>
      </c>
      <c r="E1550" t="s">
        <v>22</v>
      </c>
      <c r="F1550" s="27">
        <v>45688</v>
      </c>
      <c r="G1550">
        <v>1</v>
      </c>
      <c r="H1550">
        <v>1</v>
      </c>
      <c r="I1550" t="s">
        <v>863</v>
      </c>
      <c r="J1550" s="27">
        <v>45700</v>
      </c>
      <c r="L1550" s="29">
        <v>2091.7849897058823</v>
      </c>
      <c r="M1550" s="29">
        <v>2091.7849897058823</v>
      </c>
      <c r="N1550" s="15">
        <v>45658</v>
      </c>
    </row>
    <row r="1551" spans="1:14" x14ac:dyDescent="0.25">
      <c r="A1551">
        <v>432268</v>
      </c>
      <c r="B1551" t="s">
        <v>18</v>
      </c>
      <c r="C1551">
        <v>29</v>
      </c>
      <c r="D1551" t="s">
        <v>37</v>
      </c>
      <c r="E1551" t="s">
        <v>19</v>
      </c>
      <c r="F1551" s="27">
        <v>45688</v>
      </c>
      <c r="G1551">
        <v>72</v>
      </c>
      <c r="H1551">
        <v>72</v>
      </c>
      <c r="I1551" t="s">
        <v>255</v>
      </c>
      <c r="J1551" s="27">
        <v>45836</v>
      </c>
      <c r="L1551" s="29">
        <v>371.87288676470587</v>
      </c>
      <c r="M1551" s="29">
        <v>26774.847847058823</v>
      </c>
      <c r="N1551" s="15">
        <v>45658</v>
      </c>
    </row>
    <row r="1552" spans="1:14" x14ac:dyDescent="0.25">
      <c r="A1552">
        <v>432280</v>
      </c>
      <c r="B1552" t="s">
        <v>35</v>
      </c>
      <c r="C1552">
        <v>47614</v>
      </c>
      <c r="D1552" t="s">
        <v>252</v>
      </c>
      <c r="E1552" t="s">
        <v>22</v>
      </c>
      <c r="F1552" s="27">
        <v>45688</v>
      </c>
      <c r="G1552">
        <v>136</v>
      </c>
      <c r="H1552">
        <v>136</v>
      </c>
      <c r="I1552" t="s">
        <v>294</v>
      </c>
      <c r="J1552" s="27">
        <v>45836</v>
      </c>
      <c r="L1552" s="29">
        <v>1380</v>
      </c>
      <c r="M1552" s="29">
        <v>187680</v>
      </c>
      <c r="N1552" s="15">
        <v>45658</v>
      </c>
    </row>
    <row r="1553" spans="1:14" x14ac:dyDescent="0.25">
      <c r="A1553">
        <v>432281</v>
      </c>
      <c r="B1553" t="s">
        <v>35</v>
      </c>
      <c r="C1553">
        <v>47614</v>
      </c>
      <c r="D1553" t="s">
        <v>42</v>
      </c>
      <c r="E1553" t="s">
        <v>22</v>
      </c>
      <c r="F1553" s="27">
        <v>45688</v>
      </c>
      <c r="G1553">
        <v>4</v>
      </c>
      <c r="H1553">
        <v>4</v>
      </c>
      <c r="I1553" t="s">
        <v>294</v>
      </c>
      <c r="J1553" s="27">
        <v>45836</v>
      </c>
      <c r="L1553" s="29">
        <v>1418</v>
      </c>
      <c r="M1553" s="29">
        <v>5672</v>
      </c>
      <c r="N1553" s="15">
        <v>45658</v>
      </c>
    </row>
    <row r="1554" spans="1:14" x14ac:dyDescent="0.25">
      <c r="A1554">
        <v>432291</v>
      </c>
      <c r="B1554" t="s">
        <v>18</v>
      </c>
      <c r="C1554">
        <v>29</v>
      </c>
      <c r="D1554" t="s">
        <v>21</v>
      </c>
      <c r="E1554" t="s">
        <v>19</v>
      </c>
      <c r="F1554" s="27">
        <v>45688</v>
      </c>
      <c r="G1554">
        <v>36</v>
      </c>
      <c r="H1554">
        <v>36</v>
      </c>
      <c r="I1554" t="s">
        <v>255</v>
      </c>
      <c r="J1554" s="27">
        <v>45836</v>
      </c>
      <c r="L1554" s="29">
        <v>2091.7849897058823</v>
      </c>
      <c r="M1554" s="29">
        <v>75304.259629411768</v>
      </c>
      <c r="N1554" s="15">
        <v>45658</v>
      </c>
    </row>
    <row r="1555" spans="1:14" x14ac:dyDescent="0.25">
      <c r="A1555">
        <v>412370</v>
      </c>
      <c r="B1555" t="s">
        <v>35</v>
      </c>
      <c r="C1555">
        <v>47569</v>
      </c>
      <c r="D1555" t="s">
        <v>30</v>
      </c>
      <c r="E1555" t="s">
        <v>22</v>
      </c>
      <c r="F1555" s="27">
        <v>45688</v>
      </c>
      <c r="G1555">
        <v>8</v>
      </c>
      <c r="H1555">
        <v>8</v>
      </c>
      <c r="I1555" t="s">
        <v>494</v>
      </c>
      <c r="J1555" s="27">
        <v>45777</v>
      </c>
      <c r="L1555" s="29">
        <v>743.74577426470591</v>
      </c>
      <c r="M1555" s="29">
        <v>5949.9661941176473</v>
      </c>
      <c r="N1555" s="15">
        <v>45658</v>
      </c>
    </row>
    <row r="1556" spans="1:14" x14ac:dyDescent="0.25">
      <c r="A1556">
        <v>372958</v>
      </c>
      <c r="B1556" t="s">
        <v>38</v>
      </c>
      <c r="C1556">
        <v>47707</v>
      </c>
      <c r="D1556" t="s">
        <v>39</v>
      </c>
      <c r="E1556" t="s">
        <v>19</v>
      </c>
      <c r="F1556" s="27">
        <v>45688</v>
      </c>
      <c r="G1556">
        <v>24</v>
      </c>
      <c r="H1556">
        <v>24</v>
      </c>
      <c r="I1556" t="s">
        <v>580</v>
      </c>
      <c r="J1556" s="27">
        <v>45684</v>
      </c>
      <c r="L1556" s="29">
        <v>929.68221764705879</v>
      </c>
      <c r="M1556" s="29">
        <v>22312.373223529412</v>
      </c>
      <c r="N1556" s="15">
        <v>45658</v>
      </c>
    </row>
    <row r="1557" spans="1:14" x14ac:dyDescent="0.25">
      <c r="A1557">
        <v>379433</v>
      </c>
      <c r="B1557" t="s">
        <v>20</v>
      </c>
      <c r="C1557">
        <v>50787</v>
      </c>
      <c r="D1557" t="s">
        <v>21</v>
      </c>
      <c r="E1557" t="s">
        <v>22</v>
      </c>
      <c r="F1557" s="27">
        <v>45687</v>
      </c>
      <c r="G1557">
        <v>3</v>
      </c>
      <c r="H1557">
        <v>3</v>
      </c>
      <c r="I1557" t="s">
        <v>864</v>
      </c>
      <c r="J1557" s="27">
        <v>45700</v>
      </c>
      <c r="L1557" s="29">
        <v>2091.7849897058823</v>
      </c>
      <c r="M1557" s="29">
        <v>6275.3549691176468</v>
      </c>
      <c r="N1557" s="15">
        <v>45658</v>
      </c>
    </row>
    <row r="1558" spans="1:14" x14ac:dyDescent="0.25">
      <c r="A1558">
        <v>390189</v>
      </c>
      <c r="B1558" t="s">
        <v>35</v>
      </c>
      <c r="C1558">
        <v>47615</v>
      </c>
      <c r="D1558" t="s">
        <v>25</v>
      </c>
      <c r="E1558" t="s">
        <v>22</v>
      </c>
      <c r="F1558" s="27">
        <v>45687</v>
      </c>
      <c r="G1558">
        <v>8</v>
      </c>
      <c r="H1558">
        <v>8</v>
      </c>
      <c r="I1558" t="s">
        <v>728</v>
      </c>
      <c r="J1558" s="27">
        <v>45727</v>
      </c>
      <c r="L1558" s="29">
        <v>1394.5233264705882</v>
      </c>
      <c r="M1558" s="29">
        <v>11156.186611764706</v>
      </c>
      <c r="N1558" s="15">
        <v>45658</v>
      </c>
    </row>
    <row r="1559" spans="1:14" x14ac:dyDescent="0.25">
      <c r="A1559">
        <v>412991</v>
      </c>
      <c r="B1559" t="s">
        <v>34</v>
      </c>
      <c r="C1559">
        <v>21152</v>
      </c>
      <c r="D1559" t="s">
        <v>32</v>
      </c>
      <c r="E1559" t="s">
        <v>19</v>
      </c>
      <c r="F1559" s="27">
        <v>45687</v>
      </c>
      <c r="G1559">
        <v>28</v>
      </c>
      <c r="H1559">
        <v>28</v>
      </c>
      <c r="I1559" t="s">
        <v>487</v>
      </c>
      <c r="J1559" s="27">
        <v>45777</v>
      </c>
      <c r="L1559" s="29">
        <v>2324.2055441176472</v>
      </c>
      <c r="M1559" s="29">
        <v>65077.75523529412</v>
      </c>
      <c r="N1559" s="15">
        <v>45658</v>
      </c>
    </row>
    <row r="1560" spans="1:14" x14ac:dyDescent="0.25">
      <c r="A1560">
        <v>379482</v>
      </c>
      <c r="B1560" t="s">
        <v>35</v>
      </c>
      <c r="C1560">
        <v>47569</v>
      </c>
      <c r="D1560" t="s">
        <v>21</v>
      </c>
      <c r="E1560" t="s">
        <v>22</v>
      </c>
      <c r="F1560" s="27">
        <v>45687</v>
      </c>
      <c r="G1560">
        <v>5</v>
      </c>
      <c r="H1560">
        <v>5</v>
      </c>
      <c r="I1560" t="s">
        <v>865</v>
      </c>
      <c r="J1560" s="27">
        <v>45700</v>
      </c>
      <c r="L1560" s="29">
        <v>2091.7849897058823</v>
      </c>
      <c r="M1560" s="29">
        <v>10458.924948529411</v>
      </c>
      <c r="N1560" s="15">
        <v>45658</v>
      </c>
    </row>
    <row r="1561" spans="1:14" x14ac:dyDescent="0.25">
      <c r="A1561">
        <v>374158</v>
      </c>
      <c r="B1561" t="s">
        <v>35</v>
      </c>
      <c r="C1561">
        <v>50749</v>
      </c>
      <c r="D1561" t="s">
        <v>231</v>
      </c>
      <c r="E1561" t="s">
        <v>22</v>
      </c>
      <c r="F1561" s="27">
        <v>45687</v>
      </c>
      <c r="G1561">
        <v>38</v>
      </c>
      <c r="H1561">
        <v>38</v>
      </c>
      <c r="I1561" t="s">
        <v>866</v>
      </c>
      <c r="J1561" s="27">
        <v>45687</v>
      </c>
      <c r="L1561" s="29">
        <v>929.68221764705879</v>
      </c>
      <c r="M1561" s="29">
        <v>35327.924270588235</v>
      </c>
      <c r="N1561" s="15">
        <v>45658</v>
      </c>
    </row>
    <row r="1562" spans="1:14" x14ac:dyDescent="0.25">
      <c r="A1562">
        <v>432294</v>
      </c>
      <c r="B1562" t="s">
        <v>38</v>
      </c>
      <c r="C1562">
        <v>49440</v>
      </c>
      <c r="D1562" t="s">
        <v>256</v>
      </c>
      <c r="E1562" t="s">
        <v>19</v>
      </c>
      <c r="F1562" s="27">
        <v>45687</v>
      </c>
      <c r="G1562">
        <v>32</v>
      </c>
      <c r="H1562">
        <v>32</v>
      </c>
      <c r="I1562" t="s">
        <v>294</v>
      </c>
      <c r="J1562" s="27">
        <v>45836</v>
      </c>
      <c r="L1562" s="29">
        <v>1952.3326573529412</v>
      </c>
      <c r="M1562" s="29">
        <v>62474.645035294117</v>
      </c>
      <c r="N1562" s="15">
        <v>45658</v>
      </c>
    </row>
    <row r="1563" spans="1:14" x14ac:dyDescent="0.25">
      <c r="A1563">
        <v>432295</v>
      </c>
      <c r="B1563" t="s">
        <v>18</v>
      </c>
      <c r="C1563">
        <v>29</v>
      </c>
      <c r="D1563" t="s">
        <v>256</v>
      </c>
      <c r="E1563" t="s">
        <v>19</v>
      </c>
      <c r="F1563" s="27">
        <v>45687</v>
      </c>
      <c r="G1563">
        <v>40</v>
      </c>
      <c r="H1563">
        <v>40</v>
      </c>
      <c r="I1563" t="s">
        <v>255</v>
      </c>
      <c r="J1563" s="27">
        <v>45836</v>
      </c>
      <c r="L1563" s="29">
        <v>1952.3326573529412</v>
      </c>
      <c r="M1563" s="29">
        <v>78093.306294117647</v>
      </c>
      <c r="N1563" s="15">
        <v>45658</v>
      </c>
    </row>
    <row r="1564" spans="1:14" x14ac:dyDescent="0.25">
      <c r="A1564">
        <v>432296</v>
      </c>
      <c r="B1564" t="s">
        <v>18</v>
      </c>
      <c r="C1564">
        <v>29</v>
      </c>
      <c r="D1564" t="s">
        <v>257</v>
      </c>
      <c r="E1564" t="s">
        <v>19</v>
      </c>
      <c r="F1564" s="27">
        <v>45687</v>
      </c>
      <c r="G1564">
        <v>47</v>
      </c>
      <c r="H1564">
        <v>47</v>
      </c>
      <c r="I1564" t="s">
        <v>255</v>
      </c>
      <c r="J1564" s="27">
        <v>45836</v>
      </c>
      <c r="L1564" s="29">
        <v>1673.4279919117646</v>
      </c>
      <c r="M1564" s="29">
        <v>78651.115619852935</v>
      </c>
      <c r="N1564" s="15">
        <v>45658</v>
      </c>
    </row>
    <row r="1565" spans="1:14" x14ac:dyDescent="0.25">
      <c r="A1565">
        <v>432297</v>
      </c>
      <c r="B1565" t="s">
        <v>254</v>
      </c>
      <c r="C1565">
        <v>45363</v>
      </c>
      <c r="D1565" t="s">
        <v>257</v>
      </c>
      <c r="E1565" t="s">
        <v>22</v>
      </c>
      <c r="F1565" s="27">
        <v>45687</v>
      </c>
      <c r="G1565">
        <v>49</v>
      </c>
      <c r="H1565">
        <v>49</v>
      </c>
      <c r="I1565" t="s">
        <v>294</v>
      </c>
      <c r="J1565" s="27">
        <v>45836</v>
      </c>
      <c r="L1565" s="29">
        <v>1673.4279919117646</v>
      </c>
      <c r="M1565" s="29">
        <v>81997.971603676458</v>
      </c>
      <c r="N1565" s="15">
        <v>45658</v>
      </c>
    </row>
    <row r="1566" spans="1:14" x14ac:dyDescent="0.25">
      <c r="A1566">
        <v>432298</v>
      </c>
      <c r="B1566" t="s">
        <v>35</v>
      </c>
      <c r="C1566">
        <v>47569</v>
      </c>
      <c r="D1566" t="s">
        <v>257</v>
      </c>
      <c r="E1566" t="s">
        <v>22</v>
      </c>
      <c r="F1566" s="27">
        <v>45687</v>
      </c>
      <c r="G1566">
        <v>40</v>
      </c>
      <c r="H1566">
        <v>40</v>
      </c>
      <c r="I1566" t="s">
        <v>294</v>
      </c>
      <c r="J1566" s="27">
        <v>45836</v>
      </c>
      <c r="L1566" s="29">
        <v>1673.4279919117646</v>
      </c>
      <c r="M1566" s="29">
        <v>66937.119676470582</v>
      </c>
      <c r="N1566" s="15">
        <v>45658</v>
      </c>
    </row>
    <row r="1567" spans="1:14" x14ac:dyDescent="0.25">
      <c r="A1567">
        <v>412369</v>
      </c>
      <c r="B1567" t="s">
        <v>35</v>
      </c>
      <c r="C1567">
        <v>47569</v>
      </c>
      <c r="D1567" t="s">
        <v>30</v>
      </c>
      <c r="E1567" t="s">
        <v>22</v>
      </c>
      <c r="F1567" s="27">
        <v>45687</v>
      </c>
      <c r="G1567">
        <v>8</v>
      </c>
      <c r="H1567">
        <v>8</v>
      </c>
      <c r="I1567" t="s">
        <v>494</v>
      </c>
      <c r="J1567" s="27">
        <v>45777</v>
      </c>
      <c r="L1567" s="29">
        <v>743.74577426470591</v>
      </c>
      <c r="M1567" s="29">
        <v>5949.9661941176473</v>
      </c>
      <c r="N1567" s="15">
        <v>45658</v>
      </c>
    </row>
    <row r="1568" spans="1:14" x14ac:dyDescent="0.25">
      <c r="A1568">
        <v>372957</v>
      </c>
      <c r="B1568" t="s">
        <v>38</v>
      </c>
      <c r="C1568">
        <v>47707</v>
      </c>
      <c r="D1568" t="s">
        <v>39</v>
      </c>
      <c r="E1568" t="s">
        <v>19</v>
      </c>
      <c r="F1568" s="27">
        <v>45687</v>
      </c>
      <c r="G1568">
        <v>8</v>
      </c>
      <c r="H1568">
        <v>8</v>
      </c>
      <c r="I1568" t="s">
        <v>580</v>
      </c>
      <c r="J1568" s="27">
        <v>45684</v>
      </c>
      <c r="L1568" s="29">
        <v>929.68221764705879</v>
      </c>
      <c r="M1568" s="29">
        <v>7437.4577411764703</v>
      </c>
      <c r="N1568" s="15">
        <v>45658</v>
      </c>
    </row>
    <row r="1569" spans="1:14" x14ac:dyDescent="0.25">
      <c r="A1569">
        <v>390188</v>
      </c>
      <c r="B1569" t="s">
        <v>35</v>
      </c>
      <c r="C1569">
        <v>47615</v>
      </c>
      <c r="D1569" t="s">
        <v>25</v>
      </c>
      <c r="E1569" t="s">
        <v>22</v>
      </c>
      <c r="F1569" s="27">
        <v>45686</v>
      </c>
      <c r="G1569">
        <v>8</v>
      </c>
      <c r="H1569">
        <v>8</v>
      </c>
      <c r="I1569" t="s">
        <v>728</v>
      </c>
      <c r="J1569" s="27">
        <v>45727</v>
      </c>
      <c r="L1569" s="29">
        <v>1394.5233264705882</v>
      </c>
      <c r="M1569" s="29">
        <v>11156.186611764706</v>
      </c>
      <c r="N1569" s="15">
        <v>45658</v>
      </c>
    </row>
    <row r="1570" spans="1:14" x14ac:dyDescent="0.25">
      <c r="A1570">
        <v>393800</v>
      </c>
      <c r="B1570" t="s">
        <v>35</v>
      </c>
      <c r="C1570">
        <v>47569</v>
      </c>
      <c r="D1570" t="s">
        <v>21</v>
      </c>
      <c r="E1570" t="s">
        <v>22</v>
      </c>
      <c r="F1570" s="27">
        <v>45686</v>
      </c>
      <c r="G1570">
        <v>3.5</v>
      </c>
      <c r="H1570">
        <v>3.5</v>
      </c>
      <c r="I1570" t="s">
        <v>867</v>
      </c>
      <c r="J1570" s="27">
        <v>45737</v>
      </c>
      <c r="L1570" s="29">
        <v>2091.7849897058823</v>
      </c>
      <c r="M1570" s="29">
        <v>7321.2474639705879</v>
      </c>
      <c r="N1570" s="15">
        <v>45658</v>
      </c>
    </row>
    <row r="1571" spans="1:14" x14ac:dyDescent="0.25">
      <c r="A1571">
        <v>379481</v>
      </c>
      <c r="B1571" t="s">
        <v>35</v>
      </c>
      <c r="C1571">
        <v>47572</v>
      </c>
      <c r="D1571" t="s">
        <v>21</v>
      </c>
      <c r="E1571" t="s">
        <v>22</v>
      </c>
      <c r="F1571" s="27">
        <v>45686</v>
      </c>
      <c r="G1571">
        <v>3</v>
      </c>
      <c r="H1571">
        <v>3</v>
      </c>
      <c r="I1571" t="s">
        <v>868</v>
      </c>
      <c r="J1571" s="27">
        <v>45700</v>
      </c>
      <c r="L1571" s="29">
        <v>2091.7849897058823</v>
      </c>
      <c r="M1571" s="29">
        <v>6275.3549691176468</v>
      </c>
      <c r="N1571" s="15">
        <v>45658</v>
      </c>
    </row>
    <row r="1572" spans="1:14" x14ac:dyDescent="0.25">
      <c r="A1572">
        <v>379483</v>
      </c>
      <c r="B1572" t="s">
        <v>35</v>
      </c>
      <c r="C1572">
        <v>47572</v>
      </c>
      <c r="D1572" t="s">
        <v>21</v>
      </c>
      <c r="E1572" t="s">
        <v>22</v>
      </c>
      <c r="F1572" s="27">
        <v>45686</v>
      </c>
      <c r="G1572">
        <v>1.5</v>
      </c>
      <c r="H1572">
        <v>1.5</v>
      </c>
      <c r="I1572" t="s">
        <v>869</v>
      </c>
      <c r="J1572" s="27">
        <v>45700</v>
      </c>
      <c r="L1572" s="29">
        <v>2091.7849897058823</v>
      </c>
      <c r="M1572" s="29">
        <v>3137.6774845588234</v>
      </c>
      <c r="N1572" s="15">
        <v>45658</v>
      </c>
    </row>
    <row r="1573" spans="1:14" x14ac:dyDescent="0.25">
      <c r="A1573">
        <v>432245</v>
      </c>
      <c r="B1573" t="s">
        <v>50</v>
      </c>
      <c r="C1573">
        <v>51887</v>
      </c>
      <c r="D1573" t="s">
        <v>27</v>
      </c>
      <c r="E1573" t="s">
        <v>22</v>
      </c>
      <c r="F1573" s="27">
        <v>45686</v>
      </c>
      <c r="G1573">
        <v>104</v>
      </c>
      <c r="H1573">
        <v>104</v>
      </c>
      <c r="I1573" t="s">
        <v>294</v>
      </c>
      <c r="J1573" s="27">
        <v>45836</v>
      </c>
      <c r="L1573" s="29">
        <v>743.74577426470591</v>
      </c>
      <c r="M1573" s="29">
        <v>77349.560523529421</v>
      </c>
      <c r="N1573" s="15">
        <v>45658</v>
      </c>
    </row>
    <row r="1574" spans="1:14" x14ac:dyDescent="0.25">
      <c r="A1574">
        <v>432246</v>
      </c>
      <c r="B1574" t="s">
        <v>18</v>
      </c>
      <c r="C1574">
        <v>34</v>
      </c>
      <c r="D1574" t="s">
        <v>27</v>
      </c>
      <c r="E1574" t="s">
        <v>19</v>
      </c>
      <c r="F1574" s="27">
        <v>45686</v>
      </c>
      <c r="G1574">
        <v>32</v>
      </c>
      <c r="H1574">
        <v>32</v>
      </c>
      <c r="I1574" t="s">
        <v>294</v>
      </c>
      <c r="J1574" s="27">
        <v>45836</v>
      </c>
      <c r="L1574" s="29">
        <v>743.74577426470591</v>
      </c>
      <c r="M1574" s="29">
        <v>23799.864776470589</v>
      </c>
      <c r="N1574" s="15">
        <v>45658</v>
      </c>
    </row>
    <row r="1575" spans="1:14" x14ac:dyDescent="0.25">
      <c r="A1575">
        <v>374159</v>
      </c>
      <c r="B1575" t="s">
        <v>35</v>
      </c>
      <c r="C1575">
        <v>47539</v>
      </c>
      <c r="D1575" t="s">
        <v>231</v>
      </c>
      <c r="E1575" t="s">
        <v>22</v>
      </c>
      <c r="F1575" s="27">
        <v>45686</v>
      </c>
      <c r="G1575">
        <v>6</v>
      </c>
      <c r="H1575">
        <v>6</v>
      </c>
      <c r="I1575" t="s">
        <v>870</v>
      </c>
      <c r="J1575" s="27">
        <v>45687</v>
      </c>
      <c r="L1575" s="29">
        <v>929.68221764705879</v>
      </c>
      <c r="M1575" s="29">
        <v>5578.093305882353</v>
      </c>
      <c r="N1575" s="15">
        <v>45658</v>
      </c>
    </row>
    <row r="1576" spans="1:14" x14ac:dyDescent="0.25">
      <c r="A1576">
        <v>374160</v>
      </c>
      <c r="B1576" t="s">
        <v>35</v>
      </c>
      <c r="C1576">
        <v>50749</v>
      </c>
      <c r="D1576" t="s">
        <v>231</v>
      </c>
      <c r="E1576" t="s">
        <v>22</v>
      </c>
      <c r="F1576" s="27">
        <v>45686</v>
      </c>
      <c r="G1576">
        <v>9</v>
      </c>
      <c r="H1576">
        <v>9</v>
      </c>
      <c r="I1576" t="s">
        <v>871</v>
      </c>
      <c r="J1576" s="27">
        <v>45687</v>
      </c>
      <c r="L1576" s="29">
        <v>929.68221764705879</v>
      </c>
      <c r="M1576" s="29">
        <v>8367.139958823529</v>
      </c>
      <c r="N1576" s="15">
        <v>45658</v>
      </c>
    </row>
    <row r="1577" spans="1:14" x14ac:dyDescent="0.25">
      <c r="A1577">
        <v>412367</v>
      </c>
      <c r="B1577" t="s">
        <v>35</v>
      </c>
      <c r="C1577">
        <v>47568</v>
      </c>
      <c r="D1577" t="s">
        <v>30</v>
      </c>
      <c r="E1577" t="s">
        <v>22</v>
      </c>
      <c r="F1577" s="27">
        <v>45686</v>
      </c>
      <c r="G1577">
        <v>8</v>
      </c>
      <c r="H1577">
        <v>8</v>
      </c>
      <c r="I1577" t="s">
        <v>494</v>
      </c>
      <c r="J1577" s="27">
        <v>45777</v>
      </c>
      <c r="L1577" s="29">
        <v>743.74577426470591</v>
      </c>
      <c r="M1577" s="29">
        <v>5949.9661941176473</v>
      </c>
      <c r="N1577" s="15">
        <v>45658</v>
      </c>
    </row>
    <row r="1578" spans="1:14" x14ac:dyDescent="0.25">
      <c r="A1578">
        <v>372956</v>
      </c>
      <c r="B1578" t="s">
        <v>38</v>
      </c>
      <c r="C1578">
        <v>47707</v>
      </c>
      <c r="D1578" t="s">
        <v>39</v>
      </c>
      <c r="E1578" t="s">
        <v>19</v>
      </c>
      <c r="F1578" s="27">
        <v>45686</v>
      </c>
      <c r="G1578">
        <v>8</v>
      </c>
      <c r="H1578">
        <v>8</v>
      </c>
      <c r="I1578" t="s">
        <v>580</v>
      </c>
      <c r="J1578" s="27">
        <v>45684</v>
      </c>
      <c r="L1578" s="29">
        <v>929.68221764705879</v>
      </c>
      <c r="M1578" s="29">
        <v>7437.4577411764703</v>
      </c>
      <c r="N1578" s="15">
        <v>45658</v>
      </c>
    </row>
    <row r="1579" spans="1:14" x14ac:dyDescent="0.25">
      <c r="A1579">
        <v>390187</v>
      </c>
      <c r="B1579" t="s">
        <v>35</v>
      </c>
      <c r="C1579">
        <v>47615</v>
      </c>
      <c r="D1579" t="s">
        <v>25</v>
      </c>
      <c r="E1579" t="s">
        <v>22</v>
      </c>
      <c r="F1579" s="27">
        <v>45685</v>
      </c>
      <c r="G1579">
        <v>8</v>
      </c>
      <c r="H1579">
        <v>8</v>
      </c>
      <c r="I1579" t="s">
        <v>728</v>
      </c>
      <c r="J1579" s="27">
        <v>45727</v>
      </c>
      <c r="L1579" s="29">
        <v>1394.5233264705882</v>
      </c>
      <c r="M1579" s="29">
        <v>11156.186611764706</v>
      </c>
      <c r="N1579" s="15">
        <v>45658</v>
      </c>
    </row>
    <row r="1580" spans="1:14" x14ac:dyDescent="0.25">
      <c r="A1580">
        <v>379477</v>
      </c>
      <c r="B1580" t="s">
        <v>35</v>
      </c>
      <c r="C1580">
        <v>47569</v>
      </c>
      <c r="D1580" t="s">
        <v>21</v>
      </c>
      <c r="E1580" t="s">
        <v>22</v>
      </c>
      <c r="F1580" s="27">
        <v>45685</v>
      </c>
      <c r="G1580">
        <v>2</v>
      </c>
      <c r="H1580">
        <v>2</v>
      </c>
      <c r="I1580" t="s">
        <v>872</v>
      </c>
      <c r="J1580" s="27">
        <v>45700</v>
      </c>
      <c r="L1580" s="29">
        <v>2091.7849897058823</v>
      </c>
      <c r="M1580" s="29">
        <v>4183.5699794117645</v>
      </c>
      <c r="N1580" s="15">
        <v>45658</v>
      </c>
    </row>
    <row r="1581" spans="1:14" x14ac:dyDescent="0.25">
      <c r="A1581">
        <v>379478</v>
      </c>
      <c r="B1581" t="s">
        <v>35</v>
      </c>
      <c r="C1581">
        <v>47569</v>
      </c>
      <c r="D1581" t="s">
        <v>21</v>
      </c>
      <c r="E1581" t="s">
        <v>22</v>
      </c>
      <c r="F1581" s="27">
        <v>45685</v>
      </c>
      <c r="G1581">
        <v>2</v>
      </c>
      <c r="H1581">
        <v>2</v>
      </c>
      <c r="I1581" t="s">
        <v>873</v>
      </c>
      <c r="J1581" s="27">
        <v>45700</v>
      </c>
      <c r="L1581" s="29">
        <v>2091.7849897058823</v>
      </c>
      <c r="M1581" s="29">
        <v>4183.5699794117645</v>
      </c>
      <c r="N1581" s="15">
        <v>45658</v>
      </c>
    </row>
    <row r="1582" spans="1:14" x14ac:dyDescent="0.25">
      <c r="A1582">
        <v>379479</v>
      </c>
      <c r="B1582" t="s">
        <v>35</v>
      </c>
      <c r="C1582">
        <v>47569</v>
      </c>
      <c r="D1582" t="s">
        <v>21</v>
      </c>
      <c r="E1582" t="s">
        <v>22</v>
      </c>
      <c r="F1582" s="27">
        <v>45685</v>
      </c>
      <c r="G1582">
        <v>3</v>
      </c>
      <c r="H1582">
        <v>3</v>
      </c>
      <c r="I1582" t="s">
        <v>874</v>
      </c>
      <c r="J1582" s="27">
        <v>45700</v>
      </c>
      <c r="L1582" s="29">
        <v>2091.7849897058823</v>
      </c>
      <c r="M1582" s="29">
        <v>6275.3549691176468</v>
      </c>
      <c r="N1582" s="15">
        <v>45658</v>
      </c>
    </row>
    <row r="1583" spans="1:14" x14ac:dyDescent="0.25">
      <c r="A1583">
        <v>379480</v>
      </c>
      <c r="B1583" t="s">
        <v>35</v>
      </c>
      <c r="C1583">
        <v>47572</v>
      </c>
      <c r="D1583" t="s">
        <v>21</v>
      </c>
      <c r="E1583" t="s">
        <v>22</v>
      </c>
      <c r="F1583" s="27">
        <v>45685</v>
      </c>
      <c r="G1583">
        <v>1</v>
      </c>
      <c r="H1583">
        <v>1</v>
      </c>
      <c r="I1583" t="s">
        <v>875</v>
      </c>
      <c r="J1583" s="27">
        <v>45700</v>
      </c>
      <c r="L1583" s="29">
        <v>2091.7849897058823</v>
      </c>
      <c r="M1583" s="29">
        <v>2091.7849897058823</v>
      </c>
      <c r="N1583" s="15">
        <v>45658</v>
      </c>
    </row>
    <row r="1584" spans="1:14" x14ac:dyDescent="0.25">
      <c r="A1584">
        <v>432010</v>
      </c>
      <c r="B1584" t="s">
        <v>35</v>
      </c>
      <c r="C1584">
        <v>47614</v>
      </c>
      <c r="D1584" t="s">
        <v>43</v>
      </c>
      <c r="E1584" t="s">
        <v>22</v>
      </c>
      <c r="F1584" s="27">
        <v>45685</v>
      </c>
      <c r="G1584">
        <v>84</v>
      </c>
      <c r="H1584">
        <v>84</v>
      </c>
      <c r="I1584" t="s">
        <v>542</v>
      </c>
      <c r="J1584" s="27">
        <v>45835</v>
      </c>
      <c r="L1584" s="29">
        <v>464.8411088235294</v>
      </c>
      <c r="M1584" s="29">
        <v>39046.653141176466</v>
      </c>
      <c r="N1584" s="15">
        <v>45658</v>
      </c>
    </row>
    <row r="1585" spans="1:14" x14ac:dyDescent="0.25">
      <c r="A1585">
        <v>432011</v>
      </c>
      <c r="B1585" t="s">
        <v>18</v>
      </c>
      <c r="C1585">
        <v>34</v>
      </c>
      <c r="D1585" t="s">
        <v>43</v>
      </c>
      <c r="E1585" t="s">
        <v>19</v>
      </c>
      <c r="F1585" s="27">
        <v>45685</v>
      </c>
      <c r="G1585">
        <v>52</v>
      </c>
      <c r="H1585">
        <v>52</v>
      </c>
      <c r="I1585" t="s">
        <v>642</v>
      </c>
      <c r="J1585" s="27">
        <v>45835</v>
      </c>
      <c r="L1585" s="29">
        <v>464.8411088235294</v>
      </c>
      <c r="M1585" s="29">
        <v>24171.737658823527</v>
      </c>
      <c r="N1585" s="15">
        <v>45658</v>
      </c>
    </row>
    <row r="1586" spans="1:14" x14ac:dyDescent="0.25">
      <c r="A1586">
        <v>374161</v>
      </c>
      <c r="B1586" t="s">
        <v>35</v>
      </c>
      <c r="C1586">
        <v>47572</v>
      </c>
      <c r="D1586" t="s">
        <v>231</v>
      </c>
      <c r="E1586" t="s">
        <v>22</v>
      </c>
      <c r="F1586" s="27">
        <v>45685</v>
      </c>
      <c r="G1586">
        <v>3</v>
      </c>
      <c r="H1586">
        <v>3</v>
      </c>
      <c r="I1586" t="s">
        <v>876</v>
      </c>
      <c r="J1586" s="27">
        <v>45687</v>
      </c>
      <c r="L1586" s="29">
        <v>929.68221764705879</v>
      </c>
      <c r="M1586" s="29">
        <v>2789.0466529411765</v>
      </c>
      <c r="N1586" s="15">
        <v>45658</v>
      </c>
    </row>
    <row r="1587" spans="1:14" x14ac:dyDescent="0.25">
      <c r="A1587">
        <v>374162</v>
      </c>
      <c r="B1587" t="s">
        <v>35</v>
      </c>
      <c r="C1587">
        <v>47538</v>
      </c>
      <c r="D1587" t="s">
        <v>231</v>
      </c>
      <c r="E1587" t="s">
        <v>22</v>
      </c>
      <c r="F1587" s="27">
        <v>45685</v>
      </c>
      <c r="G1587">
        <v>5</v>
      </c>
      <c r="H1587">
        <v>5</v>
      </c>
      <c r="I1587" t="s">
        <v>877</v>
      </c>
      <c r="J1587" s="27">
        <v>45687</v>
      </c>
      <c r="L1587" s="29">
        <v>929.68221764705879</v>
      </c>
      <c r="M1587" s="29">
        <v>4648.4110882352943</v>
      </c>
      <c r="N1587" s="15">
        <v>45658</v>
      </c>
    </row>
    <row r="1588" spans="1:14" x14ac:dyDescent="0.25">
      <c r="A1588">
        <v>412366</v>
      </c>
      <c r="B1588" t="s">
        <v>35</v>
      </c>
      <c r="C1588">
        <v>47569</v>
      </c>
      <c r="D1588" t="s">
        <v>30</v>
      </c>
      <c r="E1588" t="s">
        <v>22</v>
      </c>
      <c r="F1588" s="27">
        <v>45685</v>
      </c>
      <c r="G1588">
        <v>8</v>
      </c>
      <c r="H1588">
        <v>8</v>
      </c>
      <c r="I1588" t="s">
        <v>494</v>
      </c>
      <c r="J1588" s="27">
        <v>45777</v>
      </c>
      <c r="L1588" s="29">
        <v>743.74577426470591</v>
      </c>
      <c r="M1588" s="29">
        <v>5949.9661941176473</v>
      </c>
      <c r="N1588" s="15">
        <v>45658</v>
      </c>
    </row>
    <row r="1589" spans="1:14" x14ac:dyDescent="0.25">
      <c r="A1589">
        <v>372955</v>
      </c>
      <c r="B1589" t="s">
        <v>38</v>
      </c>
      <c r="C1589">
        <v>47707</v>
      </c>
      <c r="D1589" t="s">
        <v>39</v>
      </c>
      <c r="E1589" t="s">
        <v>19</v>
      </c>
      <c r="F1589" s="27">
        <v>45685</v>
      </c>
      <c r="G1589">
        <v>8</v>
      </c>
      <c r="H1589">
        <v>8</v>
      </c>
      <c r="I1589" t="s">
        <v>580</v>
      </c>
      <c r="J1589" s="27">
        <v>45684</v>
      </c>
      <c r="L1589" s="29">
        <v>929.68221764705879</v>
      </c>
      <c r="M1589" s="29">
        <v>7437.4577411764703</v>
      </c>
      <c r="N1589" s="15">
        <v>45658</v>
      </c>
    </row>
    <row r="1590" spans="1:14" x14ac:dyDescent="0.25">
      <c r="A1590">
        <v>390186</v>
      </c>
      <c r="B1590" t="s">
        <v>35</v>
      </c>
      <c r="C1590">
        <v>47615</v>
      </c>
      <c r="D1590" t="s">
        <v>25</v>
      </c>
      <c r="E1590" t="s">
        <v>22</v>
      </c>
      <c r="F1590" s="27">
        <v>45684</v>
      </c>
      <c r="G1590">
        <v>8</v>
      </c>
      <c r="H1590">
        <v>8</v>
      </c>
      <c r="I1590" t="s">
        <v>728</v>
      </c>
      <c r="J1590" s="27">
        <v>45727</v>
      </c>
      <c r="L1590" s="29">
        <v>1394.5233264705882</v>
      </c>
      <c r="M1590" s="29">
        <v>11156.186611764706</v>
      </c>
      <c r="N1590" s="15">
        <v>45658</v>
      </c>
    </row>
    <row r="1591" spans="1:14" x14ac:dyDescent="0.25">
      <c r="A1591">
        <v>379472</v>
      </c>
      <c r="B1591" t="s">
        <v>35</v>
      </c>
      <c r="C1591">
        <v>47569</v>
      </c>
      <c r="D1591" t="s">
        <v>21</v>
      </c>
      <c r="E1591" t="s">
        <v>22</v>
      </c>
      <c r="F1591" s="27">
        <v>45684</v>
      </c>
      <c r="G1591">
        <v>3</v>
      </c>
      <c r="H1591">
        <v>3</v>
      </c>
      <c r="I1591" t="s">
        <v>878</v>
      </c>
      <c r="J1591" s="27">
        <v>45700</v>
      </c>
      <c r="L1591" s="29">
        <v>2091.7849897058823</v>
      </c>
      <c r="M1591" s="29">
        <v>6275.3549691176468</v>
      </c>
      <c r="N1591" s="15">
        <v>45658</v>
      </c>
    </row>
    <row r="1592" spans="1:14" x14ac:dyDescent="0.25">
      <c r="A1592">
        <v>379473</v>
      </c>
      <c r="B1592" t="s">
        <v>35</v>
      </c>
      <c r="C1592">
        <v>47569</v>
      </c>
      <c r="D1592" t="s">
        <v>21</v>
      </c>
      <c r="E1592" t="s">
        <v>22</v>
      </c>
      <c r="F1592" s="27">
        <v>45684</v>
      </c>
      <c r="G1592">
        <v>1</v>
      </c>
      <c r="H1592">
        <v>1</v>
      </c>
      <c r="I1592" t="s">
        <v>879</v>
      </c>
      <c r="J1592" s="27">
        <v>45700</v>
      </c>
      <c r="L1592" s="29">
        <v>2091.7849897058823</v>
      </c>
      <c r="M1592" s="29">
        <v>2091.7849897058823</v>
      </c>
      <c r="N1592" s="15">
        <v>45658</v>
      </c>
    </row>
    <row r="1593" spans="1:14" x14ac:dyDescent="0.25">
      <c r="A1593">
        <v>379474</v>
      </c>
      <c r="B1593" t="s">
        <v>35</v>
      </c>
      <c r="C1593">
        <v>47569</v>
      </c>
      <c r="D1593" t="s">
        <v>21</v>
      </c>
      <c r="E1593" t="s">
        <v>22</v>
      </c>
      <c r="F1593" s="27">
        <v>45684</v>
      </c>
      <c r="G1593">
        <v>3</v>
      </c>
      <c r="H1593">
        <v>3</v>
      </c>
      <c r="I1593" t="s">
        <v>880</v>
      </c>
      <c r="J1593" s="27">
        <v>45700</v>
      </c>
      <c r="L1593" s="29">
        <v>2091.7849897058823</v>
      </c>
      <c r="M1593" s="29">
        <v>6275.3549691176468</v>
      </c>
      <c r="N1593" s="15">
        <v>45658</v>
      </c>
    </row>
    <row r="1594" spans="1:14" x14ac:dyDescent="0.25">
      <c r="A1594">
        <v>379475</v>
      </c>
      <c r="B1594" t="s">
        <v>35</v>
      </c>
      <c r="C1594">
        <v>47570</v>
      </c>
      <c r="D1594" t="s">
        <v>21</v>
      </c>
      <c r="E1594" t="s">
        <v>22</v>
      </c>
      <c r="F1594" s="27">
        <v>45684</v>
      </c>
      <c r="G1594">
        <v>1</v>
      </c>
      <c r="H1594">
        <v>1</v>
      </c>
      <c r="I1594" t="s">
        <v>809</v>
      </c>
      <c r="J1594" s="27">
        <v>45700</v>
      </c>
      <c r="L1594" s="29">
        <v>2091.7849897058823</v>
      </c>
      <c r="M1594" s="29">
        <v>2091.7849897058823</v>
      </c>
      <c r="N1594" s="15">
        <v>45658</v>
      </c>
    </row>
    <row r="1595" spans="1:14" x14ac:dyDescent="0.25">
      <c r="A1595">
        <v>374163</v>
      </c>
      <c r="B1595" t="s">
        <v>38</v>
      </c>
      <c r="C1595">
        <v>47761</v>
      </c>
      <c r="D1595" t="s">
        <v>231</v>
      </c>
      <c r="E1595" t="s">
        <v>19</v>
      </c>
      <c r="F1595" s="27">
        <v>45684</v>
      </c>
      <c r="G1595">
        <v>1</v>
      </c>
      <c r="H1595">
        <v>1</v>
      </c>
      <c r="I1595" t="s">
        <v>881</v>
      </c>
      <c r="J1595" s="27">
        <v>45687</v>
      </c>
      <c r="L1595" s="29">
        <v>929.68221764705879</v>
      </c>
      <c r="M1595" s="29">
        <v>929.68221764705879</v>
      </c>
      <c r="N1595" s="15">
        <v>45658</v>
      </c>
    </row>
    <row r="1596" spans="1:14" x14ac:dyDescent="0.25">
      <c r="A1596">
        <v>374165</v>
      </c>
      <c r="B1596" t="s">
        <v>258</v>
      </c>
      <c r="C1596">
        <v>50399</v>
      </c>
      <c r="D1596" t="s">
        <v>231</v>
      </c>
      <c r="E1596" t="s">
        <v>19</v>
      </c>
      <c r="F1596" s="27">
        <v>45684</v>
      </c>
      <c r="G1596">
        <v>2</v>
      </c>
      <c r="H1596">
        <v>2</v>
      </c>
      <c r="I1596" t="s">
        <v>882</v>
      </c>
      <c r="J1596" s="27">
        <v>45687</v>
      </c>
      <c r="L1596" s="29">
        <v>929.68221764705879</v>
      </c>
      <c r="M1596" s="29">
        <v>1859.3644352941176</v>
      </c>
      <c r="N1596" s="15">
        <v>45658</v>
      </c>
    </row>
    <row r="1597" spans="1:14" x14ac:dyDescent="0.25">
      <c r="A1597">
        <v>412364</v>
      </c>
      <c r="B1597" t="s">
        <v>35</v>
      </c>
      <c r="C1597">
        <v>47569</v>
      </c>
      <c r="D1597" t="s">
        <v>30</v>
      </c>
      <c r="E1597" t="s">
        <v>22</v>
      </c>
      <c r="F1597" s="27">
        <v>45684</v>
      </c>
      <c r="G1597">
        <v>8</v>
      </c>
      <c r="H1597">
        <v>8</v>
      </c>
      <c r="I1597" t="s">
        <v>494</v>
      </c>
      <c r="J1597" s="27">
        <v>45777</v>
      </c>
      <c r="L1597" s="29">
        <v>743.74577426470591</v>
      </c>
      <c r="M1597" s="29">
        <v>5949.9661941176473</v>
      </c>
      <c r="N1597" s="15">
        <v>45658</v>
      </c>
    </row>
    <row r="1598" spans="1:14" x14ac:dyDescent="0.25">
      <c r="A1598">
        <v>372952</v>
      </c>
      <c r="B1598" t="s">
        <v>38</v>
      </c>
      <c r="C1598">
        <v>47707</v>
      </c>
      <c r="D1598" t="s">
        <v>39</v>
      </c>
      <c r="E1598" t="s">
        <v>19</v>
      </c>
      <c r="F1598" s="27">
        <v>45684</v>
      </c>
      <c r="G1598">
        <v>8</v>
      </c>
      <c r="H1598">
        <v>8</v>
      </c>
      <c r="I1598" t="s">
        <v>580</v>
      </c>
      <c r="J1598" s="27">
        <v>45684</v>
      </c>
      <c r="L1598" s="29">
        <v>929.68221764705879</v>
      </c>
      <c r="M1598" s="29">
        <v>7437.4577411764703</v>
      </c>
      <c r="N1598" s="15">
        <v>45658</v>
      </c>
    </row>
    <row r="1599" spans="1:14" x14ac:dyDescent="0.25">
      <c r="A1599">
        <v>379469</v>
      </c>
      <c r="B1599" t="s">
        <v>35</v>
      </c>
      <c r="C1599">
        <v>47569</v>
      </c>
      <c r="D1599" t="s">
        <v>21</v>
      </c>
      <c r="E1599" t="s">
        <v>22</v>
      </c>
      <c r="F1599" s="27">
        <v>45681</v>
      </c>
      <c r="G1599">
        <v>4</v>
      </c>
      <c r="H1599">
        <v>4</v>
      </c>
      <c r="I1599" t="s">
        <v>883</v>
      </c>
      <c r="J1599" s="27">
        <v>45700</v>
      </c>
      <c r="L1599" s="29">
        <v>2091.7849897058823</v>
      </c>
      <c r="M1599" s="29">
        <v>8367.139958823529</v>
      </c>
      <c r="N1599" s="15">
        <v>45658</v>
      </c>
    </row>
    <row r="1600" spans="1:14" x14ac:dyDescent="0.25">
      <c r="A1600">
        <v>379470</v>
      </c>
      <c r="B1600" t="s">
        <v>35</v>
      </c>
      <c r="C1600">
        <v>47569</v>
      </c>
      <c r="D1600" t="s">
        <v>21</v>
      </c>
      <c r="E1600" t="s">
        <v>22</v>
      </c>
      <c r="F1600" s="27">
        <v>45681</v>
      </c>
      <c r="G1600">
        <v>4</v>
      </c>
      <c r="H1600">
        <v>4</v>
      </c>
      <c r="I1600" t="s">
        <v>884</v>
      </c>
      <c r="J1600" s="27">
        <v>45700</v>
      </c>
      <c r="L1600" s="29">
        <v>2091.7849897058823</v>
      </c>
      <c r="M1600" s="29">
        <v>8367.139958823529</v>
      </c>
      <c r="N1600" s="15">
        <v>45658</v>
      </c>
    </row>
    <row r="1601" spans="1:14" x14ac:dyDescent="0.25">
      <c r="A1601">
        <v>372834</v>
      </c>
      <c r="B1601" t="s">
        <v>35</v>
      </c>
      <c r="C1601">
        <v>47615</v>
      </c>
      <c r="D1601" t="s">
        <v>25</v>
      </c>
      <c r="E1601" t="s">
        <v>22</v>
      </c>
      <c r="F1601" s="27">
        <v>45681</v>
      </c>
      <c r="G1601">
        <v>8</v>
      </c>
      <c r="H1601">
        <v>8</v>
      </c>
      <c r="I1601" t="s">
        <v>659</v>
      </c>
      <c r="J1601" s="27">
        <v>45684</v>
      </c>
      <c r="L1601" s="29">
        <v>1394.5233264705882</v>
      </c>
      <c r="M1601" s="29">
        <v>11156.186611764706</v>
      </c>
      <c r="N1601" s="15">
        <v>45658</v>
      </c>
    </row>
    <row r="1602" spans="1:14" x14ac:dyDescent="0.25">
      <c r="A1602">
        <v>372633</v>
      </c>
      <c r="B1602" t="s">
        <v>35</v>
      </c>
      <c r="C1602">
        <v>47570</v>
      </c>
      <c r="D1602" t="s">
        <v>36</v>
      </c>
      <c r="E1602" t="s">
        <v>22</v>
      </c>
      <c r="F1602" s="27">
        <v>45681</v>
      </c>
      <c r="G1602">
        <v>2</v>
      </c>
      <c r="H1602">
        <v>2</v>
      </c>
      <c r="I1602" t="s">
        <v>633</v>
      </c>
      <c r="J1602" s="27">
        <v>45681</v>
      </c>
      <c r="L1602" s="29">
        <v>2231.2373227941175</v>
      </c>
      <c r="M1602" s="29">
        <v>4462.474645588235</v>
      </c>
      <c r="N1602" s="15">
        <v>45658</v>
      </c>
    </row>
    <row r="1603" spans="1:14" x14ac:dyDescent="0.25">
      <c r="A1603">
        <v>372634</v>
      </c>
      <c r="B1603" t="s">
        <v>35</v>
      </c>
      <c r="C1603">
        <v>47569</v>
      </c>
      <c r="D1603" t="s">
        <v>36</v>
      </c>
      <c r="E1603" t="s">
        <v>22</v>
      </c>
      <c r="F1603" s="27">
        <v>45681</v>
      </c>
      <c r="G1603">
        <v>5</v>
      </c>
      <c r="H1603">
        <v>5</v>
      </c>
      <c r="I1603" t="s">
        <v>885</v>
      </c>
      <c r="J1603" s="27">
        <v>45681</v>
      </c>
      <c r="L1603" s="29">
        <v>2231.2373227941175</v>
      </c>
      <c r="M1603" s="29">
        <v>11156.186613970587</v>
      </c>
      <c r="N1603" s="15">
        <v>45658</v>
      </c>
    </row>
    <row r="1604" spans="1:14" x14ac:dyDescent="0.25">
      <c r="A1604">
        <v>372635</v>
      </c>
      <c r="B1604" t="s">
        <v>35</v>
      </c>
      <c r="C1604">
        <v>47572</v>
      </c>
      <c r="D1604" t="s">
        <v>36</v>
      </c>
      <c r="E1604" t="s">
        <v>22</v>
      </c>
      <c r="F1604" s="27">
        <v>45681</v>
      </c>
      <c r="G1604">
        <v>2</v>
      </c>
      <c r="H1604">
        <v>2</v>
      </c>
      <c r="I1604" t="s">
        <v>886</v>
      </c>
      <c r="J1604" s="27">
        <v>45681</v>
      </c>
      <c r="L1604" s="29">
        <v>2231.2373227941175</v>
      </c>
      <c r="M1604" s="29">
        <v>4462.474645588235</v>
      </c>
      <c r="N1604" s="15">
        <v>45658</v>
      </c>
    </row>
    <row r="1605" spans="1:14" x14ac:dyDescent="0.25">
      <c r="A1605">
        <v>412851</v>
      </c>
      <c r="B1605" t="s">
        <v>31</v>
      </c>
      <c r="C1605">
        <v>42715</v>
      </c>
      <c r="D1605" t="s">
        <v>32</v>
      </c>
      <c r="E1605" t="s">
        <v>19</v>
      </c>
      <c r="F1605" s="27">
        <v>45681</v>
      </c>
      <c r="G1605">
        <v>20</v>
      </c>
      <c r="H1605">
        <v>20</v>
      </c>
      <c r="I1605" t="s">
        <v>294</v>
      </c>
      <c r="J1605" s="27">
        <v>45777</v>
      </c>
      <c r="L1605" s="29">
        <v>2324.2055441176472</v>
      </c>
      <c r="M1605" s="29">
        <v>46484.110882352943</v>
      </c>
      <c r="N1605" s="15">
        <v>45658</v>
      </c>
    </row>
    <row r="1606" spans="1:14" x14ac:dyDescent="0.25">
      <c r="A1606">
        <v>412361</v>
      </c>
      <c r="B1606" t="s">
        <v>35</v>
      </c>
      <c r="C1606">
        <v>47569</v>
      </c>
      <c r="D1606" t="s">
        <v>30</v>
      </c>
      <c r="E1606" t="s">
        <v>22</v>
      </c>
      <c r="F1606" s="27">
        <v>45681</v>
      </c>
      <c r="G1606">
        <v>8</v>
      </c>
      <c r="H1606">
        <v>8</v>
      </c>
      <c r="I1606" t="s">
        <v>494</v>
      </c>
      <c r="J1606" s="27">
        <v>45777</v>
      </c>
      <c r="L1606" s="29">
        <v>743.74577426470591</v>
      </c>
      <c r="M1606" s="29">
        <v>5949.9661941176473</v>
      </c>
      <c r="N1606" s="15">
        <v>45658</v>
      </c>
    </row>
    <row r="1607" spans="1:14" x14ac:dyDescent="0.25">
      <c r="A1607">
        <v>372951</v>
      </c>
      <c r="B1607" t="s">
        <v>38</v>
      </c>
      <c r="C1607">
        <v>47707</v>
      </c>
      <c r="D1607" t="s">
        <v>39</v>
      </c>
      <c r="E1607" t="s">
        <v>19</v>
      </c>
      <c r="F1607" s="27">
        <v>45681</v>
      </c>
      <c r="G1607">
        <v>8</v>
      </c>
      <c r="H1607">
        <v>8</v>
      </c>
      <c r="I1607" t="s">
        <v>580</v>
      </c>
      <c r="J1607" s="27">
        <v>45684</v>
      </c>
      <c r="L1607" s="29">
        <v>929.68221764705879</v>
      </c>
      <c r="M1607" s="29">
        <v>7437.4577411764703</v>
      </c>
      <c r="N1607" s="15">
        <v>45658</v>
      </c>
    </row>
    <row r="1608" spans="1:14" x14ac:dyDescent="0.25">
      <c r="A1608">
        <v>377578</v>
      </c>
      <c r="B1608" t="s">
        <v>35</v>
      </c>
      <c r="C1608">
        <v>47614</v>
      </c>
      <c r="D1608" t="s">
        <v>33</v>
      </c>
      <c r="E1608" t="s">
        <v>22</v>
      </c>
      <c r="F1608" s="27">
        <v>45681</v>
      </c>
      <c r="G1608">
        <v>1</v>
      </c>
      <c r="H1608">
        <v>1</v>
      </c>
      <c r="I1608" t="s">
        <v>751</v>
      </c>
      <c r="J1608" s="27">
        <v>45693</v>
      </c>
      <c r="L1608" s="29">
        <v>1859.3644352941176</v>
      </c>
      <c r="M1608" s="29">
        <v>1859.3644352941176</v>
      </c>
      <c r="N1608" s="15">
        <v>45658</v>
      </c>
    </row>
    <row r="1609" spans="1:14" x14ac:dyDescent="0.25">
      <c r="A1609">
        <v>372245</v>
      </c>
      <c r="B1609" t="s">
        <v>35</v>
      </c>
      <c r="C1609">
        <v>47570</v>
      </c>
      <c r="D1609" t="s">
        <v>36</v>
      </c>
      <c r="E1609" t="s">
        <v>22</v>
      </c>
      <c r="F1609" s="27">
        <v>45680</v>
      </c>
      <c r="G1609">
        <v>1.5</v>
      </c>
      <c r="H1609">
        <v>1.5</v>
      </c>
      <c r="I1609" t="s">
        <v>633</v>
      </c>
      <c r="J1609" s="27">
        <v>45680</v>
      </c>
      <c r="L1609" s="29">
        <v>2231.2373227941175</v>
      </c>
      <c r="M1609" s="29">
        <v>3346.8559841911765</v>
      </c>
      <c r="N1609" s="15">
        <v>45658</v>
      </c>
    </row>
    <row r="1610" spans="1:14" x14ac:dyDescent="0.25">
      <c r="A1610">
        <v>372246</v>
      </c>
      <c r="B1610" t="s">
        <v>35</v>
      </c>
      <c r="C1610">
        <v>47569</v>
      </c>
      <c r="D1610" t="s">
        <v>36</v>
      </c>
      <c r="E1610" t="s">
        <v>22</v>
      </c>
      <c r="F1610" s="27">
        <v>45680</v>
      </c>
      <c r="G1610">
        <v>2</v>
      </c>
      <c r="H1610">
        <v>2</v>
      </c>
      <c r="I1610">
        <v>1197</v>
      </c>
      <c r="J1610" s="27">
        <v>45680</v>
      </c>
      <c r="L1610" s="29">
        <v>2231.2373227941175</v>
      </c>
      <c r="M1610" s="29">
        <v>4462.474645588235</v>
      </c>
      <c r="N1610" s="15">
        <v>45658</v>
      </c>
    </row>
    <row r="1611" spans="1:14" x14ac:dyDescent="0.25">
      <c r="A1611">
        <v>372247</v>
      </c>
      <c r="B1611" t="s">
        <v>35</v>
      </c>
      <c r="C1611">
        <v>50244</v>
      </c>
      <c r="D1611" t="s">
        <v>36</v>
      </c>
      <c r="E1611" t="s">
        <v>22</v>
      </c>
      <c r="F1611" s="27">
        <v>45680</v>
      </c>
      <c r="G1611">
        <v>2.5</v>
      </c>
      <c r="H1611">
        <v>2.5</v>
      </c>
      <c r="I1611" t="s">
        <v>887</v>
      </c>
      <c r="J1611" s="27">
        <v>45680</v>
      </c>
      <c r="L1611" s="29">
        <v>2231.2373227941175</v>
      </c>
      <c r="M1611" s="29">
        <v>5578.0933069852936</v>
      </c>
      <c r="N1611" s="15">
        <v>45658</v>
      </c>
    </row>
    <row r="1612" spans="1:14" x14ac:dyDescent="0.25">
      <c r="A1612">
        <v>372248</v>
      </c>
      <c r="B1612" t="s">
        <v>35</v>
      </c>
      <c r="C1612">
        <v>47572</v>
      </c>
      <c r="D1612" t="s">
        <v>36</v>
      </c>
      <c r="E1612" t="s">
        <v>22</v>
      </c>
      <c r="F1612" s="27">
        <v>45680</v>
      </c>
      <c r="G1612">
        <v>2</v>
      </c>
      <c r="H1612">
        <v>2</v>
      </c>
      <c r="I1612" t="s">
        <v>888</v>
      </c>
      <c r="J1612" s="27">
        <v>45680</v>
      </c>
      <c r="L1612" s="29">
        <v>2231.2373227941175</v>
      </c>
      <c r="M1612" s="29">
        <v>4462.474645588235</v>
      </c>
      <c r="N1612" s="15">
        <v>45658</v>
      </c>
    </row>
    <row r="1613" spans="1:14" x14ac:dyDescent="0.25">
      <c r="A1613">
        <v>379467</v>
      </c>
      <c r="B1613" t="s">
        <v>35</v>
      </c>
      <c r="C1613">
        <v>47569</v>
      </c>
      <c r="D1613" t="s">
        <v>21</v>
      </c>
      <c r="E1613" t="s">
        <v>22</v>
      </c>
      <c r="F1613" s="27">
        <v>45680</v>
      </c>
      <c r="G1613">
        <v>7</v>
      </c>
      <c r="H1613">
        <v>7</v>
      </c>
      <c r="I1613" t="s">
        <v>889</v>
      </c>
      <c r="J1613" s="27">
        <v>45700</v>
      </c>
      <c r="L1613" s="29">
        <v>2091.7849897058823</v>
      </c>
      <c r="M1613" s="29">
        <v>14642.494927941176</v>
      </c>
      <c r="N1613" s="15">
        <v>45658</v>
      </c>
    </row>
    <row r="1614" spans="1:14" x14ac:dyDescent="0.25">
      <c r="A1614">
        <v>379468</v>
      </c>
      <c r="B1614" t="s">
        <v>35</v>
      </c>
      <c r="C1614">
        <v>47572</v>
      </c>
      <c r="D1614" t="s">
        <v>21</v>
      </c>
      <c r="E1614" t="s">
        <v>22</v>
      </c>
      <c r="F1614" s="27">
        <v>45680</v>
      </c>
      <c r="G1614">
        <v>1</v>
      </c>
      <c r="H1614">
        <v>1</v>
      </c>
      <c r="I1614" t="s">
        <v>890</v>
      </c>
      <c r="J1614" s="27">
        <v>45700</v>
      </c>
      <c r="L1614" s="29">
        <v>2091.7849897058823</v>
      </c>
      <c r="M1614" s="29">
        <v>2091.7849897058823</v>
      </c>
      <c r="N1614" s="15">
        <v>45658</v>
      </c>
    </row>
    <row r="1615" spans="1:14" x14ac:dyDescent="0.25">
      <c r="A1615">
        <v>431957</v>
      </c>
      <c r="B1615" t="s">
        <v>254</v>
      </c>
      <c r="C1615">
        <v>47665</v>
      </c>
      <c r="D1615" t="s">
        <v>33</v>
      </c>
      <c r="E1615" t="s">
        <v>22</v>
      </c>
      <c r="F1615" s="27">
        <v>45680</v>
      </c>
      <c r="G1615">
        <v>47</v>
      </c>
      <c r="H1615">
        <v>47</v>
      </c>
      <c r="I1615" t="s">
        <v>891</v>
      </c>
      <c r="J1615" s="27">
        <v>45835</v>
      </c>
      <c r="L1615" s="29">
        <v>1859.3644352941176</v>
      </c>
      <c r="M1615" s="29">
        <v>87390.128458823528</v>
      </c>
      <c r="N1615" s="15">
        <v>45658</v>
      </c>
    </row>
    <row r="1616" spans="1:14" x14ac:dyDescent="0.25">
      <c r="A1616">
        <v>412762</v>
      </c>
      <c r="B1616" t="s">
        <v>35</v>
      </c>
      <c r="C1616">
        <v>47538</v>
      </c>
      <c r="D1616" t="s">
        <v>32</v>
      </c>
      <c r="E1616" t="s">
        <v>22</v>
      </c>
      <c r="F1616" s="27">
        <v>45680</v>
      </c>
      <c r="G1616">
        <v>81</v>
      </c>
      <c r="H1616">
        <v>81</v>
      </c>
      <c r="I1616" t="s">
        <v>467</v>
      </c>
      <c r="J1616" s="27">
        <v>45777</v>
      </c>
      <c r="L1616" s="29">
        <v>2324.2055441176472</v>
      </c>
      <c r="M1616" s="29">
        <v>188260.64907352941</v>
      </c>
      <c r="N1616" s="15">
        <v>45658</v>
      </c>
    </row>
    <row r="1617" spans="1:14" x14ac:dyDescent="0.25">
      <c r="A1617">
        <v>372833</v>
      </c>
      <c r="B1617" t="s">
        <v>35</v>
      </c>
      <c r="C1617">
        <v>47615</v>
      </c>
      <c r="D1617" t="s">
        <v>25</v>
      </c>
      <c r="E1617" t="s">
        <v>22</v>
      </c>
      <c r="F1617" s="27">
        <v>45680</v>
      </c>
      <c r="G1617">
        <v>8</v>
      </c>
      <c r="H1617">
        <v>8</v>
      </c>
      <c r="I1617" t="s">
        <v>659</v>
      </c>
      <c r="J1617" s="27">
        <v>45684</v>
      </c>
      <c r="L1617" s="29">
        <v>1394.5233264705882</v>
      </c>
      <c r="M1617" s="29">
        <v>11156.186611764706</v>
      </c>
      <c r="N1617" s="15">
        <v>45658</v>
      </c>
    </row>
    <row r="1618" spans="1:14" x14ac:dyDescent="0.25">
      <c r="A1618">
        <v>412353</v>
      </c>
      <c r="B1618" t="s">
        <v>35</v>
      </c>
      <c r="C1618">
        <v>47569</v>
      </c>
      <c r="D1618" t="s">
        <v>30</v>
      </c>
      <c r="E1618" t="s">
        <v>22</v>
      </c>
      <c r="F1618" s="27">
        <v>45680</v>
      </c>
      <c r="G1618">
        <v>7</v>
      </c>
      <c r="H1618">
        <v>7</v>
      </c>
      <c r="I1618" t="s">
        <v>494</v>
      </c>
      <c r="J1618" s="27">
        <v>45777</v>
      </c>
      <c r="L1618" s="29">
        <v>743.74577426470591</v>
      </c>
      <c r="M1618" s="29">
        <v>5206.2204198529416</v>
      </c>
      <c r="N1618" s="15">
        <v>45658</v>
      </c>
    </row>
    <row r="1619" spans="1:14" x14ac:dyDescent="0.25">
      <c r="A1619">
        <v>372950</v>
      </c>
      <c r="B1619" t="s">
        <v>38</v>
      </c>
      <c r="C1619">
        <v>47707</v>
      </c>
      <c r="D1619" t="s">
        <v>39</v>
      </c>
      <c r="E1619" t="s">
        <v>19</v>
      </c>
      <c r="F1619" s="27">
        <v>45680</v>
      </c>
      <c r="G1619">
        <v>8</v>
      </c>
      <c r="H1619">
        <v>8</v>
      </c>
      <c r="I1619" t="s">
        <v>580</v>
      </c>
      <c r="J1619" s="27">
        <v>45684</v>
      </c>
      <c r="L1619" s="29">
        <v>929.68221764705879</v>
      </c>
      <c r="M1619" s="29">
        <v>7437.4577411764703</v>
      </c>
      <c r="N1619" s="15">
        <v>45658</v>
      </c>
    </row>
    <row r="1620" spans="1:14" x14ac:dyDescent="0.25">
      <c r="A1620">
        <v>377577</v>
      </c>
      <c r="B1620" t="s">
        <v>35</v>
      </c>
      <c r="C1620">
        <v>47614</v>
      </c>
      <c r="D1620" t="s">
        <v>33</v>
      </c>
      <c r="E1620" t="s">
        <v>22</v>
      </c>
      <c r="F1620" s="27">
        <v>45680</v>
      </c>
      <c r="G1620">
        <v>8</v>
      </c>
      <c r="H1620">
        <v>8</v>
      </c>
      <c r="I1620" t="s">
        <v>751</v>
      </c>
      <c r="J1620" s="27">
        <v>45693</v>
      </c>
      <c r="L1620" s="29">
        <v>1859.3644352941176</v>
      </c>
      <c r="M1620" s="29">
        <v>14874.915482352941</v>
      </c>
      <c r="N1620" s="15">
        <v>45658</v>
      </c>
    </row>
    <row r="1621" spans="1:14" x14ac:dyDescent="0.25">
      <c r="A1621">
        <v>371713</v>
      </c>
      <c r="B1621" t="s">
        <v>38</v>
      </c>
      <c r="C1621">
        <v>47761</v>
      </c>
      <c r="D1621" t="s">
        <v>231</v>
      </c>
      <c r="E1621" t="s">
        <v>19</v>
      </c>
      <c r="F1621" s="27">
        <v>45679</v>
      </c>
      <c r="G1621">
        <v>2</v>
      </c>
      <c r="H1621">
        <v>2</v>
      </c>
      <c r="I1621" t="s">
        <v>892</v>
      </c>
      <c r="J1621" s="27">
        <v>45679</v>
      </c>
      <c r="L1621" s="29">
        <v>929.68221764705879</v>
      </c>
      <c r="M1621" s="29">
        <v>1859.3644352941176</v>
      </c>
      <c r="N1621" s="15">
        <v>45658</v>
      </c>
    </row>
    <row r="1622" spans="1:14" x14ac:dyDescent="0.25">
      <c r="A1622">
        <v>371714</v>
      </c>
      <c r="B1622" t="s">
        <v>258</v>
      </c>
      <c r="C1622">
        <v>50399</v>
      </c>
      <c r="D1622" t="s">
        <v>231</v>
      </c>
      <c r="E1622" t="s">
        <v>19</v>
      </c>
      <c r="F1622" s="27">
        <v>45679</v>
      </c>
      <c r="G1622">
        <v>6</v>
      </c>
      <c r="H1622">
        <v>6</v>
      </c>
      <c r="I1622" t="s">
        <v>893</v>
      </c>
      <c r="J1622" s="27">
        <v>45679</v>
      </c>
      <c r="L1622" s="29">
        <v>929.68221764705879</v>
      </c>
      <c r="M1622" s="29">
        <v>5578.093305882353</v>
      </c>
      <c r="N1622" s="15">
        <v>45658</v>
      </c>
    </row>
    <row r="1623" spans="1:14" x14ac:dyDescent="0.25">
      <c r="A1623">
        <v>379465</v>
      </c>
      <c r="B1623" t="s">
        <v>35</v>
      </c>
      <c r="C1623">
        <v>47569</v>
      </c>
      <c r="D1623" t="s">
        <v>21</v>
      </c>
      <c r="E1623" t="s">
        <v>22</v>
      </c>
      <c r="F1623" s="27">
        <v>45679</v>
      </c>
      <c r="G1623">
        <v>2</v>
      </c>
      <c r="H1623">
        <v>2</v>
      </c>
      <c r="I1623" t="s">
        <v>894</v>
      </c>
      <c r="J1623" s="27">
        <v>45700</v>
      </c>
      <c r="L1623" s="29">
        <v>2091.7849897058823</v>
      </c>
      <c r="M1623" s="29">
        <v>4183.5699794117645</v>
      </c>
      <c r="N1623" s="15">
        <v>45658</v>
      </c>
    </row>
    <row r="1624" spans="1:14" x14ac:dyDescent="0.25">
      <c r="A1624">
        <v>379466</v>
      </c>
      <c r="B1624" t="s">
        <v>35</v>
      </c>
      <c r="C1624">
        <v>47572</v>
      </c>
      <c r="D1624" t="s">
        <v>21</v>
      </c>
      <c r="E1624" t="s">
        <v>22</v>
      </c>
      <c r="F1624" s="27">
        <v>45679</v>
      </c>
      <c r="G1624">
        <v>1</v>
      </c>
      <c r="H1624">
        <v>1</v>
      </c>
      <c r="I1624" t="s">
        <v>895</v>
      </c>
      <c r="J1624" s="27">
        <v>45700</v>
      </c>
      <c r="L1624" s="29">
        <v>2091.7849897058823</v>
      </c>
      <c r="M1624" s="29">
        <v>2091.7849897058823</v>
      </c>
      <c r="N1624" s="15">
        <v>45658</v>
      </c>
    </row>
    <row r="1625" spans="1:14" x14ac:dyDescent="0.25">
      <c r="A1625">
        <v>374865</v>
      </c>
      <c r="B1625" t="s">
        <v>20</v>
      </c>
      <c r="C1625">
        <v>50787</v>
      </c>
      <c r="D1625" t="s">
        <v>21</v>
      </c>
      <c r="E1625" t="s">
        <v>22</v>
      </c>
      <c r="F1625" s="27">
        <v>45679</v>
      </c>
      <c r="G1625">
        <v>5</v>
      </c>
      <c r="H1625">
        <v>5</v>
      </c>
      <c r="I1625" t="s">
        <v>896</v>
      </c>
      <c r="J1625" s="27">
        <v>45688</v>
      </c>
      <c r="L1625" s="29">
        <v>2091.7849897058823</v>
      </c>
      <c r="M1625" s="29">
        <v>10458.924948529411</v>
      </c>
      <c r="N1625" s="15">
        <v>45658</v>
      </c>
    </row>
    <row r="1626" spans="1:14" x14ac:dyDescent="0.25">
      <c r="A1626">
        <v>372832</v>
      </c>
      <c r="B1626" t="s">
        <v>35</v>
      </c>
      <c r="C1626">
        <v>47615</v>
      </c>
      <c r="D1626" t="s">
        <v>25</v>
      </c>
      <c r="E1626" t="s">
        <v>22</v>
      </c>
      <c r="F1626" s="27">
        <v>45679</v>
      </c>
      <c r="G1626">
        <v>8</v>
      </c>
      <c r="H1626">
        <v>8</v>
      </c>
      <c r="I1626" t="s">
        <v>659</v>
      </c>
      <c r="J1626" s="27">
        <v>45684</v>
      </c>
      <c r="L1626" s="29">
        <v>1394.5233264705882</v>
      </c>
      <c r="M1626" s="29">
        <v>11156.186611764706</v>
      </c>
      <c r="N1626" s="15">
        <v>45658</v>
      </c>
    </row>
    <row r="1627" spans="1:14" x14ac:dyDescent="0.25">
      <c r="A1627">
        <v>371872</v>
      </c>
      <c r="B1627" t="s">
        <v>35</v>
      </c>
      <c r="C1627">
        <v>47569</v>
      </c>
      <c r="D1627" t="s">
        <v>36</v>
      </c>
      <c r="E1627" t="s">
        <v>22</v>
      </c>
      <c r="F1627" s="27">
        <v>45679</v>
      </c>
      <c r="G1627">
        <v>5</v>
      </c>
      <c r="H1627">
        <v>5</v>
      </c>
      <c r="I1627" t="s">
        <v>897</v>
      </c>
      <c r="J1627" s="27">
        <v>45679</v>
      </c>
      <c r="L1627" s="29">
        <v>2231.2373227941175</v>
      </c>
      <c r="M1627" s="29">
        <v>11156.186613970587</v>
      </c>
      <c r="N1627" s="15">
        <v>45658</v>
      </c>
    </row>
    <row r="1628" spans="1:14" x14ac:dyDescent="0.25">
      <c r="A1628">
        <v>371873</v>
      </c>
      <c r="B1628" t="s">
        <v>35</v>
      </c>
      <c r="C1628">
        <v>47570</v>
      </c>
      <c r="D1628" t="s">
        <v>36</v>
      </c>
      <c r="E1628" t="s">
        <v>22</v>
      </c>
      <c r="F1628" s="27">
        <v>45679</v>
      </c>
      <c r="G1628">
        <v>1.3</v>
      </c>
      <c r="H1628">
        <v>1.3</v>
      </c>
      <c r="I1628" t="s">
        <v>898</v>
      </c>
      <c r="J1628" s="27">
        <v>45679</v>
      </c>
      <c r="L1628" s="29">
        <v>2231.2373227941175</v>
      </c>
      <c r="M1628" s="29">
        <v>2900.6085196323529</v>
      </c>
      <c r="N1628" s="15">
        <v>45658</v>
      </c>
    </row>
    <row r="1629" spans="1:14" x14ac:dyDescent="0.25">
      <c r="A1629">
        <v>371874</v>
      </c>
      <c r="B1629" t="s">
        <v>35</v>
      </c>
      <c r="C1629">
        <v>47537</v>
      </c>
      <c r="D1629" t="s">
        <v>36</v>
      </c>
      <c r="E1629" t="s">
        <v>22</v>
      </c>
      <c r="F1629" s="27">
        <v>45679</v>
      </c>
      <c r="G1629">
        <v>0.5</v>
      </c>
      <c r="H1629">
        <v>0.5</v>
      </c>
      <c r="I1629" t="s">
        <v>899</v>
      </c>
      <c r="J1629" s="27">
        <v>45679</v>
      </c>
      <c r="L1629" s="29">
        <v>2231.2373227941175</v>
      </c>
      <c r="M1629" s="29">
        <v>1115.6186613970588</v>
      </c>
      <c r="N1629" s="15">
        <v>45658</v>
      </c>
    </row>
    <row r="1630" spans="1:14" x14ac:dyDescent="0.25">
      <c r="A1630">
        <v>371875</v>
      </c>
      <c r="B1630" t="s">
        <v>35</v>
      </c>
      <c r="C1630">
        <v>47572</v>
      </c>
      <c r="D1630" t="s">
        <v>36</v>
      </c>
      <c r="E1630" t="s">
        <v>22</v>
      </c>
      <c r="F1630" s="27">
        <v>45679</v>
      </c>
      <c r="G1630">
        <v>1.2</v>
      </c>
      <c r="H1630">
        <v>1.2</v>
      </c>
      <c r="I1630" t="s">
        <v>686</v>
      </c>
      <c r="J1630" s="27">
        <v>45679</v>
      </c>
      <c r="L1630" s="29">
        <v>2231.2373227941175</v>
      </c>
      <c r="M1630" s="29">
        <v>2677.4847873529411</v>
      </c>
      <c r="N1630" s="15">
        <v>45658</v>
      </c>
    </row>
    <row r="1631" spans="1:14" x14ac:dyDescent="0.25">
      <c r="A1631">
        <v>412351</v>
      </c>
      <c r="B1631" t="s">
        <v>35</v>
      </c>
      <c r="C1631">
        <v>47570</v>
      </c>
      <c r="D1631" t="s">
        <v>30</v>
      </c>
      <c r="E1631" t="s">
        <v>22</v>
      </c>
      <c r="F1631" s="27">
        <v>45679</v>
      </c>
      <c r="G1631">
        <v>4</v>
      </c>
      <c r="H1631">
        <v>4</v>
      </c>
      <c r="I1631" t="s">
        <v>494</v>
      </c>
      <c r="J1631" s="27">
        <v>45777</v>
      </c>
      <c r="L1631" s="29">
        <v>743.74577426470591</v>
      </c>
      <c r="M1631" s="29">
        <v>2974.9830970588237</v>
      </c>
      <c r="N1631" s="15">
        <v>45658</v>
      </c>
    </row>
    <row r="1632" spans="1:14" x14ac:dyDescent="0.25">
      <c r="A1632">
        <v>372949</v>
      </c>
      <c r="B1632" t="s">
        <v>38</v>
      </c>
      <c r="C1632">
        <v>47762</v>
      </c>
      <c r="D1632" t="s">
        <v>39</v>
      </c>
      <c r="E1632" t="s">
        <v>19</v>
      </c>
      <c r="F1632" s="27">
        <v>45679</v>
      </c>
      <c r="G1632">
        <v>8</v>
      </c>
      <c r="H1632">
        <v>8</v>
      </c>
      <c r="I1632" t="s">
        <v>580</v>
      </c>
      <c r="J1632" s="27">
        <v>45684</v>
      </c>
      <c r="L1632" s="29">
        <v>929.68221764705879</v>
      </c>
      <c r="M1632" s="29">
        <v>7437.4577411764703</v>
      </c>
      <c r="N1632" s="15">
        <v>45658</v>
      </c>
    </row>
    <row r="1633" spans="1:14" x14ac:dyDescent="0.25">
      <c r="A1633">
        <v>377576</v>
      </c>
      <c r="B1633" t="s">
        <v>35</v>
      </c>
      <c r="C1633">
        <v>47614</v>
      </c>
      <c r="D1633" t="s">
        <v>33</v>
      </c>
      <c r="E1633" t="s">
        <v>22</v>
      </c>
      <c r="F1633" s="27">
        <v>45679</v>
      </c>
      <c r="G1633">
        <v>8</v>
      </c>
      <c r="H1633">
        <v>8</v>
      </c>
      <c r="I1633" t="s">
        <v>751</v>
      </c>
      <c r="J1633" s="27">
        <v>45693</v>
      </c>
      <c r="L1633" s="29">
        <v>1859.3644352941176</v>
      </c>
      <c r="M1633" s="29">
        <v>14874.915482352941</v>
      </c>
      <c r="N1633" s="15">
        <v>45658</v>
      </c>
    </row>
    <row r="1634" spans="1:14" x14ac:dyDescent="0.25">
      <c r="A1634">
        <v>371522</v>
      </c>
      <c r="B1634" t="s">
        <v>35</v>
      </c>
      <c r="C1634">
        <v>47568</v>
      </c>
      <c r="D1634" t="s">
        <v>36</v>
      </c>
      <c r="E1634" t="s">
        <v>22</v>
      </c>
      <c r="F1634" s="27">
        <v>45678</v>
      </c>
      <c r="G1634">
        <v>2</v>
      </c>
      <c r="H1634">
        <v>2</v>
      </c>
      <c r="I1634" t="s">
        <v>900</v>
      </c>
      <c r="J1634" s="27">
        <v>45678</v>
      </c>
      <c r="L1634" s="29">
        <v>2231.2373227941175</v>
      </c>
      <c r="M1634" s="29">
        <v>4462.474645588235</v>
      </c>
      <c r="N1634" s="15">
        <v>45658</v>
      </c>
    </row>
    <row r="1635" spans="1:14" x14ac:dyDescent="0.25">
      <c r="A1635">
        <v>371523</v>
      </c>
      <c r="B1635" t="s">
        <v>35</v>
      </c>
      <c r="C1635">
        <v>47569</v>
      </c>
      <c r="D1635" t="s">
        <v>36</v>
      </c>
      <c r="E1635" t="s">
        <v>22</v>
      </c>
      <c r="F1635" s="27">
        <v>45678</v>
      </c>
      <c r="G1635">
        <v>1.75</v>
      </c>
      <c r="H1635">
        <v>1.75</v>
      </c>
      <c r="I1635" t="s">
        <v>901</v>
      </c>
      <c r="J1635" s="27">
        <v>45678</v>
      </c>
      <c r="L1635" s="29">
        <v>2231.2373227941175</v>
      </c>
      <c r="M1635" s="29">
        <v>3904.6653148897058</v>
      </c>
      <c r="N1635" s="15">
        <v>45658</v>
      </c>
    </row>
    <row r="1636" spans="1:14" x14ac:dyDescent="0.25">
      <c r="A1636">
        <v>371524</v>
      </c>
      <c r="B1636" t="s">
        <v>35</v>
      </c>
      <c r="C1636">
        <v>50244</v>
      </c>
      <c r="D1636" t="s">
        <v>36</v>
      </c>
      <c r="E1636" t="s">
        <v>22</v>
      </c>
      <c r="F1636" s="27">
        <v>45678</v>
      </c>
      <c r="G1636">
        <v>2.25</v>
      </c>
      <c r="H1636">
        <v>2.25</v>
      </c>
      <c r="I1636" t="s">
        <v>902</v>
      </c>
      <c r="J1636" s="27">
        <v>45678</v>
      </c>
      <c r="L1636" s="29">
        <v>2231.2373227941175</v>
      </c>
      <c r="M1636" s="29">
        <v>5020.2839762867643</v>
      </c>
      <c r="N1636" s="15">
        <v>45658</v>
      </c>
    </row>
    <row r="1637" spans="1:14" x14ac:dyDescent="0.25">
      <c r="A1637">
        <v>371525</v>
      </c>
      <c r="B1637" t="s">
        <v>35</v>
      </c>
      <c r="C1637">
        <v>47570</v>
      </c>
      <c r="D1637" t="s">
        <v>36</v>
      </c>
      <c r="E1637" t="s">
        <v>22</v>
      </c>
      <c r="F1637" s="27">
        <v>45678</v>
      </c>
      <c r="G1637">
        <v>1.5</v>
      </c>
      <c r="H1637">
        <v>1.5</v>
      </c>
      <c r="I1637" t="s">
        <v>633</v>
      </c>
      <c r="J1637" s="27">
        <v>45678</v>
      </c>
      <c r="L1637" s="29">
        <v>2231.2373227941175</v>
      </c>
      <c r="M1637" s="29">
        <v>3346.8559841911765</v>
      </c>
      <c r="N1637" s="15">
        <v>45658</v>
      </c>
    </row>
    <row r="1638" spans="1:14" x14ac:dyDescent="0.25">
      <c r="A1638">
        <v>371526</v>
      </c>
      <c r="B1638" t="s">
        <v>35</v>
      </c>
      <c r="C1638">
        <v>47572</v>
      </c>
      <c r="D1638" t="s">
        <v>36</v>
      </c>
      <c r="E1638" t="s">
        <v>22</v>
      </c>
      <c r="F1638" s="27">
        <v>45678</v>
      </c>
      <c r="G1638">
        <v>0.5</v>
      </c>
      <c r="H1638">
        <v>0.5</v>
      </c>
      <c r="I1638" t="s">
        <v>903</v>
      </c>
      <c r="J1638" s="27">
        <v>45678</v>
      </c>
      <c r="L1638" s="29">
        <v>2231.2373227941175</v>
      </c>
      <c r="M1638" s="29">
        <v>1115.6186613970588</v>
      </c>
      <c r="N1638" s="15">
        <v>45658</v>
      </c>
    </row>
    <row r="1639" spans="1:14" x14ac:dyDescent="0.25">
      <c r="A1639">
        <v>379462</v>
      </c>
      <c r="B1639" t="s">
        <v>35</v>
      </c>
      <c r="C1639">
        <v>47569</v>
      </c>
      <c r="D1639" t="s">
        <v>21</v>
      </c>
      <c r="E1639" t="s">
        <v>22</v>
      </c>
      <c r="F1639" s="27">
        <v>45678</v>
      </c>
      <c r="G1639">
        <v>5</v>
      </c>
      <c r="H1639">
        <v>5</v>
      </c>
      <c r="I1639" t="s">
        <v>904</v>
      </c>
      <c r="J1639" s="27">
        <v>45700</v>
      </c>
      <c r="L1639" s="29">
        <v>2091.7849897058823</v>
      </c>
      <c r="M1639" s="29">
        <v>10458.924948529411</v>
      </c>
      <c r="N1639" s="15">
        <v>45658</v>
      </c>
    </row>
    <row r="1640" spans="1:14" x14ac:dyDescent="0.25">
      <c r="A1640">
        <v>379463</v>
      </c>
      <c r="B1640" t="s">
        <v>35</v>
      </c>
      <c r="C1640">
        <v>47572</v>
      </c>
      <c r="D1640" t="s">
        <v>21</v>
      </c>
      <c r="E1640" t="s">
        <v>22</v>
      </c>
      <c r="F1640" s="27">
        <v>45678</v>
      </c>
      <c r="G1640">
        <v>1</v>
      </c>
      <c r="H1640">
        <v>1</v>
      </c>
      <c r="I1640" t="s">
        <v>699</v>
      </c>
      <c r="J1640" s="27">
        <v>45700</v>
      </c>
      <c r="L1640" s="29">
        <v>2091.7849897058823</v>
      </c>
      <c r="M1640" s="29">
        <v>2091.7849897058823</v>
      </c>
      <c r="N1640" s="15">
        <v>45658</v>
      </c>
    </row>
    <row r="1641" spans="1:14" x14ac:dyDescent="0.25">
      <c r="A1641">
        <v>379464</v>
      </c>
      <c r="B1641" t="s">
        <v>35</v>
      </c>
      <c r="C1641">
        <v>47569</v>
      </c>
      <c r="D1641" t="s">
        <v>21</v>
      </c>
      <c r="E1641" t="s">
        <v>22</v>
      </c>
      <c r="F1641" s="27">
        <v>45678</v>
      </c>
      <c r="G1641">
        <v>2</v>
      </c>
      <c r="H1641">
        <v>2</v>
      </c>
      <c r="I1641" t="s">
        <v>905</v>
      </c>
      <c r="J1641" s="27">
        <v>45700</v>
      </c>
      <c r="L1641" s="29">
        <v>2091.7849897058823</v>
      </c>
      <c r="M1641" s="29">
        <v>4183.5699794117645</v>
      </c>
      <c r="N1641" s="15">
        <v>45658</v>
      </c>
    </row>
    <row r="1642" spans="1:14" x14ac:dyDescent="0.25">
      <c r="A1642">
        <v>372830</v>
      </c>
      <c r="B1642" t="s">
        <v>35</v>
      </c>
      <c r="C1642">
        <v>47615</v>
      </c>
      <c r="D1642" t="s">
        <v>25</v>
      </c>
      <c r="E1642" t="s">
        <v>22</v>
      </c>
      <c r="F1642" s="27">
        <v>45678</v>
      </c>
      <c r="G1642">
        <v>8</v>
      </c>
      <c r="H1642">
        <v>8</v>
      </c>
      <c r="I1642" t="s">
        <v>659</v>
      </c>
      <c r="J1642" s="27">
        <v>45684</v>
      </c>
      <c r="L1642" s="29">
        <v>1394.5233264705882</v>
      </c>
      <c r="M1642" s="29">
        <v>11156.186611764706</v>
      </c>
      <c r="N1642" s="15">
        <v>45658</v>
      </c>
    </row>
    <row r="1643" spans="1:14" x14ac:dyDescent="0.25">
      <c r="A1643">
        <v>438654</v>
      </c>
      <c r="B1643" t="s">
        <v>952</v>
      </c>
      <c r="C1643">
        <v>52454</v>
      </c>
      <c r="D1643" t="s">
        <v>41</v>
      </c>
      <c r="E1643" t="s">
        <v>22</v>
      </c>
      <c r="F1643" s="27">
        <v>45678</v>
      </c>
      <c r="G1643">
        <v>2</v>
      </c>
      <c r="H1643">
        <v>2</v>
      </c>
      <c r="I1643" t="s">
        <v>1002</v>
      </c>
      <c r="J1643" s="27">
        <v>45852</v>
      </c>
      <c r="L1643" s="29">
        <v>1859.3644352941176</v>
      </c>
      <c r="M1643" s="29">
        <v>3718.7288705882352</v>
      </c>
      <c r="N1643" s="15">
        <v>45658</v>
      </c>
    </row>
    <row r="1644" spans="1:14" x14ac:dyDescent="0.25">
      <c r="A1644">
        <v>412348</v>
      </c>
      <c r="B1644" t="s">
        <v>35</v>
      </c>
      <c r="C1644">
        <v>47569</v>
      </c>
      <c r="D1644" t="s">
        <v>30</v>
      </c>
      <c r="E1644" t="s">
        <v>22</v>
      </c>
      <c r="F1644" s="27">
        <v>45678</v>
      </c>
      <c r="G1644">
        <v>8</v>
      </c>
      <c r="H1644">
        <v>8</v>
      </c>
      <c r="I1644" t="s">
        <v>494</v>
      </c>
      <c r="J1644" s="27">
        <v>45777</v>
      </c>
      <c r="L1644" s="29">
        <v>743.74577426470591</v>
      </c>
      <c r="M1644" s="29">
        <v>5949.9661941176473</v>
      </c>
      <c r="N1644" s="15">
        <v>45658</v>
      </c>
    </row>
    <row r="1645" spans="1:14" x14ac:dyDescent="0.25">
      <c r="A1645">
        <v>371665</v>
      </c>
      <c r="B1645" t="s">
        <v>258</v>
      </c>
      <c r="C1645">
        <v>50399</v>
      </c>
      <c r="D1645" t="s">
        <v>231</v>
      </c>
      <c r="E1645" t="s">
        <v>19</v>
      </c>
      <c r="F1645" s="27">
        <v>45678</v>
      </c>
      <c r="G1645">
        <v>6</v>
      </c>
      <c r="H1645">
        <v>6</v>
      </c>
      <c r="I1645" t="s">
        <v>906</v>
      </c>
      <c r="J1645" s="27">
        <v>45679</v>
      </c>
      <c r="L1645" s="29">
        <v>929.68221764705879</v>
      </c>
      <c r="M1645" s="29">
        <v>5578.093305882353</v>
      </c>
      <c r="N1645" s="15">
        <v>45658</v>
      </c>
    </row>
    <row r="1646" spans="1:14" x14ac:dyDescent="0.25">
      <c r="A1646">
        <v>371666</v>
      </c>
      <c r="B1646" t="s">
        <v>38</v>
      </c>
      <c r="C1646">
        <v>47761</v>
      </c>
      <c r="D1646" t="s">
        <v>231</v>
      </c>
      <c r="E1646" t="s">
        <v>19</v>
      </c>
      <c r="F1646" s="27">
        <v>45678</v>
      </c>
      <c r="G1646">
        <v>2</v>
      </c>
      <c r="H1646">
        <v>2</v>
      </c>
      <c r="I1646" t="s">
        <v>892</v>
      </c>
      <c r="J1646" s="27">
        <v>45679</v>
      </c>
      <c r="L1646" s="29">
        <v>929.68221764705879</v>
      </c>
      <c r="M1646" s="29">
        <v>1859.3644352941176</v>
      </c>
      <c r="N1646" s="15">
        <v>45658</v>
      </c>
    </row>
    <row r="1647" spans="1:14" x14ac:dyDescent="0.25">
      <c r="A1647">
        <v>372948</v>
      </c>
      <c r="B1647" t="s">
        <v>38</v>
      </c>
      <c r="C1647">
        <v>47707</v>
      </c>
      <c r="D1647" t="s">
        <v>39</v>
      </c>
      <c r="E1647" t="s">
        <v>19</v>
      </c>
      <c r="F1647" s="27">
        <v>45678</v>
      </c>
      <c r="G1647">
        <v>8</v>
      </c>
      <c r="H1647">
        <v>8</v>
      </c>
      <c r="I1647" t="s">
        <v>580</v>
      </c>
      <c r="J1647" s="27">
        <v>45684</v>
      </c>
      <c r="L1647" s="29">
        <v>929.68221764705879</v>
      </c>
      <c r="M1647" s="29">
        <v>7437.4577411764703</v>
      </c>
      <c r="N1647" s="15">
        <v>45658</v>
      </c>
    </row>
    <row r="1648" spans="1:14" x14ac:dyDescent="0.25">
      <c r="A1648">
        <v>377575</v>
      </c>
      <c r="B1648" t="s">
        <v>35</v>
      </c>
      <c r="C1648">
        <v>47614</v>
      </c>
      <c r="D1648" t="s">
        <v>33</v>
      </c>
      <c r="E1648" t="s">
        <v>22</v>
      </c>
      <c r="F1648" s="27">
        <v>45678</v>
      </c>
      <c r="G1648">
        <v>8</v>
      </c>
      <c r="H1648">
        <v>8</v>
      </c>
      <c r="I1648" t="s">
        <v>751</v>
      </c>
      <c r="J1648" s="27">
        <v>45693</v>
      </c>
      <c r="L1648" s="29">
        <v>1859.3644352941176</v>
      </c>
      <c r="M1648" s="29">
        <v>14874.915482352941</v>
      </c>
      <c r="N1648" s="15">
        <v>45658</v>
      </c>
    </row>
    <row r="1649" spans="1:14" x14ac:dyDescent="0.25">
      <c r="A1649">
        <v>371243</v>
      </c>
      <c r="B1649" t="s">
        <v>35</v>
      </c>
      <c r="C1649">
        <v>47614</v>
      </c>
      <c r="D1649" t="s">
        <v>33</v>
      </c>
      <c r="E1649" t="s">
        <v>22</v>
      </c>
      <c r="F1649" s="27">
        <v>45677</v>
      </c>
      <c r="G1649">
        <v>8</v>
      </c>
      <c r="H1649">
        <v>8</v>
      </c>
      <c r="I1649" t="s">
        <v>751</v>
      </c>
      <c r="J1649" s="27">
        <v>45678</v>
      </c>
      <c r="L1649" s="29">
        <v>1859.3644352941176</v>
      </c>
      <c r="M1649" s="29">
        <v>14874.915482352941</v>
      </c>
      <c r="N1649" s="15">
        <v>45658</v>
      </c>
    </row>
    <row r="1650" spans="1:14" x14ac:dyDescent="0.25">
      <c r="A1650">
        <v>379456</v>
      </c>
      <c r="B1650" t="s">
        <v>35</v>
      </c>
      <c r="C1650">
        <v>47572</v>
      </c>
      <c r="D1650" t="s">
        <v>21</v>
      </c>
      <c r="E1650" t="s">
        <v>22</v>
      </c>
      <c r="F1650" s="27">
        <v>45677</v>
      </c>
      <c r="G1650">
        <v>1</v>
      </c>
      <c r="H1650">
        <v>1</v>
      </c>
      <c r="I1650" t="s">
        <v>907</v>
      </c>
      <c r="J1650" s="27">
        <v>45700</v>
      </c>
      <c r="L1650" s="29">
        <v>2091.7849897058823</v>
      </c>
      <c r="M1650" s="29">
        <v>2091.7849897058823</v>
      </c>
      <c r="N1650" s="15">
        <v>45658</v>
      </c>
    </row>
    <row r="1651" spans="1:14" x14ac:dyDescent="0.25">
      <c r="A1651">
        <v>379457</v>
      </c>
      <c r="B1651" t="s">
        <v>35</v>
      </c>
      <c r="C1651">
        <v>47572</v>
      </c>
      <c r="D1651" t="s">
        <v>21</v>
      </c>
      <c r="E1651" t="s">
        <v>22</v>
      </c>
      <c r="F1651" s="27">
        <v>45677</v>
      </c>
      <c r="G1651">
        <v>1</v>
      </c>
      <c r="H1651">
        <v>1</v>
      </c>
      <c r="I1651" t="s">
        <v>699</v>
      </c>
      <c r="J1651" s="27">
        <v>45700</v>
      </c>
      <c r="L1651" s="29">
        <v>2091.7849897058823</v>
      </c>
      <c r="M1651" s="29">
        <v>2091.7849897058823</v>
      </c>
      <c r="N1651" s="15">
        <v>45658</v>
      </c>
    </row>
    <row r="1652" spans="1:14" x14ac:dyDescent="0.25">
      <c r="A1652">
        <v>394052</v>
      </c>
      <c r="B1652" t="s">
        <v>35</v>
      </c>
      <c r="C1652">
        <v>52114</v>
      </c>
      <c r="D1652" t="s">
        <v>37</v>
      </c>
      <c r="E1652" t="s">
        <v>22</v>
      </c>
      <c r="F1652" s="27">
        <v>45677</v>
      </c>
      <c r="G1652">
        <v>8</v>
      </c>
      <c r="H1652">
        <v>8</v>
      </c>
      <c r="I1652" t="s">
        <v>908</v>
      </c>
      <c r="J1652" s="27">
        <v>45737</v>
      </c>
      <c r="L1652" s="29">
        <v>371.87288676470587</v>
      </c>
      <c r="M1652" s="29">
        <v>2974.9830941176469</v>
      </c>
      <c r="N1652" s="15">
        <v>45658</v>
      </c>
    </row>
    <row r="1653" spans="1:14" x14ac:dyDescent="0.25">
      <c r="A1653">
        <v>379460</v>
      </c>
      <c r="B1653" t="s">
        <v>35</v>
      </c>
      <c r="C1653">
        <v>47570</v>
      </c>
      <c r="D1653" t="s">
        <v>21</v>
      </c>
      <c r="E1653" t="s">
        <v>22</v>
      </c>
      <c r="F1653" s="27">
        <v>45677</v>
      </c>
      <c r="G1653">
        <v>1</v>
      </c>
      <c r="H1653">
        <v>1</v>
      </c>
      <c r="I1653" t="s">
        <v>909</v>
      </c>
      <c r="J1653" s="27">
        <v>45700</v>
      </c>
      <c r="L1653" s="29">
        <v>2091.7849897058823</v>
      </c>
      <c r="M1653" s="29">
        <v>2091.7849897058823</v>
      </c>
      <c r="N1653" s="15">
        <v>45658</v>
      </c>
    </row>
    <row r="1654" spans="1:14" x14ac:dyDescent="0.25">
      <c r="A1654">
        <v>374858</v>
      </c>
      <c r="B1654" t="s">
        <v>20</v>
      </c>
      <c r="C1654">
        <v>45258</v>
      </c>
      <c r="D1654" t="s">
        <v>21</v>
      </c>
      <c r="E1654" t="s">
        <v>22</v>
      </c>
      <c r="F1654" s="27">
        <v>45677</v>
      </c>
      <c r="G1654">
        <v>5</v>
      </c>
      <c r="H1654">
        <v>5</v>
      </c>
      <c r="I1654" t="s">
        <v>910</v>
      </c>
      <c r="J1654" s="27">
        <v>45688</v>
      </c>
      <c r="L1654" s="29">
        <v>2091.7849897058823</v>
      </c>
      <c r="M1654" s="29">
        <v>10458.924948529411</v>
      </c>
      <c r="N1654" s="15">
        <v>45658</v>
      </c>
    </row>
    <row r="1655" spans="1:14" x14ac:dyDescent="0.25">
      <c r="A1655">
        <v>371103</v>
      </c>
      <c r="B1655" t="s">
        <v>35</v>
      </c>
      <c r="C1655">
        <v>47569</v>
      </c>
      <c r="D1655" t="s">
        <v>36</v>
      </c>
      <c r="E1655" t="s">
        <v>22</v>
      </c>
      <c r="F1655" s="27">
        <v>45677</v>
      </c>
      <c r="G1655">
        <v>7</v>
      </c>
      <c r="H1655">
        <v>7</v>
      </c>
      <c r="I1655" t="s">
        <v>911</v>
      </c>
      <c r="J1655" s="27">
        <v>45677</v>
      </c>
      <c r="L1655" s="29">
        <v>2231.2373227941175</v>
      </c>
      <c r="M1655" s="29">
        <v>15618.661259558823</v>
      </c>
      <c r="N1655" s="15">
        <v>45658</v>
      </c>
    </row>
    <row r="1656" spans="1:14" x14ac:dyDescent="0.25">
      <c r="A1656">
        <v>371104</v>
      </c>
      <c r="B1656" t="s">
        <v>35</v>
      </c>
      <c r="C1656">
        <v>47570</v>
      </c>
      <c r="D1656" t="s">
        <v>36</v>
      </c>
      <c r="E1656" t="s">
        <v>22</v>
      </c>
      <c r="F1656" s="27">
        <v>45677</v>
      </c>
      <c r="G1656">
        <v>0.5</v>
      </c>
      <c r="H1656">
        <v>0.5</v>
      </c>
      <c r="I1656" t="s">
        <v>912</v>
      </c>
      <c r="J1656" s="27">
        <v>45677</v>
      </c>
      <c r="L1656" s="29">
        <v>2231.2373227941175</v>
      </c>
      <c r="M1656" s="29">
        <v>1115.6186613970588</v>
      </c>
      <c r="N1656" s="15">
        <v>45658</v>
      </c>
    </row>
    <row r="1657" spans="1:14" x14ac:dyDescent="0.25">
      <c r="A1657">
        <v>371105</v>
      </c>
      <c r="B1657" t="s">
        <v>35</v>
      </c>
      <c r="C1657">
        <v>47572</v>
      </c>
      <c r="D1657" t="s">
        <v>36</v>
      </c>
      <c r="E1657" t="s">
        <v>22</v>
      </c>
      <c r="F1657" s="27">
        <v>45677</v>
      </c>
      <c r="G1657">
        <v>0.5</v>
      </c>
      <c r="H1657">
        <v>0.5</v>
      </c>
      <c r="I1657" t="s">
        <v>913</v>
      </c>
      <c r="J1657" s="27">
        <v>45677</v>
      </c>
      <c r="L1657" s="29">
        <v>2231.2373227941175</v>
      </c>
      <c r="M1657" s="29">
        <v>1115.6186613970588</v>
      </c>
      <c r="N1657" s="15">
        <v>45658</v>
      </c>
    </row>
    <row r="1658" spans="1:14" x14ac:dyDescent="0.25">
      <c r="A1658">
        <v>412346</v>
      </c>
      <c r="B1658" t="s">
        <v>35</v>
      </c>
      <c r="C1658">
        <v>47569</v>
      </c>
      <c r="D1658" t="s">
        <v>30</v>
      </c>
      <c r="E1658" t="s">
        <v>22</v>
      </c>
      <c r="F1658" s="27">
        <v>45677</v>
      </c>
      <c r="G1658">
        <v>8</v>
      </c>
      <c r="H1658">
        <v>8</v>
      </c>
      <c r="I1658" t="s">
        <v>494</v>
      </c>
      <c r="J1658" s="27">
        <v>45777</v>
      </c>
      <c r="L1658" s="29">
        <v>743.74577426470591</v>
      </c>
      <c r="M1658" s="29">
        <v>5949.9661941176473</v>
      </c>
      <c r="N1658" s="15">
        <v>45658</v>
      </c>
    </row>
    <row r="1659" spans="1:14" x14ac:dyDescent="0.25">
      <c r="A1659">
        <v>371136</v>
      </c>
      <c r="B1659" t="s">
        <v>35</v>
      </c>
      <c r="C1659">
        <v>47615</v>
      </c>
      <c r="D1659" t="s">
        <v>25</v>
      </c>
      <c r="E1659" t="s">
        <v>22</v>
      </c>
      <c r="F1659" s="27">
        <v>45677</v>
      </c>
      <c r="G1659">
        <v>8</v>
      </c>
      <c r="H1659">
        <v>8</v>
      </c>
      <c r="I1659" t="s">
        <v>659</v>
      </c>
      <c r="J1659" s="27">
        <v>45677</v>
      </c>
      <c r="L1659" s="29">
        <v>1394.5233264705882</v>
      </c>
      <c r="M1659" s="29">
        <v>11156.186611764706</v>
      </c>
      <c r="N1659" s="15">
        <v>45658</v>
      </c>
    </row>
    <row r="1660" spans="1:14" x14ac:dyDescent="0.25">
      <c r="A1660">
        <v>371661</v>
      </c>
      <c r="B1660" t="s">
        <v>38</v>
      </c>
      <c r="C1660">
        <v>47761</v>
      </c>
      <c r="D1660" t="s">
        <v>231</v>
      </c>
      <c r="E1660" t="s">
        <v>19</v>
      </c>
      <c r="F1660" s="27">
        <v>45677</v>
      </c>
      <c r="G1660">
        <v>3</v>
      </c>
      <c r="H1660">
        <v>3</v>
      </c>
      <c r="I1660" t="s">
        <v>914</v>
      </c>
      <c r="J1660" s="27">
        <v>45679</v>
      </c>
      <c r="L1660" s="29">
        <v>929.68221764705879</v>
      </c>
      <c r="M1660" s="29">
        <v>2789.0466529411765</v>
      </c>
      <c r="N1660" s="15">
        <v>45658</v>
      </c>
    </row>
    <row r="1661" spans="1:14" x14ac:dyDescent="0.25">
      <c r="A1661">
        <v>371663</v>
      </c>
      <c r="B1661" t="s">
        <v>35</v>
      </c>
      <c r="C1661">
        <v>47539</v>
      </c>
      <c r="D1661" t="s">
        <v>231</v>
      </c>
      <c r="E1661" t="s">
        <v>22</v>
      </c>
      <c r="F1661" s="27">
        <v>45677</v>
      </c>
      <c r="G1661">
        <v>2</v>
      </c>
      <c r="H1661">
        <v>2</v>
      </c>
      <c r="I1661" t="s">
        <v>915</v>
      </c>
      <c r="J1661" s="27">
        <v>45679</v>
      </c>
      <c r="L1661" s="29">
        <v>929.68221764705879</v>
      </c>
      <c r="M1661" s="29">
        <v>1859.3644352941176</v>
      </c>
      <c r="N1661" s="15">
        <v>45658</v>
      </c>
    </row>
    <row r="1662" spans="1:14" x14ac:dyDescent="0.25">
      <c r="A1662">
        <v>371664</v>
      </c>
      <c r="B1662" t="s">
        <v>258</v>
      </c>
      <c r="C1662">
        <v>50399</v>
      </c>
      <c r="D1662" t="s">
        <v>231</v>
      </c>
      <c r="E1662" t="s">
        <v>19</v>
      </c>
      <c r="F1662" s="27">
        <v>45677</v>
      </c>
      <c r="G1662">
        <v>3</v>
      </c>
      <c r="H1662">
        <v>3</v>
      </c>
      <c r="I1662" t="s">
        <v>893</v>
      </c>
      <c r="J1662" s="27">
        <v>45679</v>
      </c>
      <c r="L1662" s="29">
        <v>929.68221764705879</v>
      </c>
      <c r="M1662" s="29">
        <v>2789.0466529411765</v>
      </c>
      <c r="N1662" s="15">
        <v>45658</v>
      </c>
    </row>
    <row r="1663" spans="1:14" x14ac:dyDescent="0.25">
      <c r="A1663">
        <v>372947</v>
      </c>
      <c r="B1663" t="s">
        <v>38</v>
      </c>
      <c r="C1663">
        <v>47707</v>
      </c>
      <c r="D1663" t="s">
        <v>39</v>
      </c>
      <c r="E1663" t="s">
        <v>19</v>
      </c>
      <c r="F1663" s="27">
        <v>45677</v>
      </c>
      <c r="G1663">
        <v>8</v>
      </c>
      <c r="H1663">
        <v>8</v>
      </c>
      <c r="I1663" t="s">
        <v>916</v>
      </c>
      <c r="J1663" s="27">
        <v>45684</v>
      </c>
      <c r="L1663" s="29">
        <v>929.68221764705879</v>
      </c>
      <c r="M1663" s="29">
        <v>7437.4577411764703</v>
      </c>
      <c r="N1663" s="15">
        <v>45658</v>
      </c>
    </row>
    <row r="1664" spans="1:14" x14ac:dyDescent="0.25">
      <c r="A1664">
        <v>371242</v>
      </c>
      <c r="B1664" t="s">
        <v>35</v>
      </c>
      <c r="C1664">
        <v>47614</v>
      </c>
      <c r="D1664" t="s">
        <v>33</v>
      </c>
      <c r="E1664" t="s">
        <v>22</v>
      </c>
      <c r="F1664" s="27">
        <v>45674</v>
      </c>
      <c r="G1664">
        <v>8</v>
      </c>
      <c r="H1664">
        <v>8</v>
      </c>
      <c r="I1664" t="s">
        <v>751</v>
      </c>
      <c r="J1664" s="27">
        <v>45678</v>
      </c>
      <c r="L1664" s="29">
        <v>1859.3644352941176</v>
      </c>
      <c r="M1664" s="29">
        <v>14874.915482352941</v>
      </c>
      <c r="N1664" s="15">
        <v>45658</v>
      </c>
    </row>
    <row r="1665" spans="1:14" x14ac:dyDescent="0.25">
      <c r="A1665">
        <v>379434</v>
      </c>
      <c r="B1665" t="s">
        <v>20</v>
      </c>
      <c r="C1665">
        <v>46185</v>
      </c>
      <c r="D1665" t="s">
        <v>21</v>
      </c>
      <c r="E1665" t="s">
        <v>22</v>
      </c>
      <c r="F1665" s="27">
        <v>45674</v>
      </c>
      <c r="G1665">
        <v>3</v>
      </c>
      <c r="H1665">
        <v>3</v>
      </c>
      <c r="I1665" t="s">
        <v>917</v>
      </c>
      <c r="J1665" s="27">
        <v>45700</v>
      </c>
      <c r="L1665" s="29">
        <v>2091.7849897058823</v>
      </c>
      <c r="M1665" s="29">
        <v>6275.3549691176468</v>
      </c>
      <c r="N1665" s="15">
        <v>45658</v>
      </c>
    </row>
    <row r="1666" spans="1:14" x14ac:dyDescent="0.25">
      <c r="A1666">
        <v>379453</v>
      </c>
      <c r="B1666" t="s">
        <v>35</v>
      </c>
      <c r="C1666">
        <v>47569</v>
      </c>
      <c r="D1666" t="s">
        <v>21</v>
      </c>
      <c r="E1666" t="s">
        <v>22</v>
      </c>
      <c r="F1666" s="27">
        <v>45674</v>
      </c>
      <c r="G1666">
        <v>3</v>
      </c>
      <c r="H1666">
        <v>3</v>
      </c>
      <c r="I1666" t="s">
        <v>918</v>
      </c>
      <c r="J1666" s="27">
        <v>45700</v>
      </c>
      <c r="L1666" s="29">
        <v>2091.7849897058823</v>
      </c>
      <c r="M1666" s="29">
        <v>6275.3549691176468</v>
      </c>
      <c r="N1666" s="15">
        <v>45658</v>
      </c>
    </row>
    <row r="1667" spans="1:14" x14ac:dyDescent="0.25">
      <c r="A1667">
        <v>379454</v>
      </c>
      <c r="B1667" t="s">
        <v>35</v>
      </c>
      <c r="C1667">
        <v>47572</v>
      </c>
      <c r="D1667" t="s">
        <v>21</v>
      </c>
      <c r="E1667" t="s">
        <v>22</v>
      </c>
      <c r="F1667" s="27">
        <v>45674</v>
      </c>
      <c r="G1667">
        <v>1</v>
      </c>
      <c r="H1667">
        <v>1</v>
      </c>
      <c r="I1667" t="s">
        <v>919</v>
      </c>
      <c r="J1667" s="27">
        <v>45700</v>
      </c>
      <c r="L1667" s="29">
        <v>2091.7849897058823</v>
      </c>
      <c r="M1667" s="29">
        <v>2091.7849897058823</v>
      </c>
      <c r="N1667" s="15">
        <v>45658</v>
      </c>
    </row>
    <row r="1668" spans="1:14" x14ac:dyDescent="0.25">
      <c r="A1668">
        <v>379455</v>
      </c>
      <c r="B1668" t="s">
        <v>35</v>
      </c>
      <c r="C1668">
        <v>47572</v>
      </c>
      <c r="D1668" t="s">
        <v>21</v>
      </c>
      <c r="E1668" t="s">
        <v>22</v>
      </c>
      <c r="F1668" s="27">
        <v>45674</v>
      </c>
      <c r="G1668">
        <v>1</v>
      </c>
      <c r="H1668">
        <v>1</v>
      </c>
      <c r="I1668" t="s">
        <v>699</v>
      </c>
      <c r="J1668" s="27">
        <v>45700</v>
      </c>
      <c r="L1668" s="29">
        <v>2091.7849897058823</v>
      </c>
      <c r="M1668" s="29">
        <v>2091.7849897058823</v>
      </c>
      <c r="N1668" s="15">
        <v>45658</v>
      </c>
    </row>
    <row r="1669" spans="1:14" x14ac:dyDescent="0.25">
      <c r="A1669">
        <v>394051</v>
      </c>
      <c r="B1669" t="s">
        <v>35</v>
      </c>
      <c r="C1669">
        <v>52114</v>
      </c>
      <c r="D1669" t="s">
        <v>37</v>
      </c>
      <c r="E1669" t="s">
        <v>22</v>
      </c>
      <c r="F1669" s="27">
        <v>45674</v>
      </c>
      <c r="G1669">
        <v>8</v>
      </c>
      <c r="H1669">
        <v>8</v>
      </c>
      <c r="I1669" t="s">
        <v>718</v>
      </c>
      <c r="J1669" s="27">
        <v>45737</v>
      </c>
      <c r="L1669" s="29">
        <v>371.87288676470587</v>
      </c>
      <c r="M1669" s="29">
        <v>2974.9830941176469</v>
      </c>
      <c r="N1669" s="15">
        <v>45658</v>
      </c>
    </row>
    <row r="1670" spans="1:14" x14ac:dyDescent="0.25">
      <c r="A1670">
        <v>369793</v>
      </c>
      <c r="B1670" t="s">
        <v>38</v>
      </c>
      <c r="C1670">
        <v>47707</v>
      </c>
      <c r="D1670" t="s">
        <v>39</v>
      </c>
      <c r="E1670" t="s">
        <v>19</v>
      </c>
      <c r="F1670" s="27">
        <v>45674</v>
      </c>
      <c r="G1670">
        <v>8</v>
      </c>
      <c r="H1670">
        <v>8</v>
      </c>
      <c r="I1670" t="s">
        <v>916</v>
      </c>
      <c r="J1670" s="27">
        <v>45673</v>
      </c>
      <c r="L1670" s="29">
        <v>929.68221764705879</v>
      </c>
      <c r="M1670" s="29">
        <v>7437.4577411764703</v>
      </c>
      <c r="N1670" s="15">
        <v>45658</v>
      </c>
    </row>
    <row r="1671" spans="1:14" x14ac:dyDescent="0.25">
      <c r="A1671">
        <v>370827</v>
      </c>
      <c r="B1671" t="s">
        <v>258</v>
      </c>
      <c r="C1671">
        <v>50399</v>
      </c>
      <c r="D1671" t="s">
        <v>231</v>
      </c>
      <c r="E1671" t="s">
        <v>19</v>
      </c>
      <c r="F1671" s="27">
        <v>45674</v>
      </c>
      <c r="G1671">
        <v>4</v>
      </c>
      <c r="H1671">
        <v>4</v>
      </c>
      <c r="I1671" t="s">
        <v>920</v>
      </c>
      <c r="J1671" s="27">
        <v>45677</v>
      </c>
      <c r="L1671" s="29">
        <v>929.68221764705879</v>
      </c>
      <c r="M1671" s="29">
        <v>3718.7288705882352</v>
      </c>
      <c r="N1671" s="15">
        <v>45658</v>
      </c>
    </row>
    <row r="1672" spans="1:14" x14ac:dyDescent="0.25">
      <c r="A1672">
        <v>370828</v>
      </c>
      <c r="B1672" t="s">
        <v>38</v>
      </c>
      <c r="C1672">
        <v>47761</v>
      </c>
      <c r="D1672" t="s">
        <v>231</v>
      </c>
      <c r="E1672" t="s">
        <v>19</v>
      </c>
      <c r="F1672" s="27">
        <v>45674</v>
      </c>
      <c r="G1672">
        <v>2</v>
      </c>
      <c r="H1672">
        <v>2</v>
      </c>
      <c r="I1672" t="s">
        <v>921</v>
      </c>
      <c r="J1672" s="27">
        <v>45677</v>
      </c>
      <c r="L1672" s="29">
        <v>929.68221764705879</v>
      </c>
      <c r="M1672" s="29">
        <v>1859.3644352941176</v>
      </c>
      <c r="N1672" s="15">
        <v>45658</v>
      </c>
    </row>
    <row r="1673" spans="1:14" x14ac:dyDescent="0.25">
      <c r="A1673">
        <v>370829</v>
      </c>
      <c r="B1673" t="s">
        <v>35</v>
      </c>
      <c r="C1673">
        <v>47539</v>
      </c>
      <c r="D1673" t="s">
        <v>231</v>
      </c>
      <c r="E1673" t="s">
        <v>22</v>
      </c>
      <c r="F1673" s="27">
        <v>45674</v>
      </c>
      <c r="G1673">
        <v>2</v>
      </c>
      <c r="H1673">
        <v>2</v>
      </c>
      <c r="I1673" t="s">
        <v>922</v>
      </c>
      <c r="J1673" s="27">
        <v>45677</v>
      </c>
      <c r="L1673" s="29">
        <v>929.68221764705879</v>
      </c>
      <c r="M1673" s="29">
        <v>1859.3644352941176</v>
      </c>
      <c r="N1673" s="15">
        <v>45658</v>
      </c>
    </row>
    <row r="1674" spans="1:14" x14ac:dyDescent="0.25">
      <c r="A1674">
        <v>412344</v>
      </c>
      <c r="B1674" t="s">
        <v>35</v>
      </c>
      <c r="C1674">
        <v>47572</v>
      </c>
      <c r="D1674" t="s">
        <v>30</v>
      </c>
      <c r="E1674" t="s">
        <v>22</v>
      </c>
      <c r="F1674" s="27">
        <v>45674</v>
      </c>
      <c r="G1674">
        <v>5</v>
      </c>
      <c r="H1674">
        <v>5</v>
      </c>
      <c r="I1674" t="s">
        <v>494</v>
      </c>
      <c r="J1674" s="27">
        <v>45777</v>
      </c>
      <c r="L1674" s="29">
        <v>743.74577426470591</v>
      </c>
      <c r="M1674" s="29">
        <v>3718.7288713235293</v>
      </c>
      <c r="N1674" s="15">
        <v>45658</v>
      </c>
    </row>
    <row r="1675" spans="1:14" x14ac:dyDescent="0.25">
      <c r="A1675">
        <v>370623</v>
      </c>
      <c r="B1675" t="s">
        <v>35</v>
      </c>
      <c r="C1675">
        <v>47568</v>
      </c>
      <c r="D1675" t="s">
        <v>36</v>
      </c>
      <c r="E1675" t="s">
        <v>22</v>
      </c>
      <c r="F1675" s="27">
        <v>45674</v>
      </c>
      <c r="G1675">
        <v>2</v>
      </c>
      <c r="H1675">
        <v>2</v>
      </c>
      <c r="I1675" t="s">
        <v>923</v>
      </c>
      <c r="J1675" s="27">
        <v>45674</v>
      </c>
      <c r="L1675" s="29">
        <v>2231.2373227941175</v>
      </c>
      <c r="M1675" s="29">
        <v>4462.474645588235</v>
      </c>
      <c r="N1675" s="15">
        <v>45658</v>
      </c>
    </row>
    <row r="1676" spans="1:14" x14ac:dyDescent="0.25">
      <c r="A1676">
        <v>370624</v>
      </c>
      <c r="B1676" t="s">
        <v>35</v>
      </c>
      <c r="C1676">
        <v>47569</v>
      </c>
      <c r="D1676" t="s">
        <v>36</v>
      </c>
      <c r="E1676" t="s">
        <v>22</v>
      </c>
      <c r="F1676" s="27">
        <v>45674</v>
      </c>
      <c r="G1676">
        <v>2</v>
      </c>
      <c r="H1676">
        <v>2</v>
      </c>
      <c r="I1676" t="s">
        <v>924</v>
      </c>
      <c r="J1676" s="27">
        <v>45674</v>
      </c>
      <c r="L1676" s="29">
        <v>2231.2373227941175</v>
      </c>
      <c r="M1676" s="29">
        <v>4462.474645588235</v>
      </c>
      <c r="N1676" s="15">
        <v>45658</v>
      </c>
    </row>
    <row r="1677" spans="1:14" x14ac:dyDescent="0.25">
      <c r="A1677">
        <v>370625</v>
      </c>
      <c r="B1677" t="s">
        <v>35</v>
      </c>
      <c r="C1677">
        <v>47572</v>
      </c>
      <c r="D1677" t="s">
        <v>36</v>
      </c>
      <c r="E1677" t="s">
        <v>22</v>
      </c>
      <c r="F1677" s="27">
        <v>45674</v>
      </c>
      <c r="G1677">
        <v>4</v>
      </c>
      <c r="H1677">
        <v>4</v>
      </c>
      <c r="I1677" t="s">
        <v>802</v>
      </c>
      <c r="J1677" s="27">
        <v>45674</v>
      </c>
      <c r="L1677" s="29">
        <v>2231.2373227941175</v>
      </c>
      <c r="M1677" s="29">
        <v>8924.9492911764701</v>
      </c>
      <c r="N1677" s="15">
        <v>45658</v>
      </c>
    </row>
    <row r="1678" spans="1:14" x14ac:dyDescent="0.25">
      <c r="A1678">
        <v>371137</v>
      </c>
      <c r="B1678" t="s">
        <v>35</v>
      </c>
      <c r="C1678">
        <v>47615</v>
      </c>
      <c r="D1678" t="s">
        <v>25</v>
      </c>
      <c r="E1678" t="s">
        <v>22</v>
      </c>
      <c r="F1678" s="27">
        <v>45674</v>
      </c>
      <c r="G1678">
        <v>8</v>
      </c>
      <c r="H1678">
        <v>8</v>
      </c>
      <c r="I1678" t="s">
        <v>659</v>
      </c>
      <c r="J1678" s="27">
        <v>45677</v>
      </c>
      <c r="L1678" s="29">
        <v>1394.5233264705882</v>
      </c>
      <c r="M1678" s="29">
        <v>11156.186611764706</v>
      </c>
      <c r="N1678" s="15">
        <v>45658</v>
      </c>
    </row>
    <row r="1679" spans="1:14" x14ac:dyDescent="0.25">
      <c r="A1679">
        <v>370196</v>
      </c>
      <c r="B1679" t="s">
        <v>35</v>
      </c>
      <c r="C1679">
        <v>47570</v>
      </c>
      <c r="D1679" t="s">
        <v>36</v>
      </c>
      <c r="E1679" t="s">
        <v>22</v>
      </c>
      <c r="F1679" s="27">
        <v>45673</v>
      </c>
      <c r="G1679">
        <v>2</v>
      </c>
      <c r="H1679">
        <v>2</v>
      </c>
      <c r="I1679" t="s">
        <v>633</v>
      </c>
      <c r="J1679" s="27">
        <v>45673</v>
      </c>
      <c r="L1679" s="29">
        <v>2231.2373227941175</v>
      </c>
      <c r="M1679" s="29">
        <v>4462.474645588235</v>
      </c>
      <c r="N1679" s="15">
        <v>45658</v>
      </c>
    </row>
    <row r="1680" spans="1:14" x14ac:dyDescent="0.25">
      <c r="A1680">
        <v>370197</v>
      </c>
      <c r="B1680" t="s">
        <v>35</v>
      </c>
      <c r="C1680">
        <v>47569</v>
      </c>
      <c r="D1680" t="s">
        <v>36</v>
      </c>
      <c r="E1680" t="s">
        <v>22</v>
      </c>
      <c r="F1680" s="27">
        <v>45673</v>
      </c>
      <c r="G1680">
        <v>3</v>
      </c>
      <c r="H1680">
        <v>3</v>
      </c>
      <c r="I1680" t="s">
        <v>925</v>
      </c>
      <c r="J1680" s="27">
        <v>45673</v>
      </c>
      <c r="L1680" s="29">
        <v>2231.2373227941175</v>
      </c>
      <c r="M1680" s="29">
        <v>6693.711968382353</v>
      </c>
      <c r="N1680" s="15">
        <v>45658</v>
      </c>
    </row>
    <row r="1681" spans="1:14" x14ac:dyDescent="0.25">
      <c r="A1681">
        <v>431894</v>
      </c>
      <c r="B1681" t="s">
        <v>254</v>
      </c>
      <c r="C1681">
        <v>52107</v>
      </c>
      <c r="D1681" t="s">
        <v>32</v>
      </c>
      <c r="E1681" t="s">
        <v>22</v>
      </c>
      <c r="F1681" s="27">
        <v>45673</v>
      </c>
      <c r="G1681">
        <v>7</v>
      </c>
      <c r="H1681">
        <v>7</v>
      </c>
      <c r="I1681" t="s">
        <v>467</v>
      </c>
      <c r="J1681" s="27">
        <v>45835</v>
      </c>
      <c r="L1681" s="29">
        <v>2324.2055441176472</v>
      </c>
      <c r="M1681" s="29">
        <v>16269.43880882353</v>
      </c>
      <c r="N1681" s="15">
        <v>45658</v>
      </c>
    </row>
    <row r="1682" spans="1:14" x14ac:dyDescent="0.25">
      <c r="A1682">
        <v>370199</v>
      </c>
      <c r="B1682" t="s">
        <v>35</v>
      </c>
      <c r="C1682">
        <v>47572</v>
      </c>
      <c r="D1682" t="s">
        <v>36</v>
      </c>
      <c r="E1682" t="s">
        <v>22</v>
      </c>
      <c r="F1682" s="27">
        <v>45673</v>
      </c>
      <c r="G1682">
        <v>3</v>
      </c>
      <c r="H1682">
        <v>3</v>
      </c>
      <c r="I1682" t="s">
        <v>926</v>
      </c>
      <c r="J1682" s="27">
        <v>45673</v>
      </c>
      <c r="L1682" s="29">
        <v>2231.2373227941175</v>
      </c>
      <c r="M1682" s="29">
        <v>6693.711968382353</v>
      </c>
      <c r="N1682" s="15">
        <v>45658</v>
      </c>
    </row>
    <row r="1683" spans="1:14" x14ac:dyDescent="0.25">
      <c r="A1683">
        <v>371241</v>
      </c>
      <c r="B1683" t="s">
        <v>35</v>
      </c>
      <c r="C1683">
        <v>47614</v>
      </c>
      <c r="D1683" t="s">
        <v>33</v>
      </c>
      <c r="E1683" t="s">
        <v>22</v>
      </c>
      <c r="F1683" s="27">
        <v>45673</v>
      </c>
      <c r="G1683">
        <v>8</v>
      </c>
      <c r="H1683">
        <v>8</v>
      </c>
      <c r="I1683" t="s">
        <v>751</v>
      </c>
      <c r="J1683" s="27">
        <v>45678</v>
      </c>
      <c r="L1683" s="29">
        <v>1859.3644352941176</v>
      </c>
      <c r="M1683" s="29">
        <v>14874.915482352941</v>
      </c>
      <c r="N1683" s="15">
        <v>45658</v>
      </c>
    </row>
    <row r="1684" spans="1:14" x14ac:dyDescent="0.25">
      <c r="A1684">
        <v>379444</v>
      </c>
      <c r="B1684" t="s">
        <v>35</v>
      </c>
      <c r="C1684">
        <v>47569</v>
      </c>
      <c r="D1684" t="s">
        <v>21</v>
      </c>
      <c r="E1684" t="s">
        <v>22</v>
      </c>
      <c r="F1684" s="27">
        <v>45673</v>
      </c>
      <c r="G1684">
        <v>3</v>
      </c>
      <c r="H1684">
        <v>3</v>
      </c>
      <c r="I1684" t="s">
        <v>927</v>
      </c>
      <c r="J1684" s="27">
        <v>45700</v>
      </c>
      <c r="L1684" s="29">
        <v>2091.7849897058823</v>
      </c>
      <c r="M1684" s="29">
        <v>6275.3549691176468</v>
      </c>
      <c r="N1684" s="15">
        <v>45658</v>
      </c>
    </row>
    <row r="1685" spans="1:14" x14ac:dyDescent="0.25">
      <c r="A1685">
        <v>379445</v>
      </c>
      <c r="B1685" t="s">
        <v>35</v>
      </c>
      <c r="C1685">
        <v>47569</v>
      </c>
      <c r="D1685" t="s">
        <v>21</v>
      </c>
      <c r="E1685" t="s">
        <v>22</v>
      </c>
      <c r="F1685" s="27">
        <v>45673</v>
      </c>
      <c r="G1685">
        <v>0.5</v>
      </c>
      <c r="H1685">
        <v>0.5</v>
      </c>
      <c r="I1685" t="s">
        <v>928</v>
      </c>
      <c r="J1685" s="27">
        <v>45700</v>
      </c>
      <c r="L1685" s="29">
        <v>2091.7849897058823</v>
      </c>
      <c r="M1685" s="29">
        <v>1045.8924948529411</v>
      </c>
      <c r="N1685" s="15">
        <v>45658</v>
      </c>
    </row>
    <row r="1686" spans="1:14" x14ac:dyDescent="0.25">
      <c r="A1686">
        <v>379447</v>
      </c>
      <c r="B1686" t="s">
        <v>35</v>
      </c>
      <c r="C1686">
        <v>47591</v>
      </c>
      <c r="D1686" t="s">
        <v>21</v>
      </c>
      <c r="E1686" t="s">
        <v>22</v>
      </c>
      <c r="F1686" s="27">
        <v>45673</v>
      </c>
      <c r="G1686">
        <v>0.5</v>
      </c>
      <c r="H1686">
        <v>0.5</v>
      </c>
      <c r="I1686" t="s">
        <v>929</v>
      </c>
      <c r="J1686" s="27">
        <v>45700</v>
      </c>
      <c r="L1686" s="29">
        <v>2091.7849897058823</v>
      </c>
      <c r="M1686" s="29">
        <v>1045.8924948529411</v>
      </c>
      <c r="N1686" s="15">
        <v>45658</v>
      </c>
    </row>
    <row r="1687" spans="1:14" x14ac:dyDescent="0.25">
      <c r="A1687">
        <v>379450</v>
      </c>
      <c r="B1687" t="s">
        <v>35</v>
      </c>
      <c r="C1687">
        <v>47572</v>
      </c>
      <c r="D1687" t="s">
        <v>21</v>
      </c>
      <c r="E1687" t="s">
        <v>22</v>
      </c>
      <c r="F1687" s="27">
        <v>45673</v>
      </c>
      <c r="G1687">
        <v>1.5</v>
      </c>
      <c r="H1687">
        <v>1.5</v>
      </c>
      <c r="I1687" t="s">
        <v>930</v>
      </c>
      <c r="J1687" s="27">
        <v>45700</v>
      </c>
      <c r="L1687" s="29">
        <v>2091.7849897058823</v>
      </c>
      <c r="M1687" s="29">
        <v>3137.6774845588234</v>
      </c>
      <c r="N1687" s="15">
        <v>45658</v>
      </c>
    </row>
    <row r="1688" spans="1:14" x14ac:dyDescent="0.25">
      <c r="A1688">
        <v>394050</v>
      </c>
      <c r="B1688" t="s">
        <v>35</v>
      </c>
      <c r="C1688">
        <v>52114</v>
      </c>
      <c r="D1688" t="s">
        <v>37</v>
      </c>
      <c r="E1688" t="s">
        <v>22</v>
      </c>
      <c r="F1688" s="27">
        <v>45673</v>
      </c>
      <c r="G1688">
        <v>8</v>
      </c>
      <c r="H1688">
        <v>8</v>
      </c>
      <c r="I1688" t="s">
        <v>931</v>
      </c>
      <c r="J1688" s="27">
        <v>45737</v>
      </c>
      <c r="L1688" s="29">
        <v>371.87288676470587</v>
      </c>
      <c r="M1688" s="29">
        <v>2974.9830941176469</v>
      </c>
      <c r="N1688" s="15">
        <v>45658</v>
      </c>
    </row>
    <row r="1689" spans="1:14" x14ac:dyDescent="0.25">
      <c r="A1689">
        <v>412247</v>
      </c>
      <c r="B1689" t="s">
        <v>35</v>
      </c>
      <c r="C1689">
        <v>47572</v>
      </c>
      <c r="D1689" t="s">
        <v>21</v>
      </c>
      <c r="E1689" t="s">
        <v>22</v>
      </c>
      <c r="F1689" s="27">
        <v>45673</v>
      </c>
      <c r="G1689">
        <v>0.5</v>
      </c>
      <c r="H1689">
        <v>0.5</v>
      </c>
      <c r="I1689" t="s">
        <v>932</v>
      </c>
      <c r="J1689" s="27">
        <v>45777</v>
      </c>
      <c r="L1689" s="29">
        <v>2091.7849897058823</v>
      </c>
      <c r="M1689" s="29">
        <v>1045.8924948529411</v>
      </c>
      <c r="N1689" s="15">
        <v>45658</v>
      </c>
    </row>
    <row r="1690" spans="1:14" x14ac:dyDescent="0.25">
      <c r="A1690">
        <v>369792</v>
      </c>
      <c r="B1690" t="s">
        <v>38</v>
      </c>
      <c r="C1690">
        <v>47707</v>
      </c>
      <c r="D1690" t="s">
        <v>39</v>
      </c>
      <c r="E1690" t="s">
        <v>19</v>
      </c>
      <c r="F1690" s="27">
        <v>45673</v>
      </c>
      <c r="G1690">
        <v>8</v>
      </c>
      <c r="H1690">
        <v>8</v>
      </c>
      <c r="I1690" t="s">
        <v>916</v>
      </c>
      <c r="J1690" s="27">
        <v>45673</v>
      </c>
      <c r="L1690" s="29">
        <v>929.68221764705879</v>
      </c>
      <c r="M1690" s="29">
        <v>7437.4577411764703</v>
      </c>
      <c r="N1690" s="15">
        <v>45658</v>
      </c>
    </row>
    <row r="1691" spans="1:14" x14ac:dyDescent="0.25">
      <c r="A1691">
        <v>370825</v>
      </c>
      <c r="B1691" t="s">
        <v>38</v>
      </c>
      <c r="C1691">
        <v>47761</v>
      </c>
      <c r="D1691" t="s">
        <v>231</v>
      </c>
      <c r="E1691" t="s">
        <v>19</v>
      </c>
      <c r="F1691" s="27">
        <v>45673</v>
      </c>
      <c r="G1691">
        <v>2</v>
      </c>
      <c r="H1691">
        <v>2</v>
      </c>
      <c r="I1691" t="s">
        <v>933</v>
      </c>
      <c r="J1691" s="27">
        <v>45677</v>
      </c>
      <c r="L1691" s="29">
        <v>929.68221764705879</v>
      </c>
      <c r="M1691" s="29">
        <v>1859.3644352941176</v>
      </c>
      <c r="N1691" s="15">
        <v>45658</v>
      </c>
    </row>
    <row r="1692" spans="1:14" x14ac:dyDescent="0.25">
      <c r="A1692">
        <v>370826</v>
      </c>
      <c r="B1692" t="s">
        <v>258</v>
      </c>
      <c r="C1692">
        <v>50399</v>
      </c>
      <c r="D1692" t="s">
        <v>231</v>
      </c>
      <c r="E1692" t="s">
        <v>19</v>
      </c>
      <c r="F1692" s="27">
        <v>45673</v>
      </c>
      <c r="G1692">
        <v>5</v>
      </c>
      <c r="H1692">
        <v>5</v>
      </c>
      <c r="I1692" t="s">
        <v>920</v>
      </c>
      <c r="J1692" s="27">
        <v>45677</v>
      </c>
      <c r="L1692" s="29">
        <v>929.68221764705879</v>
      </c>
      <c r="M1692" s="29">
        <v>4648.4110882352943</v>
      </c>
      <c r="N1692" s="15">
        <v>45658</v>
      </c>
    </row>
    <row r="1693" spans="1:14" x14ac:dyDescent="0.25">
      <c r="A1693">
        <v>412341</v>
      </c>
      <c r="B1693" t="s">
        <v>35</v>
      </c>
      <c r="C1693">
        <v>47569</v>
      </c>
      <c r="D1693" t="s">
        <v>30</v>
      </c>
      <c r="E1693" t="s">
        <v>22</v>
      </c>
      <c r="F1693" s="27">
        <v>45673</v>
      </c>
      <c r="G1693">
        <v>8</v>
      </c>
      <c r="H1693">
        <v>8</v>
      </c>
      <c r="I1693" t="s">
        <v>494</v>
      </c>
      <c r="J1693" s="27">
        <v>45777</v>
      </c>
      <c r="L1693" s="29">
        <v>743.74577426470591</v>
      </c>
      <c r="M1693" s="29">
        <v>5949.9661941176473</v>
      </c>
      <c r="N1693" s="15">
        <v>45658</v>
      </c>
    </row>
    <row r="1694" spans="1:14" x14ac:dyDescent="0.25">
      <c r="A1694">
        <v>371138</v>
      </c>
      <c r="B1694" t="s">
        <v>35</v>
      </c>
      <c r="C1694">
        <v>47615</v>
      </c>
      <c r="D1694" t="s">
        <v>25</v>
      </c>
      <c r="E1694" t="s">
        <v>22</v>
      </c>
      <c r="F1694" s="27">
        <v>45673</v>
      </c>
      <c r="G1694">
        <v>8</v>
      </c>
      <c r="H1694">
        <v>8</v>
      </c>
      <c r="I1694" t="s">
        <v>659</v>
      </c>
      <c r="J1694" s="27">
        <v>45677</v>
      </c>
      <c r="L1694" s="29">
        <v>1394.5233264705882</v>
      </c>
      <c r="M1694" s="29">
        <v>11156.186611764706</v>
      </c>
      <c r="N1694" s="15">
        <v>45658</v>
      </c>
    </row>
    <row r="1695" spans="1:14" x14ac:dyDescent="0.25">
      <c r="A1695">
        <v>370192</v>
      </c>
      <c r="B1695" t="s">
        <v>35</v>
      </c>
      <c r="C1695">
        <v>47568</v>
      </c>
      <c r="D1695" t="s">
        <v>36</v>
      </c>
      <c r="E1695" t="s">
        <v>22</v>
      </c>
      <c r="F1695" s="27">
        <v>45672</v>
      </c>
      <c r="G1695">
        <v>3</v>
      </c>
      <c r="H1695">
        <v>3</v>
      </c>
      <c r="I1695" t="s">
        <v>934</v>
      </c>
      <c r="J1695" s="27">
        <v>45673</v>
      </c>
      <c r="L1695" s="29">
        <v>2231.2373227941175</v>
      </c>
      <c r="M1695" s="29">
        <v>6693.711968382353</v>
      </c>
      <c r="N1695" s="15">
        <v>45658</v>
      </c>
    </row>
    <row r="1696" spans="1:14" x14ac:dyDescent="0.25">
      <c r="A1696">
        <v>370193</v>
      </c>
      <c r="B1696" t="s">
        <v>35</v>
      </c>
      <c r="C1696">
        <v>50244</v>
      </c>
      <c r="D1696" t="s">
        <v>36</v>
      </c>
      <c r="E1696" t="s">
        <v>22</v>
      </c>
      <c r="F1696" s="27">
        <v>45672</v>
      </c>
      <c r="G1696">
        <v>2</v>
      </c>
      <c r="H1696">
        <v>2</v>
      </c>
      <c r="I1696" t="s">
        <v>935</v>
      </c>
      <c r="J1696" s="27">
        <v>45673</v>
      </c>
      <c r="L1696" s="29">
        <v>2231.2373227941175</v>
      </c>
      <c r="M1696" s="29">
        <v>4462.474645588235</v>
      </c>
      <c r="N1696" s="15">
        <v>45658</v>
      </c>
    </row>
    <row r="1697" spans="1:14" x14ac:dyDescent="0.25">
      <c r="A1697">
        <v>370194</v>
      </c>
      <c r="B1697" t="s">
        <v>35</v>
      </c>
      <c r="C1697">
        <v>47570</v>
      </c>
      <c r="D1697" t="s">
        <v>36</v>
      </c>
      <c r="E1697" t="s">
        <v>22</v>
      </c>
      <c r="F1697" s="27">
        <v>45672</v>
      </c>
      <c r="G1697">
        <v>1</v>
      </c>
      <c r="H1697">
        <v>1</v>
      </c>
      <c r="I1697" t="s">
        <v>936</v>
      </c>
      <c r="J1697" s="27">
        <v>45673</v>
      </c>
      <c r="L1697" s="29">
        <v>2231.2373227941175</v>
      </c>
      <c r="M1697" s="29">
        <v>2231.2373227941175</v>
      </c>
      <c r="N1697" s="15">
        <v>45658</v>
      </c>
    </row>
    <row r="1698" spans="1:14" x14ac:dyDescent="0.25">
      <c r="A1698">
        <v>370195</v>
      </c>
      <c r="B1698" t="s">
        <v>35</v>
      </c>
      <c r="C1698">
        <v>47572</v>
      </c>
      <c r="D1698" t="s">
        <v>36</v>
      </c>
      <c r="E1698" t="s">
        <v>22</v>
      </c>
      <c r="F1698" s="27">
        <v>45672</v>
      </c>
      <c r="G1698">
        <v>2</v>
      </c>
      <c r="H1698">
        <v>2</v>
      </c>
      <c r="I1698" t="s">
        <v>802</v>
      </c>
      <c r="J1698" s="27">
        <v>45673</v>
      </c>
      <c r="L1698" s="29">
        <v>2231.2373227941175</v>
      </c>
      <c r="M1698" s="29">
        <v>4462.474645588235</v>
      </c>
      <c r="N1698" s="15">
        <v>45658</v>
      </c>
    </row>
    <row r="1699" spans="1:14" x14ac:dyDescent="0.25">
      <c r="A1699">
        <v>371240</v>
      </c>
      <c r="B1699" t="s">
        <v>35</v>
      </c>
      <c r="C1699">
        <v>47614</v>
      </c>
      <c r="D1699" t="s">
        <v>33</v>
      </c>
      <c r="E1699" t="s">
        <v>22</v>
      </c>
      <c r="F1699" s="27">
        <v>45672</v>
      </c>
      <c r="G1699">
        <v>8</v>
      </c>
      <c r="H1699">
        <v>8</v>
      </c>
      <c r="I1699" t="s">
        <v>751</v>
      </c>
      <c r="J1699" s="27">
        <v>45678</v>
      </c>
      <c r="L1699" s="29">
        <v>1859.3644352941176</v>
      </c>
      <c r="M1699" s="29">
        <v>14874.915482352941</v>
      </c>
      <c r="N1699" s="15">
        <v>45658</v>
      </c>
    </row>
    <row r="1700" spans="1:14" x14ac:dyDescent="0.25">
      <c r="A1700">
        <v>379439</v>
      </c>
      <c r="B1700" t="s">
        <v>35</v>
      </c>
      <c r="C1700">
        <v>47569</v>
      </c>
      <c r="D1700" t="s">
        <v>21</v>
      </c>
      <c r="E1700" t="s">
        <v>22</v>
      </c>
      <c r="F1700" s="27">
        <v>45672</v>
      </c>
      <c r="G1700">
        <v>2</v>
      </c>
      <c r="H1700">
        <v>2</v>
      </c>
      <c r="I1700" t="s">
        <v>937</v>
      </c>
      <c r="J1700" s="27">
        <v>45700</v>
      </c>
      <c r="L1700" s="29">
        <v>2091.7849897058823</v>
      </c>
      <c r="M1700" s="29">
        <v>4183.5699794117645</v>
      </c>
      <c r="N1700" s="15">
        <v>45658</v>
      </c>
    </row>
    <row r="1701" spans="1:14" x14ac:dyDescent="0.25">
      <c r="A1701">
        <v>394049</v>
      </c>
      <c r="B1701" t="s">
        <v>35</v>
      </c>
      <c r="C1701">
        <v>52114</v>
      </c>
      <c r="D1701" t="s">
        <v>37</v>
      </c>
      <c r="E1701" t="s">
        <v>22</v>
      </c>
      <c r="F1701" s="27">
        <v>45672</v>
      </c>
      <c r="G1701">
        <v>8</v>
      </c>
      <c r="H1701">
        <v>8</v>
      </c>
      <c r="I1701" t="s">
        <v>718</v>
      </c>
      <c r="J1701" s="27">
        <v>45737</v>
      </c>
      <c r="L1701" s="29">
        <v>371.87288676470587</v>
      </c>
      <c r="M1701" s="29">
        <v>2974.9830941176469</v>
      </c>
      <c r="N1701" s="15">
        <v>45658</v>
      </c>
    </row>
    <row r="1702" spans="1:14" x14ac:dyDescent="0.25">
      <c r="A1702">
        <v>374855</v>
      </c>
      <c r="B1702" t="s">
        <v>20</v>
      </c>
      <c r="C1702">
        <v>45258</v>
      </c>
      <c r="D1702" t="s">
        <v>21</v>
      </c>
      <c r="E1702" t="s">
        <v>22</v>
      </c>
      <c r="F1702" s="27">
        <v>45672</v>
      </c>
      <c r="G1702">
        <v>4</v>
      </c>
      <c r="H1702">
        <v>4</v>
      </c>
      <c r="I1702" t="s">
        <v>938</v>
      </c>
      <c r="J1702" s="27">
        <v>45688</v>
      </c>
      <c r="L1702" s="29">
        <v>2091.7849897058823</v>
      </c>
      <c r="M1702" s="29">
        <v>8367.139958823529</v>
      </c>
      <c r="N1702" s="15">
        <v>45658</v>
      </c>
    </row>
    <row r="1703" spans="1:14" x14ac:dyDescent="0.25">
      <c r="A1703">
        <v>432252</v>
      </c>
      <c r="B1703" t="s">
        <v>40</v>
      </c>
      <c r="C1703">
        <v>49383</v>
      </c>
      <c r="D1703" t="s">
        <v>41</v>
      </c>
      <c r="E1703" t="s">
        <v>22</v>
      </c>
      <c r="F1703" s="27">
        <v>45672</v>
      </c>
      <c r="G1703">
        <v>134</v>
      </c>
      <c r="H1703">
        <v>134</v>
      </c>
      <c r="I1703" t="s">
        <v>294</v>
      </c>
      <c r="J1703" s="27">
        <v>45836</v>
      </c>
      <c r="L1703" s="29">
        <v>1859.3644352941176</v>
      </c>
      <c r="M1703" s="29">
        <v>249154.83432941177</v>
      </c>
      <c r="N1703" s="15">
        <v>45658</v>
      </c>
    </row>
    <row r="1704" spans="1:14" x14ac:dyDescent="0.25">
      <c r="A1704">
        <v>432253</v>
      </c>
      <c r="B1704" t="s">
        <v>34</v>
      </c>
      <c r="C1704">
        <v>21152</v>
      </c>
      <c r="D1704" t="s">
        <v>36</v>
      </c>
      <c r="E1704" t="s">
        <v>19</v>
      </c>
      <c r="F1704" s="27">
        <v>45672</v>
      </c>
      <c r="G1704">
        <v>39</v>
      </c>
      <c r="H1704">
        <v>39</v>
      </c>
      <c r="I1704" t="s">
        <v>294</v>
      </c>
      <c r="J1704" s="27">
        <v>45836</v>
      </c>
      <c r="L1704" s="29">
        <v>2231.2373227941175</v>
      </c>
      <c r="M1704" s="29">
        <v>87018.255588970584</v>
      </c>
      <c r="N1704" s="15">
        <v>45658</v>
      </c>
    </row>
    <row r="1705" spans="1:14" x14ac:dyDescent="0.25">
      <c r="A1705">
        <v>369795</v>
      </c>
      <c r="B1705" t="s">
        <v>38</v>
      </c>
      <c r="C1705">
        <v>47707</v>
      </c>
      <c r="D1705" t="s">
        <v>39</v>
      </c>
      <c r="E1705" t="s">
        <v>19</v>
      </c>
      <c r="F1705" s="27">
        <v>45672</v>
      </c>
      <c r="G1705">
        <v>8</v>
      </c>
      <c r="H1705">
        <v>8</v>
      </c>
      <c r="I1705" t="s">
        <v>916</v>
      </c>
      <c r="J1705" s="27">
        <v>45673</v>
      </c>
      <c r="L1705" s="29">
        <v>929.68221764705879</v>
      </c>
      <c r="M1705" s="29">
        <v>7437.4577411764703</v>
      </c>
      <c r="N1705" s="15">
        <v>45658</v>
      </c>
    </row>
    <row r="1706" spans="1:14" x14ac:dyDescent="0.25">
      <c r="A1706">
        <v>370821</v>
      </c>
      <c r="B1706" t="s">
        <v>258</v>
      </c>
      <c r="C1706">
        <v>50399</v>
      </c>
      <c r="D1706" t="s">
        <v>231</v>
      </c>
      <c r="E1706" t="s">
        <v>19</v>
      </c>
      <c r="F1706" s="27">
        <v>45672</v>
      </c>
      <c r="G1706">
        <v>4</v>
      </c>
      <c r="H1706">
        <v>4</v>
      </c>
      <c r="I1706" t="s">
        <v>939</v>
      </c>
      <c r="J1706" s="27">
        <v>45677</v>
      </c>
      <c r="L1706" s="29">
        <v>929.68221764705879</v>
      </c>
      <c r="M1706" s="29">
        <v>3718.7288705882352</v>
      </c>
      <c r="N1706" s="15">
        <v>45658</v>
      </c>
    </row>
    <row r="1707" spans="1:14" x14ac:dyDescent="0.25">
      <c r="A1707">
        <v>370822</v>
      </c>
      <c r="B1707" t="s">
        <v>35</v>
      </c>
      <c r="C1707">
        <v>47539</v>
      </c>
      <c r="D1707" t="s">
        <v>231</v>
      </c>
      <c r="E1707" t="s">
        <v>22</v>
      </c>
      <c r="F1707" s="27">
        <v>45672</v>
      </c>
      <c r="G1707">
        <v>4</v>
      </c>
      <c r="H1707">
        <v>4</v>
      </c>
      <c r="I1707" t="s">
        <v>940</v>
      </c>
      <c r="J1707" s="27">
        <v>45677</v>
      </c>
      <c r="L1707" s="29">
        <v>929.68221764705879</v>
      </c>
      <c r="M1707" s="29">
        <v>3718.7288705882352</v>
      </c>
      <c r="N1707" s="15">
        <v>45658</v>
      </c>
    </row>
    <row r="1708" spans="1:14" x14ac:dyDescent="0.25">
      <c r="A1708">
        <v>412338</v>
      </c>
      <c r="B1708" t="s">
        <v>35</v>
      </c>
      <c r="C1708">
        <v>47570</v>
      </c>
      <c r="D1708" t="s">
        <v>30</v>
      </c>
      <c r="E1708" t="s">
        <v>22</v>
      </c>
      <c r="F1708" s="27">
        <v>45672</v>
      </c>
      <c r="G1708">
        <v>8</v>
      </c>
      <c r="H1708">
        <v>8</v>
      </c>
      <c r="I1708" t="s">
        <v>494</v>
      </c>
      <c r="J1708" s="27">
        <v>45777</v>
      </c>
      <c r="L1708" s="29">
        <v>743.74577426470591</v>
      </c>
      <c r="M1708" s="29">
        <v>5949.9661941176473</v>
      </c>
      <c r="N1708" s="15">
        <v>45658</v>
      </c>
    </row>
    <row r="1709" spans="1:14" x14ac:dyDescent="0.25">
      <c r="A1709">
        <v>432310</v>
      </c>
      <c r="B1709" t="s">
        <v>35</v>
      </c>
      <c r="C1709">
        <v>50749</v>
      </c>
      <c r="D1709" t="s">
        <v>30</v>
      </c>
      <c r="E1709" t="s">
        <v>22</v>
      </c>
      <c r="F1709" s="27">
        <v>45672</v>
      </c>
      <c r="G1709">
        <v>24</v>
      </c>
      <c r="H1709">
        <v>24</v>
      </c>
      <c r="I1709" t="s">
        <v>294</v>
      </c>
      <c r="J1709" s="27">
        <v>45836</v>
      </c>
      <c r="L1709" s="29">
        <v>743.74577426470591</v>
      </c>
      <c r="M1709" s="29">
        <v>17849.898582352944</v>
      </c>
      <c r="N1709" s="15">
        <v>45658</v>
      </c>
    </row>
    <row r="1710" spans="1:14" x14ac:dyDescent="0.25">
      <c r="A1710">
        <v>371140</v>
      </c>
      <c r="B1710" t="s">
        <v>35</v>
      </c>
      <c r="C1710">
        <v>47615</v>
      </c>
      <c r="D1710" t="s">
        <v>25</v>
      </c>
      <c r="E1710" t="s">
        <v>22</v>
      </c>
      <c r="F1710" s="27">
        <v>45672</v>
      </c>
      <c r="G1710">
        <v>8</v>
      </c>
      <c r="H1710">
        <v>8</v>
      </c>
      <c r="I1710" t="s">
        <v>659</v>
      </c>
      <c r="J1710" s="27">
        <v>45677</v>
      </c>
      <c r="L1710" s="29">
        <v>1394.5233264705882</v>
      </c>
      <c r="M1710" s="29">
        <v>11156.186611764706</v>
      </c>
      <c r="N1710" s="15">
        <v>45658</v>
      </c>
    </row>
    <row r="1711" spans="1:14" x14ac:dyDescent="0.25">
      <c r="A1711">
        <v>371239</v>
      </c>
      <c r="B1711" t="s">
        <v>35</v>
      </c>
      <c r="C1711">
        <v>47614</v>
      </c>
      <c r="D1711" t="s">
        <v>33</v>
      </c>
      <c r="E1711" t="s">
        <v>22</v>
      </c>
      <c r="F1711" s="27">
        <v>45671</v>
      </c>
      <c r="G1711">
        <v>8</v>
      </c>
      <c r="H1711">
        <v>8</v>
      </c>
      <c r="I1711" t="s">
        <v>751</v>
      </c>
      <c r="J1711" s="27">
        <v>45678</v>
      </c>
      <c r="L1711" s="29">
        <v>1859.3644352941176</v>
      </c>
      <c r="M1711" s="29">
        <v>14874.915482352941</v>
      </c>
      <c r="N1711" s="15">
        <v>45658</v>
      </c>
    </row>
    <row r="1712" spans="1:14" x14ac:dyDescent="0.25">
      <c r="A1712">
        <v>394048</v>
      </c>
      <c r="B1712" t="s">
        <v>35</v>
      </c>
      <c r="C1712">
        <v>52114</v>
      </c>
      <c r="D1712" t="s">
        <v>37</v>
      </c>
      <c r="E1712" t="s">
        <v>22</v>
      </c>
      <c r="F1712" s="27">
        <v>45671</v>
      </c>
      <c r="G1712">
        <v>8</v>
      </c>
      <c r="H1712">
        <v>8</v>
      </c>
      <c r="I1712" t="s">
        <v>931</v>
      </c>
      <c r="J1712" s="27">
        <v>45737</v>
      </c>
      <c r="L1712" s="29">
        <v>371.87288676470587</v>
      </c>
      <c r="M1712" s="29">
        <v>2974.9830941176469</v>
      </c>
      <c r="N1712" s="15">
        <v>45658</v>
      </c>
    </row>
    <row r="1713" spans="1:14" x14ac:dyDescent="0.25">
      <c r="A1713">
        <v>370817</v>
      </c>
      <c r="B1713" t="s">
        <v>38</v>
      </c>
      <c r="C1713">
        <v>47761</v>
      </c>
      <c r="D1713" t="s">
        <v>231</v>
      </c>
      <c r="E1713" t="s">
        <v>19</v>
      </c>
      <c r="F1713" s="27">
        <v>45671</v>
      </c>
      <c r="G1713">
        <v>2</v>
      </c>
      <c r="H1713">
        <v>2</v>
      </c>
      <c r="I1713" t="s">
        <v>941</v>
      </c>
      <c r="J1713" s="27">
        <v>45677</v>
      </c>
      <c r="L1713" s="29">
        <v>929.68221764705879</v>
      </c>
      <c r="M1713" s="29">
        <v>1859.3644352941176</v>
      </c>
      <c r="N1713" s="15">
        <v>45658</v>
      </c>
    </row>
    <row r="1714" spans="1:14" x14ac:dyDescent="0.25">
      <c r="A1714">
        <v>370818</v>
      </c>
      <c r="B1714" t="s">
        <v>38</v>
      </c>
      <c r="C1714">
        <v>47762</v>
      </c>
      <c r="D1714" t="s">
        <v>231</v>
      </c>
      <c r="E1714" t="s">
        <v>19</v>
      </c>
      <c r="F1714" s="27">
        <v>45671</v>
      </c>
      <c r="G1714">
        <v>2</v>
      </c>
      <c r="H1714">
        <v>2</v>
      </c>
      <c r="I1714" t="s">
        <v>942</v>
      </c>
      <c r="J1714" s="27">
        <v>45677</v>
      </c>
      <c r="L1714" s="29">
        <v>929.68221764705879</v>
      </c>
      <c r="M1714" s="29">
        <v>1859.3644352941176</v>
      </c>
      <c r="N1714" s="15">
        <v>45658</v>
      </c>
    </row>
    <row r="1715" spans="1:14" x14ac:dyDescent="0.25">
      <c r="A1715">
        <v>370819</v>
      </c>
      <c r="B1715" t="s">
        <v>35</v>
      </c>
      <c r="C1715">
        <v>47538</v>
      </c>
      <c r="D1715" t="s">
        <v>231</v>
      </c>
      <c r="E1715" t="s">
        <v>22</v>
      </c>
      <c r="F1715" s="27">
        <v>45671</v>
      </c>
      <c r="G1715">
        <v>2</v>
      </c>
      <c r="H1715">
        <v>2</v>
      </c>
      <c r="I1715" t="s">
        <v>943</v>
      </c>
      <c r="J1715" s="27">
        <v>45677</v>
      </c>
      <c r="L1715" s="29">
        <v>929.68221764705879</v>
      </c>
      <c r="M1715" s="29">
        <v>1859.3644352941176</v>
      </c>
      <c r="N1715" s="15">
        <v>45658</v>
      </c>
    </row>
    <row r="1716" spans="1:14" x14ac:dyDescent="0.25">
      <c r="A1716">
        <v>369796</v>
      </c>
      <c r="B1716" t="s">
        <v>38</v>
      </c>
      <c r="C1716">
        <v>47707</v>
      </c>
      <c r="D1716" t="s">
        <v>39</v>
      </c>
      <c r="E1716" t="s">
        <v>19</v>
      </c>
      <c r="F1716" s="27">
        <v>45671</v>
      </c>
      <c r="G1716">
        <v>8</v>
      </c>
      <c r="H1716">
        <v>8</v>
      </c>
      <c r="I1716" t="s">
        <v>580</v>
      </c>
      <c r="J1716" s="27">
        <v>45673</v>
      </c>
      <c r="L1716" s="29">
        <v>929.68221764705879</v>
      </c>
      <c r="M1716" s="29">
        <v>7437.4577411764703</v>
      </c>
      <c r="N1716" s="15">
        <v>45658</v>
      </c>
    </row>
    <row r="1717" spans="1:14" x14ac:dyDescent="0.25">
      <c r="A1717">
        <v>370820</v>
      </c>
      <c r="B1717" t="s">
        <v>258</v>
      </c>
      <c r="C1717">
        <v>50399</v>
      </c>
      <c r="D1717" t="s">
        <v>231</v>
      </c>
      <c r="E1717" t="s">
        <v>19</v>
      </c>
      <c r="F1717" s="27">
        <v>45671</v>
      </c>
      <c r="G1717">
        <v>2</v>
      </c>
      <c r="H1717">
        <v>2</v>
      </c>
      <c r="I1717" t="s">
        <v>939</v>
      </c>
      <c r="J1717" s="27">
        <v>45677</v>
      </c>
      <c r="L1717" s="29">
        <v>929.68221764705879</v>
      </c>
      <c r="M1717" s="29">
        <v>1859.3644352941176</v>
      </c>
      <c r="N1717" s="15">
        <v>45658</v>
      </c>
    </row>
    <row r="1718" spans="1:14" x14ac:dyDescent="0.25">
      <c r="A1718">
        <v>412337</v>
      </c>
      <c r="B1718" t="s">
        <v>35</v>
      </c>
      <c r="C1718">
        <v>47569</v>
      </c>
      <c r="D1718" t="s">
        <v>30</v>
      </c>
      <c r="E1718" t="s">
        <v>22</v>
      </c>
      <c r="F1718" s="27">
        <v>45671</v>
      </c>
      <c r="G1718">
        <v>8</v>
      </c>
      <c r="H1718">
        <v>8</v>
      </c>
      <c r="I1718" t="s">
        <v>494</v>
      </c>
      <c r="J1718" s="27">
        <v>45777</v>
      </c>
      <c r="L1718" s="29">
        <v>743.74577426470591</v>
      </c>
      <c r="M1718" s="29">
        <v>5949.9661941176473</v>
      </c>
      <c r="N1718" s="15">
        <v>45658</v>
      </c>
    </row>
    <row r="1719" spans="1:14" x14ac:dyDescent="0.25">
      <c r="A1719">
        <v>371142</v>
      </c>
      <c r="B1719" t="s">
        <v>35</v>
      </c>
      <c r="C1719">
        <v>47615</v>
      </c>
      <c r="D1719" t="s">
        <v>25</v>
      </c>
      <c r="E1719" t="s">
        <v>22</v>
      </c>
      <c r="F1719" s="27">
        <v>45671</v>
      </c>
      <c r="G1719">
        <v>8</v>
      </c>
      <c r="H1719">
        <v>8</v>
      </c>
      <c r="I1719" t="s">
        <v>659</v>
      </c>
      <c r="J1719" s="27">
        <v>45677</v>
      </c>
      <c r="L1719" s="29">
        <v>1394.5233264705882</v>
      </c>
      <c r="M1719" s="29">
        <v>11156.186611764706</v>
      </c>
      <c r="N1719" s="15">
        <v>45658</v>
      </c>
    </row>
    <row r="1720" spans="1:14" x14ac:dyDescent="0.25">
      <c r="A1720">
        <v>369402</v>
      </c>
      <c r="B1720" t="s">
        <v>35</v>
      </c>
      <c r="C1720">
        <v>47568</v>
      </c>
      <c r="D1720" t="s">
        <v>36</v>
      </c>
      <c r="E1720" t="s">
        <v>22</v>
      </c>
      <c r="F1720" s="27">
        <v>45671</v>
      </c>
      <c r="G1720">
        <v>1</v>
      </c>
      <c r="H1720">
        <v>1</v>
      </c>
      <c r="I1720" t="s">
        <v>934</v>
      </c>
      <c r="J1720" s="27">
        <v>45672</v>
      </c>
      <c r="L1720" s="29">
        <v>2231.2373227941175</v>
      </c>
      <c r="M1720" s="29">
        <v>2231.2373227941175</v>
      </c>
      <c r="N1720" s="15">
        <v>45658</v>
      </c>
    </row>
    <row r="1721" spans="1:14" x14ac:dyDescent="0.25">
      <c r="A1721">
        <v>369403</v>
      </c>
      <c r="B1721" t="s">
        <v>35</v>
      </c>
      <c r="C1721">
        <v>47570</v>
      </c>
      <c r="D1721" t="s">
        <v>36</v>
      </c>
      <c r="E1721" t="s">
        <v>22</v>
      </c>
      <c r="F1721" s="27">
        <v>45671</v>
      </c>
      <c r="G1721">
        <v>1</v>
      </c>
      <c r="H1721">
        <v>1</v>
      </c>
      <c r="I1721" t="s">
        <v>633</v>
      </c>
      <c r="J1721" s="27">
        <v>45672</v>
      </c>
      <c r="L1721" s="29">
        <v>2231.2373227941175</v>
      </c>
      <c r="M1721" s="29">
        <v>2231.2373227941175</v>
      </c>
      <c r="N1721" s="15">
        <v>45658</v>
      </c>
    </row>
    <row r="1722" spans="1:14" x14ac:dyDescent="0.25">
      <c r="A1722">
        <v>369404</v>
      </c>
      <c r="B1722" t="s">
        <v>35</v>
      </c>
      <c r="C1722">
        <v>50244</v>
      </c>
      <c r="D1722" t="s">
        <v>36</v>
      </c>
      <c r="E1722" t="s">
        <v>22</v>
      </c>
      <c r="F1722" s="27">
        <v>45671</v>
      </c>
      <c r="G1722">
        <v>6</v>
      </c>
      <c r="H1722">
        <v>6</v>
      </c>
      <c r="I1722" t="s">
        <v>935</v>
      </c>
      <c r="J1722" s="27">
        <v>45672</v>
      </c>
      <c r="L1722" s="29">
        <v>2231.2373227941175</v>
      </c>
      <c r="M1722" s="29">
        <v>13387.423936764706</v>
      </c>
      <c r="N1722" s="15">
        <v>45658</v>
      </c>
    </row>
    <row r="1723" spans="1:14" x14ac:dyDescent="0.25">
      <c r="A1723">
        <v>371238</v>
      </c>
      <c r="B1723" t="s">
        <v>35</v>
      </c>
      <c r="C1723">
        <v>47614</v>
      </c>
      <c r="D1723" t="s">
        <v>33</v>
      </c>
      <c r="E1723" t="s">
        <v>22</v>
      </c>
      <c r="F1723" s="27">
        <v>45670</v>
      </c>
      <c r="G1723">
        <v>8</v>
      </c>
      <c r="H1723">
        <v>8</v>
      </c>
      <c r="I1723" t="s">
        <v>751</v>
      </c>
      <c r="J1723" s="27">
        <v>45678</v>
      </c>
      <c r="L1723" s="29">
        <v>1859.3644352941176</v>
      </c>
      <c r="M1723" s="29">
        <v>14874.915482352941</v>
      </c>
      <c r="N1723" s="15">
        <v>45658</v>
      </c>
    </row>
    <row r="1724" spans="1:14" x14ac:dyDescent="0.25">
      <c r="A1724">
        <v>394047</v>
      </c>
      <c r="B1724" t="s">
        <v>35</v>
      </c>
      <c r="C1724">
        <v>52114</v>
      </c>
      <c r="D1724" t="s">
        <v>37</v>
      </c>
      <c r="E1724" t="s">
        <v>22</v>
      </c>
      <c r="F1724" s="27">
        <v>45670</v>
      </c>
      <c r="G1724">
        <v>8</v>
      </c>
      <c r="H1724">
        <v>8</v>
      </c>
      <c r="I1724" t="s">
        <v>931</v>
      </c>
      <c r="J1724" s="27">
        <v>45737</v>
      </c>
      <c r="L1724" s="29">
        <v>371.87288676470587</v>
      </c>
      <c r="M1724" s="29">
        <v>2974.9830941176469</v>
      </c>
      <c r="N1724" s="15">
        <v>45658</v>
      </c>
    </row>
    <row r="1725" spans="1:14" x14ac:dyDescent="0.25">
      <c r="A1725">
        <v>370815</v>
      </c>
      <c r="B1725" t="s">
        <v>35</v>
      </c>
      <c r="C1725">
        <v>47539</v>
      </c>
      <c r="D1725" t="s">
        <v>231</v>
      </c>
      <c r="E1725" t="s">
        <v>22</v>
      </c>
      <c r="F1725" s="27">
        <v>45670</v>
      </c>
      <c r="G1725">
        <v>3</v>
      </c>
      <c r="H1725">
        <v>3</v>
      </c>
      <c r="I1725" t="s">
        <v>944</v>
      </c>
      <c r="J1725" s="27">
        <v>45677</v>
      </c>
      <c r="L1725" s="29">
        <v>929.68221764705879</v>
      </c>
      <c r="M1725" s="29">
        <v>2789.0466529411765</v>
      </c>
      <c r="N1725" s="15">
        <v>45658</v>
      </c>
    </row>
    <row r="1726" spans="1:14" x14ac:dyDescent="0.25">
      <c r="A1726">
        <v>370816</v>
      </c>
      <c r="B1726" t="s">
        <v>258</v>
      </c>
      <c r="C1726">
        <v>50399</v>
      </c>
      <c r="D1726" t="s">
        <v>231</v>
      </c>
      <c r="E1726" t="s">
        <v>19</v>
      </c>
      <c r="F1726" s="27">
        <v>45670</v>
      </c>
      <c r="G1726">
        <v>1</v>
      </c>
      <c r="H1726">
        <v>1</v>
      </c>
      <c r="I1726" t="s">
        <v>945</v>
      </c>
      <c r="J1726" s="27">
        <v>45677</v>
      </c>
      <c r="L1726" s="29">
        <v>929.68221764705879</v>
      </c>
      <c r="M1726" s="29">
        <v>929.68221764705879</v>
      </c>
      <c r="N1726" s="15">
        <v>45658</v>
      </c>
    </row>
    <row r="1727" spans="1:14" x14ac:dyDescent="0.25">
      <c r="A1727">
        <v>369798</v>
      </c>
      <c r="B1727" t="s">
        <v>38</v>
      </c>
      <c r="C1727">
        <v>47707</v>
      </c>
      <c r="D1727" t="s">
        <v>39</v>
      </c>
      <c r="E1727" t="s">
        <v>19</v>
      </c>
      <c r="F1727" s="27">
        <v>45670</v>
      </c>
      <c r="G1727">
        <v>8</v>
      </c>
      <c r="H1727">
        <v>8</v>
      </c>
      <c r="I1727" t="s">
        <v>916</v>
      </c>
      <c r="J1727" s="27">
        <v>45673</v>
      </c>
      <c r="L1727" s="29">
        <v>929.68221764705879</v>
      </c>
      <c r="M1727" s="29">
        <v>7437.4577411764703</v>
      </c>
      <c r="N1727" s="15">
        <v>45658</v>
      </c>
    </row>
    <row r="1728" spans="1:14" x14ac:dyDescent="0.25">
      <c r="A1728">
        <v>412334</v>
      </c>
      <c r="B1728" t="s">
        <v>35</v>
      </c>
      <c r="C1728">
        <v>47569</v>
      </c>
      <c r="D1728" t="s">
        <v>30</v>
      </c>
      <c r="E1728" t="s">
        <v>22</v>
      </c>
      <c r="F1728" s="27">
        <v>45670</v>
      </c>
      <c r="G1728">
        <v>8</v>
      </c>
      <c r="H1728">
        <v>8</v>
      </c>
      <c r="I1728" t="s">
        <v>494</v>
      </c>
      <c r="J1728" s="27">
        <v>45777</v>
      </c>
      <c r="L1728" s="29">
        <v>743.74577426470591</v>
      </c>
      <c r="M1728" s="29">
        <v>5949.9661941176473</v>
      </c>
      <c r="N1728" s="15">
        <v>45658</v>
      </c>
    </row>
    <row r="1729" spans="1:14" x14ac:dyDescent="0.25">
      <c r="A1729">
        <v>371143</v>
      </c>
      <c r="B1729" t="s">
        <v>35</v>
      </c>
      <c r="C1729">
        <v>47615</v>
      </c>
      <c r="D1729" t="s">
        <v>25</v>
      </c>
      <c r="E1729" t="s">
        <v>22</v>
      </c>
      <c r="F1729" s="27">
        <v>45670</v>
      </c>
      <c r="G1729">
        <v>8</v>
      </c>
      <c r="H1729">
        <v>8</v>
      </c>
      <c r="I1729" t="s">
        <v>659</v>
      </c>
      <c r="J1729" s="27">
        <v>45677</v>
      </c>
      <c r="L1729" s="29">
        <v>1394.5233264705882</v>
      </c>
      <c r="M1729" s="29">
        <v>11156.186611764706</v>
      </c>
      <c r="N1729" s="15">
        <v>45658</v>
      </c>
    </row>
    <row r="1730" spans="1:14" x14ac:dyDescent="0.25">
      <c r="A1730">
        <v>368894</v>
      </c>
      <c r="B1730" t="s">
        <v>35</v>
      </c>
      <c r="C1730">
        <v>47569</v>
      </c>
      <c r="D1730" t="s">
        <v>36</v>
      </c>
      <c r="E1730" t="s">
        <v>22</v>
      </c>
      <c r="F1730" s="27">
        <v>45670</v>
      </c>
      <c r="G1730">
        <v>3</v>
      </c>
      <c r="H1730">
        <v>3</v>
      </c>
      <c r="I1730" t="s">
        <v>946</v>
      </c>
      <c r="J1730" s="27">
        <v>45671</v>
      </c>
      <c r="L1730" s="29">
        <v>2231.2373227941175</v>
      </c>
      <c r="M1730" s="29">
        <v>6693.711968382353</v>
      </c>
      <c r="N1730" s="15">
        <v>45658</v>
      </c>
    </row>
    <row r="1731" spans="1:14" x14ac:dyDescent="0.25">
      <c r="A1731">
        <v>368895</v>
      </c>
      <c r="B1731" t="s">
        <v>35</v>
      </c>
      <c r="C1731">
        <v>47572</v>
      </c>
      <c r="D1731" t="s">
        <v>36</v>
      </c>
      <c r="E1731" t="s">
        <v>22</v>
      </c>
      <c r="F1731" s="27">
        <v>45670</v>
      </c>
      <c r="G1731">
        <v>5</v>
      </c>
      <c r="H1731">
        <v>5</v>
      </c>
      <c r="I1731" t="s">
        <v>926</v>
      </c>
      <c r="J1731" s="27">
        <v>45671</v>
      </c>
      <c r="L1731" s="29">
        <v>2231.2373227941175</v>
      </c>
      <c r="M1731" s="29">
        <v>11156.186613970587</v>
      </c>
      <c r="N1731" s="15">
        <v>45658</v>
      </c>
    </row>
    <row r="1732" spans="1:14" x14ac:dyDescent="0.25">
      <c r="A1732">
        <v>371237</v>
      </c>
      <c r="B1732" t="s">
        <v>35</v>
      </c>
      <c r="C1732">
        <v>47614</v>
      </c>
      <c r="D1732" t="s">
        <v>33</v>
      </c>
      <c r="E1732" t="s">
        <v>22</v>
      </c>
      <c r="F1732" s="27">
        <v>45667</v>
      </c>
      <c r="G1732">
        <v>8</v>
      </c>
      <c r="H1732">
        <v>8</v>
      </c>
      <c r="I1732" t="s">
        <v>751</v>
      </c>
      <c r="J1732" s="27">
        <v>45678</v>
      </c>
      <c r="L1732" s="29">
        <v>1859.3644352941176</v>
      </c>
      <c r="M1732" s="29">
        <v>14874.915482352941</v>
      </c>
      <c r="N1732" s="15">
        <v>45658</v>
      </c>
    </row>
    <row r="1733" spans="1:14" x14ac:dyDescent="0.25">
      <c r="A1733">
        <v>394046</v>
      </c>
      <c r="B1733" t="s">
        <v>35</v>
      </c>
      <c r="C1733">
        <v>52114</v>
      </c>
      <c r="D1733" t="s">
        <v>37</v>
      </c>
      <c r="E1733" t="s">
        <v>22</v>
      </c>
      <c r="F1733" s="27">
        <v>45667</v>
      </c>
      <c r="G1733">
        <v>8</v>
      </c>
      <c r="H1733">
        <v>8</v>
      </c>
      <c r="I1733" t="s">
        <v>718</v>
      </c>
      <c r="J1733" s="27">
        <v>45737</v>
      </c>
      <c r="L1733" s="29">
        <v>371.87288676470587</v>
      </c>
      <c r="M1733" s="29">
        <v>2974.9830941176469</v>
      </c>
      <c r="N1733" s="15">
        <v>45658</v>
      </c>
    </row>
    <row r="1734" spans="1:14" x14ac:dyDescent="0.25">
      <c r="A1734">
        <v>368027</v>
      </c>
      <c r="B1734" t="s">
        <v>35</v>
      </c>
      <c r="C1734">
        <v>47572</v>
      </c>
      <c r="D1734" t="s">
        <v>36</v>
      </c>
      <c r="E1734" t="s">
        <v>22</v>
      </c>
      <c r="F1734" s="27">
        <v>45667</v>
      </c>
      <c r="G1734">
        <v>8</v>
      </c>
      <c r="H1734">
        <v>8</v>
      </c>
      <c r="I1734" t="s">
        <v>802</v>
      </c>
      <c r="J1734" s="27">
        <v>45667</v>
      </c>
      <c r="L1734" s="29">
        <v>2231.2373227941175</v>
      </c>
      <c r="M1734" s="29">
        <v>17849.89858235294</v>
      </c>
      <c r="N1734" s="15">
        <v>45658</v>
      </c>
    </row>
    <row r="1735" spans="1:14" x14ac:dyDescent="0.25">
      <c r="A1735">
        <v>371144</v>
      </c>
      <c r="B1735" t="s">
        <v>35</v>
      </c>
      <c r="C1735">
        <v>47615</v>
      </c>
      <c r="D1735" t="s">
        <v>25</v>
      </c>
      <c r="E1735" t="s">
        <v>22</v>
      </c>
      <c r="F1735" s="27">
        <v>45667</v>
      </c>
      <c r="G1735">
        <v>8</v>
      </c>
      <c r="H1735">
        <v>8</v>
      </c>
      <c r="I1735" t="s">
        <v>659</v>
      </c>
      <c r="J1735" s="27">
        <v>45677</v>
      </c>
      <c r="L1735" s="29">
        <v>1394.5233264705882</v>
      </c>
      <c r="M1735" s="29">
        <v>11156.186611764706</v>
      </c>
      <c r="N1735" s="15">
        <v>45658</v>
      </c>
    </row>
    <row r="1736" spans="1:14" x14ac:dyDescent="0.25">
      <c r="A1736">
        <v>371236</v>
      </c>
      <c r="B1736" t="s">
        <v>35</v>
      </c>
      <c r="C1736">
        <v>47614</v>
      </c>
      <c r="D1736" t="s">
        <v>33</v>
      </c>
      <c r="E1736" t="s">
        <v>22</v>
      </c>
      <c r="F1736" s="27">
        <v>45666</v>
      </c>
      <c r="G1736">
        <v>8</v>
      </c>
      <c r="H1736">
        <v>8</v>
      </c>
      <c r="I1736" t="s">
        <v>751</v>
      </c>
      <c r="J1736" s="27">
        <v>45678</v>
      </c>
      <c r="L1736" s="29">
        <v>1859.3644352941176</v>
      </c>
      <c r="M1736" s="29">
        <v>14874.915482352941</v>
      </c>
      <c r="N1736" s="15">
        <v>45658</v>
      </c>
    </row>
    <row r="1737" spans="1:14" x14ac:dyDescent="0.25">
      <c r="A1737">
        <v>367668</v>
      </c>
      <c r="B1737" t="s">
        <v>35</v>
      </c>
      <c r="C1737">
        <v>47568</v>
      </c>
      <c r="D1737" t="s">
        <v>36</v>
      </c>
      <c r="E1737" t="s">
        <v>22</v>
      </c>
      <c r="F1737" s="27">
        <v>45666</v>
      </c>
      <c r="G1737">
        <v>3</v>
      </c>
      <c r="H1737">
        <v>3</v>
      </c>
      <c r="I1737" t="s">
        <v>947</v>
      </c>
      <c r="J1737" s="27">
        <v>45666</v>
      </c>
      <c r="L1737" s="29">
        <v>2231.2373227941175</v>
      </c>
      <c r="M1737" s="29">
        <v>6693.711968382353</v>
      </c>
      <c r="N1737" s="15">
        <v>45658</v>
      </c>
    </row>
    <row r="1738" spans="1:14" x14ac:dyDescent="0.25">
      <c r="A1738">
        <v>367669</v>
      </c>
      <c r="B1738" t="s">
        <v>35</v>
      </c>
      <c r="C1738">
        <v>47572</v>
      </c>
      <c r="D1738" t="s">
        <v>36</v>
      </c>
      <c r="E1738" t="s">
        <v>22</v>
      </c>
      <c r="F1738" s="27">
        <v>45666</v>
      </c>
      <c r="G1738">
        <v>5</v>
      </c>
      <c r="H1738">
        <v>5</v>
      </c>
      <c r="I1738" t="s">
        <v>802</v>
      </c>
      <c r="J1738" s="27">
        <v>45666</v>
      </c>
      <c r="L1738" s="29">
        <v>2231.2373227941175</v>
      </c>
      <c r="M1738" s="29">
        <v>11156.186613970587</v>
      </c>
      <c r="N1738" s="15">
        <v>45658</v>
      </c>
    </row>
    <row r="1739" spans="1:14" x14ac:dyDescent="0.25">
      <c r="A1739">
        <v>394045</v>
      </c>
      <c r="B1739" t="s">
        <v>35</v>
      </c>
      <c r="C1739">
        <v>52114</v>
      </c>
      <c r="D1739" t="s">
        <v>37</v>
      </c>
      <c r="E1739" t="s">
        <v>22</v>
      </c>
      <c r="F1739" s="27">
        <v>45666</v>
      </c>
      <c r="G1739">
        <v>8</v>
      </c>
      <c r="H1739">
        <v>8</v>
      </c>
      <c r="I1739" t="s">
        <v>718</v>
      </c>
      <c r="J1739" s="27">
        <v>45737</v>
      </c>
      <c r="L1739" s="29">
        <v>371.87288676470587</v>
      </c>
      <c r="M1739" s="29">
        <v>2974.9830941176469</v>
      </c>
      <c r="N1739" s="15">
        <v>45658</v>
      </c>
    </row>
    <row r="1740" spans="1:14" x14ac:dyDescent="0.25">
      <c r="A1740">
        <v>368031</v>
      </c>
      <c r="B1740" t="s">
        <v>35</v>
      </c>
      <c r="C1740">
        <v>47539</v>
      </c>
      <c r="D1740" t="s">
        <v>231</v>
      </c>
      <c r="E1740" t="s">
        <v>22</v>
      </c>
      <c r="F1740" s="27">
        <v>45666</v>
      </c>
      <c r="G1740">
        <v>4</v>
      </c>
      <c r="H1740">
        <v>4</v>
      </c>
      <c r="I1740" t="s">
        <v>948</v>
      </c>
      <c r="J1740" s="27">
        <v>45667</v>
      </c>
      <c r="L1740" s="29">
        <v>929.68221764705879</v>
      </c>
      <c r="M1740" s="29">
        <v>3718.7288705882352</v>
      </c>
      <c r="N1740" s="15">
        <v>45658</v>
      </c>
    </row>
    <row r="1741" spans="1:14" x14ac:dyDescent="0.25">
      <c r="A1741">
        <v>371145</v>
      </c>
      <c r="B1741" t="s">
        <v>35</v>
      </c>
      <c r="C1741">
        <v>47615</v>
      </c>
      <c r="D1741" t="s">
        <v>25</v>
      </c>
      <c r="E1741" t="s">
        <v>22</v>
      </c>
      <c r="F1741" s="27">
        <v>45666</v>
      </c>
      <c r="G1741">
        <v>8</v>
      </c>
      <c r="H1741">
        <v>8</v>
      </c>
      <c r="I1741" t="s">
        <v>659</v>
      </c>
      <c r="J1741" s="27">
        <v>45677</v>
      </c>
      <c r="L1741" s="29">
        <v>1394.5233264705882</v>
      </c>
      <c r="M1741" s="29">
        <v>11156.186611764706</v>
      </c>
      <c r="N1741" s="15">
        <v>45658</v>
      </c>
    </row>
    <row r="1742" spans="1:14" x14ac:dyDescent="0.25">
      <c r="A1742">
        <v>432259</v>
      </c>
      <c r="B1742" t="s">
        <v>40</v>
      </c>
      <c r="C1742">
        <v>49386</v>
      </c>
      <c r="D1742" t="s">
        <v>26</v>
      </c>
      <c r="E1742" t="s">
        <v>22</v>
      </c>
      <c r="F1742" s="27">
        <v>45662</v>
      </c>
      <c r="G1742">
        <v>136</v>
      </c>
      <c r="H1742">
        <v>136</v>
      </c>
      <c r="I1742" t="s">
        <v>294</v>
      </c>
      <c r="J1742" s="27">
        <v>45836</v>
      </c>
      <c r="L1742" s="29">
        <v>1208.5868830882353</v>
      </c>
      <c r="M1742" s="29">
        <v>164367.8161</v>
      </c>
      <c r="N1742" s="15">
        <v>45658</v>
      </c>
    </row>
    <row r="1743" spans="1:14" x14ac:dyDescent="0.25">
      <c r="L1743"/>
      <c r="M1743"/>
    </row>
    <row r="1744" spans="1:14" x14ac:dyDescent="0.25">
      <c r="L1744"/>
      <c r="M1744"/>
    </row>
  </sheetData>
  <phoneticPr fontId="8" type="noConversion"/>
  <pageMargins left="0.7" right="0.7" top="0.75" bottom="0.75" header="0.3" footer="0.3"/>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B8598E-5DB5-4D69-8B41-94D62B00FE55}">
  <sheetPr codeName="Лист1">
    <tabColor indexed="49"/>
  </sheetPr>
  <dimension ref="A1:H188"/>
  <sheetViews>
    <sheetView workbookViewId="0">
      <selection activeCell="A3" sqref="A3"/>
    </sheetView>
  </sheetViews>
  <sheetFormatPr defaultRowHeight="15" x14ac:dyDescent="0.25"/>
  <cols>
    <col min="1" max="1" width="32.28515625" bestFit="1" customWidth="1"/>
    <col min="2" max="2" width="9.42578125" bestFit="1" customWidth="1"/>
    <col min="4" max="4" width="22.85546875" bestFit="1" customWidth="1"/>
    <col min="5" max="5" width="7.28515625" bestFit="1" customWidth="1"/>
    <col min="7" max="7" width="24.42578125" bestFit="1" customWidth="1"/>
    <col min="8" max="8" width="9.42578125" bestFit="1" customWidth="1"/>
  </cols>
  <sheetData>
    <row r="1" spans="1:8" x14ac:dyDescent="0.25">
      <c r="A1" t="s">
        <v>9</v>
      </c>
      <c r="B1" t="s">
        <v>54</v>
      </c>
      <c r="D1" t="s">
        <v>11</v>
      </c>
      <c r="E1" t="s">
        <v>62</v>
      </c>
      <c r="G1" t="s">
        <v>63</v>
      </c>
      <c r="H1" t="s">
        <v>64</v>
      </c>
    </row>
    <row r="2" spans="1:8" x14ac:dyDescent="0.25">
      <c r="A2" t="s">
        <v>34</v>
      </c>
      <c r="B2">
        <v>870</v>
      </c>
      <c r="D2" t="s">
        <v>37</v>
      </c>
      <c r="E2">
        <v>580</v>
      </c>
      <c r="G2" t="s">
        <v>22</v>
      </c>
      <c r="H2">
        <v>1</v>
      </c>
    </row>
    <row r="3" spans="1:8" x14ac:dyDescent="0.25">
      <c r="A3" t="s">
        <v>31</v>
      </c>
      <c r="B3">
        <v>699</v>
      </c>
      <c r="D3" t="s">
        <v>42</v>
      </c>
      <c r="E3">
        <v>607</v>
      </c>
      <c r="G3" t="s">
        <v>19</v>
      </c>
      <c r="H3">
        <v>29</v>
      </c>
    </row>
    <row r="4" spans="1:8" x14ac:dyDescent="0.25">
      <c r="A4" t="s">
        <v>55</v>
      </c>
      <c r="B4">
        <v>667</v>
      </c>
      <c r="D4" t="s">
        <v>21</v>
      </c>
      <c r="E4">
        <v>491</v>
      </c>
    </row>
    <row r="5" spans="1:8" x14ac:dyDescent="0.25">
      <c r="A5" t="s">
        <v>18</v>
      </c>
      <c r="B5">
        <v>32</v>
      </c>
      <c r="D5" t="s">
        <v>80</v>
      </c>
      <c r="E5">
        <v>405</v>
      </c>
    </row>
    <row r="6" spans="1:8" x14ac:dyDescent="0.25">
      <c r="A6" t="s">
        <v>29</v>
      </c>
      <c r="B6">
        <v>1151</v>
      </c>
      <c r="D6" t="s">
        <v>74</v>
      </c>
      <c r="E6">
        <v>445</v>
      </c>
    </row>
    <row r="7" spans="1:8" x14ac:dyDescent="0.25">
      <c r="A7" t="s">
        <v>249</v>
      </c>
      <c r="B7">
        <v>579</v>
      </c>
      <c r="D7" t="s">
        <v>144</v>
      </c>
      <c r="E7">
        <v>522</v>
      </c>
    </row>
    <row r="8" spans="1:8" x14ac:dyDescent="0.25">
      <c r="A8" t="s">
        <v>250</v>
      </c>
      <c r="B8">
        <v>580</v>
      </c>
      <c r="D8" t="s">
        <v>67</v>
      </c>
      <c r="E8">
        <v>198</v>
      </c>
    </row>
    <row r="9" spans="1:8" x14ac:dyDescent="0.25">
      <c r="A9" t="s">
        <v>56</v>
      </c>
      <c r="B9">
        <v>1272</v>
      </c>
      <c r="D9" t="s">
        <v>78</v>
      </c>
      <c r="E9">
        <v>215</v>
      </c>
    </row>
    <row r="10" spans="1:8" x14ac:dyDescent="0.25">
      <c r="A10" t="s">
        <v>45</v>
      </c>
      <c r="B10">
        <v>1274</v>
      </c>
      <c r="D10" t="s">
        <v>77</v>
      </c>
      <c r="E10">
        <v>213</v>
      </c>
    </row>
    <row r="11" spans="1:8" x14ac:dyDescent="0.25">
      <c r="A11" t="s">
        <v>253</v>
      </c>
      <c r="B11">
        <v>1366</v>
      </c>
      <c r="D11" t="s">
        <v>122</v>
      </c>
      <c r="E11">
        <v>161</v>
      </c>
    </row>
    <row r="12" spans="1:8" x14ac:dyDescent="0.25">
      <c r="A12" t="s">
        <v>251</v>
      </c>
      <c r="B12">
        <v>906</v>
      </c>
      <c r="D12" t="s">
        <v>82</v>
      </c>
      <c r="E12">
        <v>36</v>
      </c>
    </row>
    <row r="13" spans="1:8" x14ac:dyDescent="0.25">
      <c r="A13" t="s">
        <v>57</v>
      </c>
      <c r="B13">
        <v>1269</v>
      </c>
      <c r="D13" t="s">
        <v>85</v>
      </c>
      <c r="E13">
        <v>133</v>
      </c>
    </row>
    <row r="14" spans="1:8" x14ac:dyDescent="0.25">
      <c r="A14" t="s">
        <v>23</v>
      </c>
      <c r="B14">
        <v>1270</v>
      </c>
      <c r="D14" t="s">
        <v>86</v>
      </c>
      <c r="E14">
        <v>67</v>
      </c>
    </row>
    <row r="15" spans="1:8" x14ac:dyDescent="0.25">
      <c r="A15" t="s">
        <v>58</v>
      </c>
      <c r="B15">
        <v>1246</v>
      </c>
      <c r="D15" t="s">
        <v>107</v>
      </c>
      <c r="E15">
        <v>47</v>
      </c>
    </row>
    <row r="16" spans="1:8" x14ac:dyDescent="0.25">
      <c r="A16" t="s">
        <v>28</v>
      </c>
      <c r="B16">
        <v>1247</v>
      </c>
      <c r="D16" t="s">
        <v>81</v>
      </c>
      <c r="E16">
        <v>50</v>
      </c>
    </row>
    <row r="17" spans="1:5" x14ac:dyDescent="0.25">
      <c r="A17" t="s">
        <v>271</v>
      </c>
      <c r="B17">
        <v>1376</v>
      </c>
      <c r="D17" t="s">
        <v>91</v>
      </c>
      <c r="E17">
        <v>370</v>
      </c>
    </row>
    <row r="18" spans="1:5" x14ac:dyDescent="0.25">
      <c r="A18" t="s">
        <v>272</v>
      </c>
      <c r="B18">
        <v>1377</v>
      </c>
      <c r="D18" t="s">
        <v>84</v>
      </c>
      <c r="E18">
        <v>87</v>
      </c>
    </row>
    <row r="19" spans="1:5" x14ac:dyDescent="0.25">
      <c r="A19" t="s">
        <v>59</v>
      </c>
      <c r="B19">
        <v>1182</v>
      </c>
      <c r="D19" t="s">
        <v>105</v>
      </c>
      <c r="E19">
        <v>71</v>
      </c>
    </row>
    <row r="20" spans="1:5" x14ac:dyDescent="0.25">
      <c r="A20" t="s">
        <v>24</v>
      </c>
      <c r="B20">
        <v>1341</v>
      </c>
      <c r="D20" t="s">
        <v>109</v>
      </c>
      <c r="E20">
        <v>109</v>
      </c>
    </row>
    <row r="21" spans="1:5" x14ac:dyDescent="0.25">
      <c r="A21" t="s">
        <v>35</v>
      </c>
      <c r="B21">
        <v>1183</v>
      </c>
      <c r="D21" t="s">
        <v>71</v>
      </c>
      <c r="E21">
        <v>57</v>
      </c>
    </row>
    <row r="22" spans="1:5" x14ac:dyDescent="0.25">
      <c r="A22" t="s">
        <v>273</v>
      </c>
      <c r="B22">
        <v>1378</v>
      </c>
      <c r="D22" t="s">
        <v>89</v>
      </c>
      <c r="E22">
        <v>566</v>
      </c>
    </row>
    <row r="23" spans="1:5" x14ac:dyDescent="0.25">
      <c r="A23" t="s">
        <v>1009</v>
      </c>
      <c r="B23">
        <v>633</v>
      </c>
      <c r="D23" t="s">
        <v>133</v>
      </c>
      <c r="E23">
        <v>547</v>
      </c>
    </row>
    <row r="24" spans="1:5" x14ac:dyDescent="0.25">
      <c r="A24" t="s">
        <v>254</v>
      </c>
      <c r="B24">
        <v>1153</v>
      </c>
      <c r="D24" t="s">
        <v>95</v>
      </c>
      <c r="E24">
        <v>542</v>
      </c>
    </row>
    <row r="25" spans="1:5" x14ac:dyDescent="0.25">
      <c r="A25" t="s">
        <v>61</v>
      </c>
      <c r="B25">
        <v>722</v>
      </c>
      <c r="D25" t="s">
        <v>167</v>
      </c>
      <c r="E25">
        <v>479</v>
      </c>
    </row>
    <row r="26" spans="1:5" x14ac:dyDescent="0.25">
      <c r="A26" t="s">
        <v>20</v>
      </c>
      <c r="B26">
        <v>1147</v>
      </c>
      <c r="D26" t="s">
        <v>94</v>
      </c>
      <c r="E26">
        <v>182</v>
      </c>
    </row>
    <row r="27" spans="1:5" x14ac:dyDescent="0.25">
      <c r="A27" t="s">
        <v>269</v>
      </c>
      <c r="B27">
        <v>734</v>
      </c>
      <c r="D27" t="s">
        <v>138</v>
      </c>
      <c r="E27">
        <v>575</v>
      </c>
    </row>
    <row r="28" spans="1:5" x14ac:dyDescent="0.25">
      <c r="A28" t="s">
        <v>952</v>
      </c>
      <c r="B28">
        <v>1167</v>
      </c>
      <c r="D28" t="s">
        <v>150</v>
      </c>
      <c r="E28">
        <v>102</v>
      </c>
    </row>
    <row r="29" spans="1:5" x14ac:dyDescent="0.25">
      <c r="A29" t="s">
        <v>956</v>
      </c>
      <c r="B29">
        <v>1358</v>
      </c>
      <c r="D29" t="s">
        <v>113</v>
      </c>
      <c r="E29">
        <v>387</v>
      </c>
    </row>
    <row r="30" spans="1:5" x14ac:dyDescent="0.25">
      <c r="A30" t="s">
        <v>1011</v>
      </c>
      <c r="B30">
        <v>1385</v>
      </c>
      <c r="D30" t="s">
        <v>108</v>
      </c>
      <c r="E30">
        <v>625</v>
      </c>
    </row>
    <row r="31" spans="1:5" x14ac:dyDescent="0.25">
      <c r="D31" t="s">
        <v>145</v>
      </c>
      <c r="E31">
        <v>218</v>
      </c>
    </row>
    <row r="32" spans="1:5" x14ac:dyDescent="0.25">
      <c r="D32" t="s">
        <v>168</v>
      </c>
      <c r="E32">
        <v>528</v>
      </c>
    </row>
    <row r="33" spans="4:5" x14ac:dyDescent="0.25">
      <c r="D33" t="s">
        <v>97</v>
      </c>
      <c r="E33">
        <v>62</v>
      </c>
    </row>
    <row r="34" spans="4:5" x14ac:dyDescent="0.25">
      <c r="D34" t="s">
        <v>127</v>
      </c>
      <c r="E34">
        <v>64</v>
      </c>
    </row>
    <row r="35" spans="4:5" x14ac:dyDescent="0.25">
      <c r="D35" t="s">
        <v>98</v>
      </c>
      <c r="E35">
        <v>533</v>
      </c>
    </row>
    <row r="36" spans="4:5" x14ac:dyDescent="0.25">
      <c r="D36" t="s">
        <v>90</v>
      </c>
      <c r="E36">
        <v>595</v>
      </c>
    </row>
    <row r="37" spans="4:5" x14ac:dyDescent="0.25">
      <c r="D37" t="s">
        <v>152</v>
      </c>
      <c r="E37">
        <v>120</v>
      </c>
    </row>
    <row r="38" spans="4:5" x14ac:dyDescent="0.25">
      <c r="D38" t="s">
        <v>114</v>
      </c>
      <c r="E38">
        <v>578</v>
      </c>
    </row>
    <row r="39" spans="4:5" x14ac:dyDescent="0.25">
      <c r="D39" t="s">
        <v>123</v>
      </c>
      <c r="E39">
        <v>577</v>
      </c>
    </row>
    <row r="40" spans="4:5" x14ac:dyDescent="0.25">
      <c r="D40" t="s">
        <v>99</v>
      </c>
      <c r="E40">
        <v>51</v>
      </c>
    </row>
    <row r="41" spans="4:5" x14ac:dyDescent="0.25">
      <c r="D41" t="s">
        <v>73</v>
      </c>
      <c r="E41">
        <v>68</v>
      </c>
    </row>
    <row r="42" spans="4:5" x14ac:dyDescent="0.25">
      <c r="D42" t="s">
        <v>139</v>
      </c>
      <c r="E42">
        <v>480</v>
      </c>
    </row>
    <row r="43" spans="4:5" x14ac:dyDescent="0.25">
      <c r="D43" t="s">
        <v>102</v>
      </c>
      <c r="E43">
        <v>52</v>
      </c>
    </row>
    <row r="44" spans="4:5" x14ac:dyDescent="0.25">
      <c r="D44" t="s">
        <v>100</v>
      </c>
      <c r="E44">
        <v>438</v>
      </c>
    </row>
    <row r="45" spans="4:5" x14ac:dyDescent="0.25">
      <c r="D45" t="s">
        <v>134</v>
      </c>
      <c r="E45">
        <v>538</v>
      </c>
    </row>
    <row r="46" spans="4:5" x14ac:dyDescent="0.25">
      <c r="D46" t="s">
        <v>93</v>
      </c>
      <c r="E46">
        <v>81</v>
      </c>
    </row>
    <row r="47" spans="4:5" x14ac:dyDescent="0.25">
      <c r="D47" t="s">
        <v>142</v>
      </c>
      <c r="E47">
        <v>640</v>
      </c>
    </row>
    <row r="48" spans="4:5" x14ac:dyDescent="0.25">
      <c r="D48" t="s">
        <v>154</v>
      </c>
      <c r="E48">
        <v>515</v>
      </c>
    </row>
    <row r="49" spans="4:5" x14ac:dyDescent="0.25">
      <c r="D49" t="s">
        <v>83</v>
      </c>
      <c r="E49">
        <v>54</v>
      </c>
    </row>
    <row r="50" spans="4:5" x14ac:dyDescent="0.25">
      <c r="D50" t="s">
        <v>169</v>
      </c>
      <c r="E50">
        <v>91</v>
      </c>
    </row>
    <row r="51" spans="4:5" x14ac:dyDescent="0.25">
      <c r="D51" t="s">
        <v>151</v>
      </c>
      <c r="E51">
        <v>334</v>
      </c>
    </row>
    <row r="52" spans="4:5" x14ac:dyDescent="0.25">
      <c r="D52" t="s">
        <v>170</v>
      </c>
      <c r="E52">
        <v>394</v>
      </c>
    </row>
    <row r="53" spans="4:5" x14ac:dyDescent="0.25">
      <c r="D53" t="s">
        <v>75</v>
      </c>
      <c r="E53">
        <v>551</v>
      </c>
    </row>
    <row r="54" spans="4:5" x14ac:dyDescent="0.25">
      <c r="D54" t="s">
        <v>171</v>
      </c>
      <c r="E54">
        <v>60</v>
      </c>
    </row>
    <row r="55" spans="4:5" x14ac:dyDescent="0.25">
      <c r="D55" t="s">
        <v>128</v>
      </c>
      <c r="E55">
        <v>345</v>
      </c>
    </row>
    <row r="56" spans="4:5" x14ac:dyDescent="0.25">
      <c r="D56" t="s">
        <v>101</v>
      </c>
      <c r="E56">
        <v>463</v>
      </c>
    </row>
    <row r="57" spans="4:5" x14ac:dyDescent="0.25">
      <c r="D57" t="s">
        <v>125</v>
      </c>
      <c r="E57">
        <v>424</v>
      </c>
    </row>
    <row r="58" spans="4:5" x14ac:dyDescent="0.25">
      <c r="D58" t="s">
        <v>110</v>
      </c>
      <c r="E58">
        <v>115</v>
      </c>
    </row>
    <row r="59" spans="4:5" x14ac:dyDescent="0.25">
      <c r="D59" t="s">
        <v>103</v>
      </c>
      <c r="E59">
        <v>612</v>
      </c>
    </row>
    <row r="60" spans="4:5" x14ac:dyDescent="0.25">
      <c r="D60" t="s">
        <v>136</v>
      </c>
      <c r="E60">
        <v>562</v>
      </c>
    </row>
    <row r="61" spans="4:5" x14ac:dyDescent="0.25">
      <c r="D61" t="s">
        <v>172</v>
      </c>
      <c r="E61">
        <v>411</v>
      </c>
    </row>
    <row r="62" spans="4:5" x14ac:dyDescent="0.25">
      <c r="D62" t="s">
        <v>87</v>
      </c>
      <c r="E62">
        <v>574</v>
      </c>
    </row>
    <row r="63" spans="4:5" x14ac:dyDescent="0.25">
      <c r="D63" t="s">
        <v>153</v>
      </c>
      <c r="E63">
        <v>576</v>
      </c>
    </row>
    <row r="64" spans="4:5" x14ac:dyDescent="0.25">
      <c r="D64" t="s">
        <v>135</v>
      </c>
      <c r="E64">
        <v>104</v>
      </c>
    </row>
    <row r="65" spans="4:5" x14ac:dyDescent="0.25">
      <c r="D65" t="s">
        <v>117</v>
      </c>
      <c r="E65">
        <v>386</v>
      </c>
    </row>
    <row r="66" spans="4:5" x14ac:dyDescent="0.25">
      <c r="D66" t="s">
        <v>173</v>
      </c>
      <c r="E66">
        <v>582</v>
      </c>
    </row>
    <row r="67" spans="4:5" x14ac:dyDescent="0.25">
      <c r="D67" t="s">
        <v>116</v>
      </c>
      <c r="E67">
        <v>94</v>
      </c>
    </row>
    <row r="68" spans="4:5" x14ac:dyDescent="0.25">
      <c r="D68" t="s">
        <v>96</v>
      </c>
      <c r="E68">
        <v>360</v>
      </c>
    </row>
    <row r="69" spans="4:5" x14ac:dyDescent="0.25">
      <c r="D69" t="s">
        <v>106</v>
      </c>
      <c r="E69">
        <v>219</v>
      </c>
    </row>
    <row r="70" spans="4:5" x14ac:dyDescent="0.25">
      <c r="D70" t="s">
        <v>162</v>
      </c>
      <c r="E70">
        <v>639</v>
      </c>
    </row>
    <row r="71" spans="4:5" x14ac:dyDescent="0.25">
      <c r="D71" t="s">
        <v>155</v>
      </c>
      <c r="E71">
        <v>168</v>
      </c>
    </row>
    <row r="72" spans="4:5" x14ac:dyDescent="0.25">
      <c r="D72" t="s">
        <v>72</v>
      </c>
      <c r="E72">
        <v>343</v>
      </c>
    </row>
    <row r="73" spans="4:5" x14ac:dyDescent="0.25">
      <c r="D73" t="s">
        <v>158</v>
      </c>
      <c r="E73">
        <v>380</v>
      </c>
    </row>
    <row r="74" spans="4:5" x14ac:dyDescent="0.25">
      <c r="D74" t="s">
        <v>174</v>
      </c>
      <c r="E74">
        <v>403</v>
      </c>
    </row>
    <row r="75" spans="4:5" x14ac:dyDescent="0.25">
      <c r="D75" t="s">
        <v>175</v>
      </c>
      <c r="E75">
        <v>124</v>
      </c>
    </row>
    <row r="76" spans="4:5" x14ac:dyDescent="0.25">
      <c r="D76" t="s">
        <v>156</v>
      </c>
      <c r="E76">
        <v>434</v>
      </c>
    </row>
    <row r="77" spans="4:5" x14ac:dyDescent="0.25">
      <c r="D77" t="s">
        <v>68</v>
      </c>
      <c r="E77">
        <v>335</v>
      </c>
    </row>
    <row r="78" spans="4:5" x14ac:dyDescent="0.25">
      <c r="D78" t="s">
        <v>163</v>
      </c>
      <c r="E78">
        <v>643</v>
      </c>
    </row>
    <row r="79" spans="4:5" x14ac:dyDescent="0.25">
      <c r="D79" t="s">
        <v>164</v>
      </c>
      <c r="E79">
        <v>185</v>
      </c>
    </row>
    <row r="80" spans="4:5" x14ac:dyDescent="0.25">
      <c r="D80" t="s">
        <v>121</v>
      </c>
      <c r="E80">
        <v>329</v>
      </c>
    </row>
    <row r="81" spans="4:5" x14ac:dyDescent="0.25">
      <c r="D81" t="s">
        <v>111</v>
      </c>
      <c r="E81">
        <v>137</v>
      </c>
    </row>
    <row r="82" spans="4:5" x14ac:dyDescent="0.25">
      <c r="D82" t="s">
        <v>137</v>
      </c>
      <c r="E82">
        <v>204</v>
      </c>
    </row>
    <row r="83" spans="4:5" x14ac:dyDescent="0.25">
      <c r="D83" t="s">
        <v>131</v>
      </c>
      <c r="E83">
        <v>400</v>
      </c>
    </row>
    <row r="84" spans="4:5" x14ac:dyDescent="0.25">
      <c r="D84" t="s">
        <v>192</v>
      </c>
      <c r="E84">
        <v>271</v>
      </c>
    </row>
    <row r="85" spans="4:5" x14ac:dyDescent="0.25">
      <c r="D85" t="s">
        <v>195</v>
      </c>
      <c r="E85">
        <v>225</v>
      </c>
    </row>
    <row r="86" spans="4:5" x14ac:dyDescent="0.25">
      <c r="D86" t="s">
        <v>36</v>
      </c>
      <c r="E86">
        <v>447</v>
      </c>
    </row>
    <row r="87" spans="4:5" x14ac:dyDescent="0.25">
      <c r="D87" t="s">
        <v>46</v>
      </c>
      <c r="E87">
        <v>617</v>
      </c>
    </row>
    <row r="88" spans="4:5" x14ac:dyDescent="0.25">
      <c r="D88" t="s">
        <v>143</v>
      </c>
      <c r="E88">
        <v>165</v>
      </c>
    </row>
    <row r="89" spans="4:5" x14ac:dyDescent="0.25">
      <c r="D89" t="s">
        <v>176</v>
      </c>
      <c r="E89">
        <v>554</v>
      </c>
    </row>
    <row r="90" spans="4:5" x14ac:dyDescent="0.25">
      <c r="D90" t="s">
        <v>30</v>
      </c>
      <c r="E90">
        <v>521</v>
      </c>
    </row>
    <row r="91" spans="4:5" x14ac:dyDescent="0.25">
      <c r="D91" t="s">
        <v>44</v>
      </c>
      <c r="E91">
        <v>605</v>
      </c>
    </row>
    <row r="92" spans="4:5" x14ac:dyDescent="0.25">
      <c r="D92" t="s">
        <v>165</v>
      </c>
      <c r="E92">
        <v>644</v>
      </c>
    </row>
    <row r="93" spans="4:5" x14ac:dyDescent="0.25">
      <c r="D93" t="s">
        <v>166</v>
      </c>
      <c r="E93">
        <v>191</v>
      </c>
    </row>
    <row r="94" spans="4:5" x14ac:dyDescent="0.25">
      <c r="D94" t="s">
        <v>27</v>
      </c>
      <c r="E94">
        <v>608</v>
      </c>
    </row>
    <row r="95" spans="4:5" x14ac:dyDescent="0.25">
      <c r="D95" t="s">
        <v>252</v>
      </c>
      <c r="E95">
        <v>606</v>
      </c>
    </row>
    <row r="96" spans="4:5" x14ac:dyDescent="0.25">
      <c r="D96" t="s">
        <v>26</v>
      </c>
      <c r="E96">
        <v>56</v>
      </c>
    </row>
    <row r="97" spans="4:5" x14ac:dyDescent="0.25">
      <c r="D97" t="s">
        <v>25</v>
      </c>
      <c r="E97">
        <v>552</v>
      </c>
    </row>
    <row r="98" spans="4:5" x14ac:dyDescent="0.25">
      <c r="D98" t="s">
        <v>124</v>
      </c>
      <c r="E98">
        <v>299</v>
      </c>
    </row>
    <row r="99" spans="4:5" x14ac:dyDescent="0.25">
      <c r="D99" t="s">
        <v>120</v>
      </c>
      <c r="E99">
        <v>536</v>
      </c>
    </row>
    <row r="100" spans="4:5" x14ac:dyDescent="0.25">
      <c r="D100" t="s">
        <v>177</v>
      </c>
      <c r="E100">
        <v>629</v>
      </c>
    </row>
    <row r="101" spans="4:5" x14ac:dyDescent="0.25">
      <c r="D101" t="s">
        <v>132</v>
      </c>
      <c r="E101">
        <v>105</v>
      </c>
    </row>
    <row r="102" spans="4:5" x14ac:dyDescent="0.25">
      <c r="D102" t="s">
        <v>118</v>
      </c>
      <c r="E102">
        <v>376</v>
      </c>
    </row>
    <row r="103" spans="4:5" x14ac:dyDescent="0.25">
      <c r="D103" t="s">
        <v>112</v>
      </c>
      <c r="E103">
        <v>70</v>
      </c>
    </row>
    <row r="104" spans="4:5" x14ac:dyDescent="0.25">
      <c r="D104" t="s">
        <v>146</v>
      </c>
      <c r="E104">
        <v>78</v>
      </c>
    </row>
    <row r="105" spans="4:5" x14ac:dyDescent="0.25">
      <c r="D105" t="s">
        <v>88</v>
      </c>
      <c r="E105">
        <v>53</v>
      </c>
    </row>
    <row r="106" spans="4:5" x14ac:dyDescent="0.25">
      <c r="D106" t="s">
        <v>148</v>
      </c>
      <c r="E106">
        <v>610</v>
      </c>
    </row>
    <row r="107" spans="4:5" x14ac:dyDescent="0.25">
      <c r="D107" t="s">
        <v>178</v>
      </c>
      <c r="E107">
        <v>470</v>
      </c>
    </row>
    <row r="108" spans="4:5" x14ac:dyDescent="0.25">
      <c r="D108" t="s">
        <v>179</v>
      </c>
      <c r="E108">
        <v>502</v>
      </c>
    </row>
    <row r="109" spans="4:5" x14ac:dyDescent="0.25">
      <c r="D109" t="s">
        <v>180</v>
      </c>
      <c r="E109">
        <v>193</v>
      </c>
    </row>
    <row r="110" spans="4:5" x14ac:dyDescent="0.25">
      <c r="D110" t="s">
        <v>157</v>
      </c>
      <c r="E110">
        <v>507</v>
      </c>
    </row>
    <row r="111" spans="4:5" x14ac:dyDescent="0.25">
      <c r="D111" t="s">
        <v>76</v>
      </c>
      <c r="E111">
        <v>97</v>
      </c>
    </row>
    <row r="112" spans="4:5" x14ac:dyDescent="0.25">
      <c r="D112" t="s">
        <v>104</v>
      </c>
      <c r="E112">
        <v>269</v>
      </c>
    </row>
    <row r="113" spans="4:5" x14ac:dyDescent="0.25">
      <c r="D113" t="s">
        <v>181</v>
      </c>
      <c r="E113">
        <v>212</v>
      </c>
    </row>
    <row r="114" spans="4:5" x14ac:dyDescent="0.25">
      <c r="D114" t="s">
        <v>182</v>
      </c>
      <c r="E114">
        <v>471</v>
      </c>
    </row>
    <row r="115" spans="4:5" x14ac:dyDescent="0.25">
      <c r="D115" t="s">
        <v>119</v>
      </c>
      <c r="E115">
        <v>500</v>
      </c>
    </row>
    <row r="116" spans="4:5" x14ac:dyDescent="0.25">
      <c r="D116" t="s">
        <v>79</v>
      </c>
      <c r="E116">
        <v>96</v>
      </c>
    </row>
    <row r="117" spans="4:5" x14ac:dyDescent="0.25">
      <c r="D117" t="s">
        <v>92</v>
      </c>
      <c r="E117">
        <v>59</v>
      </c>
    </row>
    <row r="118" spans="4:5" x14ac:dyDescent="0.25">
      <c r="D118" t="s">
        <v>183</v>
      </c>
      <c r="E118">
        <v>138</v>
      </c>
    </row>
    <row r="119" spans="4:5" x14ac:dyDescent="0.25">
      <c r="D119" t="s">
        <v>126</v>
      </c>
      <c r="E119">
        <v>356</v>
      </c>
    </row>
    <row r="120" spans="4:5" x14ac:dyDescent="0.25">
      <c r="D120" t="s">
        <v>160</v>
      </c>
      <c r="E120">
        <v>348</v>
      </c>
    </row>
    <row r="121" spans="4:5" x14ac:dyDescent="0.25">
      <c r="D121" t="s">
        <v>184</v>
      </c>
      <c r="E121">
        <v>493</v>
      </c>
    </row>
    <row r="122" spans="4:5" x14ac:dyDescent="0.25">
      <c r="D122" t="s">
        <v>185</v>
      </c>
      <c r="E122">
        <v>272</v>
      </c>
    </row>
    <row r="123" spans="4:5" x14ac:dyDescent="0.25">
      <c r="D123" t="s">
        <v>69</v>
      </c>
      <c r="E123">
        <v>499</v>
      </c>
    </row>
    <row r="124" spans="4:5" x14ac:dyDescent="0.25">
      <c r="D124" t="s">
        <v>186</v>
      </c>
      <c r="E124">
        <v>86</v>
      </c>
    </row>
    <row r="125" spans="4:5" x14ac:dyDescent="0.25">
      <c r="D125" t="s">
        <v>140</v>
      </c>
      <c r="E125">
        <v>543</v>
      </c>
    </row>
    <row r="126" spans="4:5" x14ac:dyDescent="0.25">
      <c r="D126" t="s">
        <v>187</v>
      </c>
      <c r="E126">
        <v>129</v>
      </c>
    </row>
    <row r="127" spans="4:5" x14ac:dyDescent="0.25">
      <c r="D127" t="s">
        <v>188</v>
      </c>
      <c r="E127">
        <v>645</v>
      </c>
    </row>
    <row r="128" spans="4:5" x14ac:dyDescent="0.25">
      <c r="D128" t="s">
        <v>130</v>
      </c>
      <c r="E128">
        <v>93</v>
      </c>
    </row>
    <row r="129" spans="4:5" x14ac:dyDescent="0.25">
      <c r="D129" t="s">
        <v>115</v>
      </c>
      <c r="E129">
        <v>175</v>
      </c>
    </row>
    <row r="130" spans="4:5" x14ac:dyDescent="0.25">
      <c r="D130" t="s">
        <v>70</v>
      </c>
      <c r="E130">
        <v>526</v>
      </c>
    </row>
    <row r="131" spans="4:5" x14ac:dyDescent="0.25">
      <c r="D131" t="s">
        <v>149</v>
      </c>
      <c r="E131">
        <v>106</v>
      </c>
    </row>
    <row r="132" spans="4:5" x14ac:dyDescent="0.25">
      <c r="D132" t="s">
        <v>141</v>
      </c>
      <c r="E132">
        <v>209</v>
      </c>
    </row>
    <row r="133" spans="4:5" x14ac:dyDescent="0.25">
      <c r="D133" t="s">
        <v>189</v>
      </c>
      <c r="E133">
        <v>61</v>
      </c>
    </row>
    <row r="134" spans="4:5" x14ac:dyDescent="0.25">
      <c r="D134" t="s">
        <v>190</v>
      </c>
      <c r="E134">
        <v>220</v>
      </c>
    </row>
    <row r="135" spans="4:5" x14ac:dyDescent="0.25">
      <c r="D135" t="s">
        <v>161</v>
      </c>
      <c r="E135">
        <v>77</v>
      </c>
    </row>
    <row r="136" spans="4:5" x14ac:dyDescent="0.25">
      <c r="D136" t="s">
        <v>191</v>
      </c>
      <c r="E136">
        <v>481</v>
      </c>
    </row>
    <row r="137" spans="4:5" x14ac:dyDescent="0.25">
      <c r="D137" t="s">
        <v>39</v>
      </c>
      <c r="E137">
        <v>525</v>
      </c>
    </row>
    <row r="138" spans="4:5" x14ac:dyDescent="0.25">
      <c r="D138" t="s">
        <v>43</v>
      </c>
      <c r="E138">
        <v>581</v>
      </c>
    </row>
    <row r="139" spans="4:5" x14ac:dyDescent="0.25">
      <c r="D139" t="s">
        <v>193</v>
      </c>
      <c r="E139">
        <v>125</v>
      </c>
    </row>
    <row r="140" spans="4:5" x14ac:dyDescent="0.25">
      <c r="D140" t="s">
        <v>41</v>
      </c>
      <c r="E140">
        <v>430</v>
      </c>
    </row>
    <row r="141" spans="4:5" x14ac:dyDescent="0.25">
      <c r="D141" t="s">
        <v>194</v>
      </c>
      <c r="E141">
        <v>89</v>
      </c>
    </row>
    <row r="142" spans="4:5" x14ac:dyDescent="0.25">
      <c r="D142" t="s">
        <v>32</v>
      </c>
      <c r="E142">
        <v>410</v>
      </c>
    </row>
    <row r="143" spans="4:5" x14ac:dyDescent="0.25">
      <c r="D143" t="s">
        <v>196</v>
      </c>
      <c r="E143">
        <v>494</v>
      </c>
    </row>
    <row r="144" spans="4:5" x14ac:dyDescent="0.25">
      <c r="D144" t="s">
        <v>197</v>
      </c>
      <c r="E144">
        <v>563</v>
      </c>
    </row>
    <row r="145" spans="4:5" x14ac:dyDescent="0.25">
      <c r="D145" t="s">
        <v>33</v>
      </c>
      <c r="E145">
        <v>328</v>
      </c>
    </row>
    <row r="146" spans="4:5" x14ac:dyDescent="0.25">
      <c r="D146" t="s">
        <v>198</v>
      </c>
      <c r="E146">
        <v>211</v>
      </c>
    </row>
    <row r="147" spans="4:5" x14ac:dyDescent="0.25">
      <c r="D147" t="s">
        <v>199</v>
      </c>
      <c r="E147">
        <v>624</v>
      </c>
    </row>
    <row r="148" spans="4:5" x14ac:dyDescent="0.25">
      <c r="D148" t="s">
        <v>200</v>
      </c>
      <c r="E148">
        <v>192</v>
      </c>
    </row>
    <row r="149" spans="4:5" x14ac:dyDescent="0.25">
      <c r="D149" t="s">
        <v>129</v>
      </c>
      <c r="E149">
        <v>232</v>
      </c>
    </row>
    <row r="150" spans="4:5" x14ac:dyDescent="0.25">
      <c r="D150" t="s">
        <v>201</v>
      </c>
      <c r="E150">
        <v>534</v>
      </c>
    </row>
    <row r="151" spans="4:5" x14ac:dyDescent="0.25">
      <c r="D151" t="s">
        <v>159</v>
      </c>
      <c r="E151">
        <v>594</v>
      </c>
    </row>
    <row r="152" spans="4:5" x14ac:dyDescent="0.25">
      <c r="D152" t="s">
        <v>202</v>
      </c>
      <c r="E152">
        <v>537</v>
      </c>
    </row>
    <row r="153" spans="4:5" x14ac:dyDescent="0.25">
      <c r="D153" t="s">
        <v>203</v>
      </c>
      <c r="E153">
        <v>476</v>
      </c>
    </row>
    <row r="154" spans="4:5" x14ac:dyDescent="0.25">
      <c r="D154" t="s">
        <v>204</v>
      </c>
      <c r="E154">
        <v>199</v>
      </c>
    </row>
    <row r="155" spans="4:5" x14ac:dyDescent="0.25">
      <c r="D155" t="s">
        <v>205</v>
      </c>
      <c r="E155">
        <v>92</v>
      </c>
    </row>
    <row r="156" spans="4:5" x14ac:dyDescent="0.25">
      <c r="D156" t="s">
        <v>147</v>
      </c>
      <c r="E156">
        <v>217</v>
      </c>
    </row>
    <row r="157" spans="4:5" x14ac:dyDescent="0.25">
      <c r="D157" t="s">
        <v>49</v>
      </c>
      <c r="E157">
        <v>616</v>
      </c>
    </row>
    <row r="158" spans="4:5" x14ac:dyDescent="0.25">
      <c r="D158" t="s">
        <v>206</v>
      </c>
      <c r="E158">
        <v>98</v>
      </c>
    </row>
    <row r="159" spans="4:5" x14ac:dyDescent="0.25">
      <c r="D159" t="s">
        <v>207</v>
      </c>
      <c r="E159">
        <v>171</v>
      </c>
    </row>
    <row r="160" spans="4:5" x14ac:dyDescent="0.25">
      <c r="D160" t="s">
        <v>208</v>
      </c>
      <c r="E160">
        <v>237</v>
      </c>
    </row>
    <row r="161" spans="4:5" x14ac:dyDescent="0.25">
      <c r="D161" t="s">
        <v>209</v>
      </c>
      <c r="E161">
        <v>379</v>
      </c>
    </row>
    <row r="162" spans="4:5" x14ac:dyDescent="0.25">
      <c r="D162" t="s">
        <v>210</v>
      </c>
      <c r="E162">
        <v>553</v>
      </c>
    </row>
    <row r="163" spans="4:5" x14ac:dyDescent="0.25">
      <c r="D163" t="s">
        <v>211</v>
      </c>
      <c r="E163">
        <v>557</v>
      </c>
    </row>
    <row r="164" spans="4:5" x14ac:dyDescent="0.25">
      <c r="D164" t="s">
        <v>212</v>
      </c>
      <c r="E164">
        <v>598</v>
      </c>
    </row>
    <row r="165" spans="4:5" x14ac:dyDescent="0.25">
      <c r="D165" t="s">
        <v>213</v>
      </c>
      <c r="E165">
        <v>641</v>
      </c>
    </row>
    <row r="166" spans="4:5" x14ac:dyDescent="0.25">
      <c r="D166" t="s">
        <v>214</v>
      </c>
      <c r="E166">
        <v>532</v>
      </c>
    </row>
    <row r="167" spans="4:5" x14ac:dyDescent="0.25">
      <c r="D167" t="s">
        <v>215</v>
      </c>
      <c r="E167">
        <v>110</v>
      </c>
    </row>
    <row r="168" spans="4:5" x14ac:dyDescent="0.25">
      <c r="D168" t="s">
        <v>216</v>
      </c>
      <c r="E168">
        <v>48</v>
      </c>
    </row>
    <row r="169" spans="4:5" x14ac:dyDescent="0.25">
      <c r="D169" t="s">
        <v>217</v>
      </c>
      <c r="E169">
        <v>455</v>
      </c>
    </row>
    <row r="170" spans="4:5" x14ac:dyDescent="0.25">
      <c r="D170" t="s">
        <v>218</v>
      </c>
      <c r="E170">
        <v>516</v>
      </c>
    </row>
    <row r="171" spans="4:5" x14ac:dyDescent="0.25">
      <c r="D171" t="s">
        <v>219</v>
      </c>
      <c r="E171">
        <v>364</v>
      </c>
    </row>
    <row r="172" spans="4:5" x14ac:dyDescent="0.25">
      <c r="D172" t="s">
        <v>220</v>
      </c>
      <c r="E172">
        <v>619</v>
      </c>
    </row>
    <row r="173" spans="4:5" x14ac:dyDescent="0.25">
      <c r="D173" t="s">
        <v>221</v>
      </c>
      <c r="E173">
        <v>457</v>
      </c>
    </row>
    <row r="174" spans="4:5" x14ac:dyDescent="0.25">
      <c r="D174" t="s">
        <v>222</v>
      </c>
      <c r="E174">
        <v>122</v>
      </c>
    </row>
    <row r="175" spans="4:5" x14ac:dyDescent="0.25">
      <c r="D175" t="s">
        <v>257</v>
      </c>
      <c r="E175">
        <v>427</v>
      </c>
    </row>
    <row r="176" spans="4:5" x14ac:dyDescent="0.25">
      <c r="D176" t="s">
        <v>223</v>
      </c>
      <c r="E176">
        <v>150</v>
      </c>
    </row>
    <row r="177" spans="4:5" x14ac:dyDescent="0.25">
      <c r="D177" t="s">
        <v>224</v>
      </c>
      <c r="E177">
        <v>177</v>
      </c>
    </row>
    <row r="178" spans="4:5" x14ac:dyDescent="0.25">
      <c r="D178" t="s">
        <v>225</v>
      </c>
      <c r="E178">
        <v>586</v>
      </c>
    </row>
    <row r="179" spans="4:5" x14ac:dyDescent="0.25">
      <c r="D179" t="s">
        <v>226</v>
      </c>
      <c r="E179">
        <v>123</v>
      </c>
    </row>
    <row r="180" spans="4:5" x14ac:dyDescent="0.25">
      <c r="D180" t="s">
        <v>227</v>
      </c>
      <c r="E180">
        <v>368</v>
      </c>
    </row>
    <row r="181" spans="4:5" x14ac:dyDescent="0.25">
      <c r="D181" t="s">
        <v>228</v>
      </c>
      <c r="E181">
        <v>585</v>
      </c>
    </row>
    <row r="182" spans="4:5" x14ac:dyDescent="0.25">
      <c r="D182" t="s">
        <v>229</v>
      </c>
      <c r="E182">
        <v>85</v>
      </c>
    </row>
    <row r="183" spans="4:5" x14ac:dyDescent="0.25">
      <c r="D183" t="s">
        <v>230</v>
      </c>
      <c r="E183">
        <v>121</v>
      </c>
    </row>
    <row r="184" spans="4:5" x14ac:dyDescent="0.25">
      <c r="D184" t="s">
        <v>256</v>
      </c>
      <c r="E184">
        <v>519</v>
      </c>
    </row>
    <row r="185" spans="4:5" x14ac:dyDescent="0.25">
      <c r="D185" t="s">
        <v>231</v>
      </c>
      <c r="E185">
        <v>417</v>
      </c>
    </row>
    <row r="186" spans="4:5" x14ac:dyDescent="0.25">
      <c r="D186" t="s">
        <v>232</v>
      </c>
      <c r="E186">
        <v>414</v>
      </c>
    </row>
    <row r="187" spans="4:5" x14ac:dyDescent="0.25">
      <c r="D187" t="s">
        <v>233</v>
      </c>
      <c r="E187">
        <v>464</v>
      </c>
    </row>
    <row r="188" spans="4:5" x14ac:dyDescent="0.25">
      <c r="D188" t="s">
        <v>234</v>
      </c>
      <c r="E188">
        <v>520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0FFDC6-B635-4005-A270-C97A78AB0747}">
  <sheetPr codeName="Sheet2">
    <tabColor indexed="13"/>
  </sheetPr>
  <dimension ref="A1:B28"/>
  <sheetViews>
    <sheetView tabSelected="1" workbookViewId="0">
      <selection activeCell="B10" sqref="B10"/>
    </sheetView>
  </sheetViews>
  <sheetFormatPr defaultRowHeight="15" x14ac:dyDescent="0.25"/>
  <cols>
    <col min="1" max="1" width="26.140625" customWidth="1"/>
    <col min="2" max="2" width="73.28515625" customWidth="1"/>
  </cols>
  <sheetData>
    <row r="1" spans="1:2" x14ac:dyDescent="0.25">
      <c r="A1" s="5" t="s">
        <v>0</v>
      </c>
      <c r="B1" s="5" t="s">
        <v>1</v>
      </c>
    </row>
    <row r="2" spans="1:2" x14ac:dyDescent="0.25">
      <c r="A2" s="1" t="s">
        <v>2</v>
      </c>
      <c r="B2" s="13" t="s">
        <v>7</v>
      </c>
    </row>
    <row r="3" spans="1:2" x14ac:dyDescent="0.25">
      <c r="A3" s="1" t="s">
        <v>3</v>
      </c>
      <c r="B3" s="10" t="s">
        <v>17</v>
      </c>
    </row>
    <row r="4" spans="1:2" x14ac:dyDescent="0.25">
      <c r="A4" s="1" t="s">
        <v>4</v>
      </c>
      <c r="B4" s="11">
        <v>45658</v>
      </c>
    </row>
    <row r="5" spans="1:2" x14ac:dyDescent="0.25">
      <c r="A5" s="1" t="s">
        <v>5</v>
      </c>
      <c r="B5" s="11" t="s">
        <v>1096</v>
      </c>
    </row>
    <row r="6" spans="1:2" x14ac:dyDescent="0.25">
      <c r="A6" s="1" t="s">
        <v>6</v>
      </c>
      <c r="B6" s="2"/>
    </row>
    <row r="8" spans="1:2" x14ac:dyDescent="0.25">
      <c r="A8" s="5" t="s">
        <v>51</v>
      </c>
      <c r="B8" s="5" t="s">
        <v>235</v>
      </c>
    </row>
    <row r="9" spans="1:2" x14ac:dyDescent="0.25">
      <c r="A9" s="12" t="s">
        <v>33</v>
      </c>
      <c r="B9">
        <f>VLOOKUP(A9,ServiceData!D:E,2,FALSE)</f>
        <v>328</v>
      </c>
    </row>
    <row r="10" spans="1:2" x14ac:dyDescent="0.25">
      <c r="A10" s="12" t="s">
        <v>43</v>
      </c>
      <c r="B10">
        <f>VLOOKUP(A10,ServiceData!D:E,2,FALSE)</f>
        <v>581</v>
      </c>
    </row>
    <row r="11" spans="1:2" x14ac:dyDescent="0.25">
      <c r="A11" s="12" t="s">
        <v>49</v>
      </c>
      <c r="B11">
        <f>VLOOKUP(A11,ServiceData!D:E,2,FALSE)</f>
        <v>616</v>
      </c>
    </row>
    <row r="12" spans="1:2" x14ac:dyDescent="0.25">
      <c r="A12" s="12" t="s">
        <v>30</v>
      </c>
      <c r="B12">
        <f>VLOOKUP(A12,ServiceData!D:E,2,FALSE)</f>
        <v>521</v>
      </c>
    </row>
    <row r="13" spans="1:2" x14ac:dyDescent="0.25">
      <c r="A13" s="12" t="s">
        <v>32</v>
      </c>
      <c r="B13">
        <f>VLOOKUP(A13,ServiceData!D:E,2,FALSE)</f>
        <v>410</v>
      </c>
    </row>
    <row r="14" spans="1:2" x14ac:dyDescent="0.25">
      <c r="A14" s="12" t="s">
        <v>41</v>
      </c>
      <c r="B14">
        <f>VLOOKUP(A14,ServiceData!D:E,2,FALSE)</f>
        <v>430</v>
      </c>
    </row>
    <row r="15" spans="1:2" x14ac:dyDescent="0.25">
      <c r="A15" s="12" t="s">
        <v>36</v>
      </c>
      <c r="B15">
        <f>VLOOKUP(A15,ServiceData!D:E,2,FALSE)</f>
        <v>447</v>
      </c>
    </row>
    <row r="16" spans="1:2" x14ac:dyDescent="0.25">
      <c r="A16" s="12" t="s">
        <v>26</v>
      </c>
      <c r="B16">
        <f>VLOOKUP(A16,ServiceData!D:E,2,FALSE)</f>
        <v>56</v>
      </c>
    </row>
    <row r="17" spans="1:2" x14ac:dyDescent="0.25">
      <c r="A17" s="12" t="s">
        <v>37</v>
      </c>
      <c r="B17">
        <f>VLOOKUP(A17,ServiceData!D:E,2,FALSE)</f>
        <v>580</v>
      </c>
    </row>
    <row r="18" spans="1:2" x14ac:dyDescent="0.25">
      <c r="A18" s="12" t="s">
        <v>44</v>
      </c>
      <c r="B18">
        <f>VLOOKUP(A18,ServiceData!D:E,2,FALSE)</f>
        <v>605</v>
      </c>
    </row>
    <row r="19" spans="1:2" x14ac:dyDescent="0.25">
      <c r="A19" s="12" t="s">
        <v>46</v>
      </c>
      <c r="B19">
        <f>VLOOKUP(A19,ServiceData!D:E,2,FALSE)</f>
        <v>617</v>
      </c>
    </row>
    <row r="20" spans="1:2" x14ac:dyDescent="0.25">
      <c r="A20" s="12" t="s">
        <v>21</v>
      </c>
      <c r="B20">
        <f>VLOOKUP(A20,ServiceData!D:E,2,FALSE)</f>
        <v>491</v>
      </c>
    </row>
    <row r="21" spans="1:2" x14ac:dyDescent="0.25">
      <c r="A21" s="12" t="s">
        <v>39</v>
      </c>
      <c r="B21">
        <f>VLOOKUP(A21,ServiceData!D:E,2,FALSE)</f>
        <v>525</v>
      </c>
    </row>
    <row r="22" spans="1:2" x14ac:dyDescent="0.25">
      <c r="A22" s="14" t="s">
        <v>25</v>
      </c>
      <c r="B22">
        <f>VLOOKUP(A22,ServiceData!D:E,2,FALSE)</f>
        <v>552</v>
      </c>
    </row>
    <row r="23" spans="1:2" x14ac:dyDescent="0.25">
      <c r="A23" s="12" t="s">
        <v>27</v>
      </c>
      <c r="B23">
        <f>VLOOKUP(A23,ServiceData!D:E,2,FALSE)</f>
        <v>608</v>
      </c>
    </row>
    <row r="24" spans="1:2" x14ac:dyDescent="0.25">
      <c r="A24" s="12" t="s">
        <v>42</v>
      </c>
      <c r="B24">
        <f>VLOOKUP(A24,ServiceData!D:E,2,FALSE)</f>
        <v>607</v>
      </c>
    </row>
    <row r="25" spans="1:2" x14ac:dyDescent="0.25">
      <c r="A25" s="12" t="s">
        <v>252</v>
      </c>
      <c r="B25">
        <f>VLOOKUP(A25,ServiceData!D:E,2,FALSE)</f>
        <v>606</v>
      </c>
    </row>
    <row r="26" spans="1:2" x14ac:dyDescent="0.25">
      <c r="A26" s="12" t="s">
        <v>231</v>
      </c>
      <c r="B26">
        <f>VLOOKUP(A26,ServiceData!D:E,2,FALSE)</f>
        <v>417</v>
      </c>
    </row>
    <row r="27" spans="1:2" x14ac:dyDescent="0.25">
      <c r="A27" s="12" t="s">
        <v>256</v>
      </c>
      <c r="B27">
        <f>VLOOKUP(A27,ServiceData!D:E,2,FALSE)</f>
        <v>519</v>
      </c>
    </row>
    <row r="28" spans="1:2" x14ac:dyDescent="0.25">
      <c r="A28" s="12" t="s">
        <v>257</v>
      </c>
      <c r="B28">
        <f>VLOOKUP(A28,ServiceData!D:E,2,FALSE)</f>
        <v>427</v>
      </c>
    </row>
  </sheetData>
  <hyperlinks>
    <hyperlink ref="B2" r:id="rId1" xr:uid="{F114999C-003F-4784-AC9D-5725466EEADF}"/>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5F43FF-04C9-4DC9-B711-8D1F4FC00425}">
  <sheetPr codeName="Sheet24">
    <tabColor indexed="13"/>
  </sheetPr>
  <dimension ref="A1:AT26"/>
  <sheetViews>
    <sheetView workbookViewId="0">
      <selection activeCell="D27" sqref="D27"/>
    </sheetView>
  </sheetViews>
  <sheetFormatPr defaultRowHeight="15" x14ac:dyDescent="0.25"/>
  <cols>
    <col min="1" max="2" width="34.5703125" customWidth="1"/>
    <col min="3" max="4" width="22.5703125" customWidth="1"/>
  </cols>
  <sheetData>
    <row r="1" spans="1:46" x14ac:dyDescent="0.25">
      <c r="F1" s="34" t="s">
        <v>274</v>
      </c>
      <c r="G1" s="34"/>
      <c r="H1" s="34"/>
      <c r="I1" s="34"/>
      <c r="J1" s="34"/>
      <c r="K1" s="34"/>
      <c r="L1" s="34"/>
      <c r="M1" s="34"/>
      <c r="N1" s="34"/>
      <c r="O1" s="34"/>
      <c r="P1" s="34"/>
      <c r="Q1" s="34"/>
    </row>
    <row r="2" spans="1:46" x14ac:dyDescent="0.25">
      <c r="A2" t="s">
        <v>11</v>
      </c>
      <c r="B2" t="s">
        <v>259</v>
      </c>
      <c r="C2" t="s">
        <v>275</v>
      </c>
      <c r="D2" t="s">
        <v>260</v>
      </c>
      <c r="F2" s="22">
        <v>45658</v>
      </c>
      <c r="G2" s="22">
        <v>45689</v>
      </c>
      <c r="H2" s="22">
        <v>45717</v>
      </c>
      <c r="I2" s="22">
        <v>45748</v>
      </c>
      <c r="J2" s="22">
        <v>45778</v>
      </c>
      <c r="K2" s="22">
        <v>45809</v>
      </c>
      <c r="L2" s="22">
        <v>45839</v>
      </c>
      <c r="M2" s="22">
        <v>45870</v>
      </c>
      <c r="N2" s="22">
        <v>45901</v>
      </c>
      <c r="O2" s="22">
        <v>45931</v>
      </c>
      <c r="P2" s="22">
        <v>45962</v>
      </c>
      <c r="Q2" s="22">
        <v>45992</v>
      </c>
      <c r="R2" s="21">
        <v>46023</v>
      </c>
      <c r="S2" s="21">
        <v>46054</v>
      </c>
      <c r="T2" s="21">
        <v>46082</v>
      </c>
      <c r="U2" s="21">
        <v>46113</v>
      </c>
      <c r="V2" s="21">
        <v>46143</v>
      </c>
      <c r="W2" s="21">
        <v>46174</v>
      </c>
      <c r="X2" s="21">
        <v>46204</v>
      </c>
      <c r="Y2" s="21">
        <v>46235</v>
      </c>
      <c r="Z2" s="21">
        <v>46266</v>
      </c>
      <c r="AA2" s="21">
        <v>46296</v>
      </c>
      <c r="AB2" s="21">
        <v>46327</v>
      </c>
      <c r="AC2" s="21">
        <v>46357</v>
      </c>
      <c r="AD2" s="21">
        <v>46388</v>
      </c>
      <c r="AE2" s="21">
        <v>46419</v>
      </c>
      <c r="AF2" s="21">
        <v>46447</v>
      </c>
      <c r="AG2" s="21">
        <v>46478</v>
      </c>
      <c r="AH2" s="21">
        <v>46508</v>
      </c>
      <c r="AI2" s="21">
        <v>46539</v>
      </c>
      <c r="AJ2" s="21">
        <v>46569</v>
      </c>
      <c r="AK2" s="21">
        <v>46600</v>
      </c>
      <c r="AL2" s="21">
        <v>46631</v>
      </c>
      <c r="AM2" s="21">
        <v>46661</v>
      </c>
      <c r="AN2" s="21">
        <v>46692</v>
      </c>
      <c r="AO2" s="21">
        <v>46722</v>
      </c>
      <c r="AP2" s="21">
        <v>46753</v>
      </c>
      <c r="AQ2" s="21">
        <v>46784</v>
      </c>
      <c r="AR2" s="21">
        <v>46813</v>
      </c>
      <c r="AS2" s="21">
        <v>46844</v>
      </c>
      <c r="AT2" s="21">
        <v>46874</v>
      </c>
    </row>
    <row r="3" spans="1:46" x14ac:dyDescent="0.25">
      <c r="A3" s="19" t="s">
        <v>33</v>
      </c>
      <c r="B3" s="19" t="s">
        <v>268</v>
      </c>
      <c r="C3" s="18">
        <f>200000/0.87*1.1</f>
        <v>252873.5632183908</v>
      </c>
      <c r="D3" s="18"/>
      <c r="F3" s="23">
        <v>136</v>
      </c>
      <c r="G3" s="23">
        <v>160</v>
      </c>
      <c r="H3" s="23">
        <v>168</v>
      </c>
      <c r="I3" s="23">
        <v>176</v>
      </c>
      <c r="J3" s="23">
        <v>144</v>
      </c>
      <c r="K3" s="23">
        <v>152</v>
      </c>
      <c r="L3" s="23">
        <v>184</v>
      </c>
      <c r="M3" s="23">
        <v>168</v>
      </c>
      <c r="N3" s="23">
        <v>176</v>
      </c>
      <c r="O3" s="23">
        <v>184</v>
      </c>
      <c r="P3" s="23">
        <v>152</v>
      </c>
      <c r="Q3" s="23">
        <v>176</v>
      </c>
    </row>
    <row r="4" spans="1:46" x14ac:dyDescent="0.25">
      <c r="A4" s="19" t="s">
        <v>33</v>
      </c>
      <c r="B4" s="19" t="s">
        <v>284</v>
      </c>
      <c r="C4" s="18">
        <v>316091.95402298856</v>
      </c>
      <c r="D4" s="18"/>
    </row>
    <row r="5" spans="1:46" x14ac:dyDescent="0.25">
      <c r="A5" s="19" t="s">
        <v>43</v>
      </c>
      <c r="B5" s="19" t="s">
        <v>268</v>
      </c>
      <c r="C5" s="18">
        <f>50000/0.87*1.1</f>
        <v>63218.3908045977</v>
      </c>
      <c r="D5" s="18"/>
    </row>
    <row r="6" spans="1:46" x14ac:dyDescent="0.25">
      <c r="A6" s="19" t="s">
        <v>256</v>
      </c>
      <c r="B6" s="19" t="s">
        <v>268</v>
      </c>
      <c r="C6" s="18">
        <v>265517.24137931038</v>
      </c>
      <c r="D6" s="18"/>
    </row>
    <row r="7" spans="1:46" x14ac:dyDescent="0.25">
      <c r="A7" s="19" t="s">
        <v>231</v>
      </c>
      <c r="B7" s="19" t="s">
        <v>268</v>
      </c>
      <c r="C7" s="18">
        <v>126436.7816091954</v>
      </c>
      <c r="D7" s="18"/>
    </row>
    <row r="8" spans="1:46" x14ac:dyDescent="0.25">
      <c r="A8" s="19" t="s">
        <v>49</v>
      </c>
      <c r="B8" s="19" t="s">
        <v>268</v>
      </c>
      <c r="C8" s="18">
        <v>189655.17241379313</v>
      </c>
      <c r="D8" s="18"/>
    </row>
    <row r="9" spans="1:46" x14ac:dyDescent="0.25">
      <c r="A9" s="19" t="s">
        <v>30</v>
      </c>
      <c r="B9" s="19" t="s">
        <v>268</v>
      </c>
      <c r="C9" s="18">
        <f>80000/0.87*1.1</f>
        <v>101149.42528735634</v>
      </c>
      <c r="D9" s="18"/>
    </row>
    <row r="10" spans="1:46" x14ac:dyDescent="0.25">
      <c r="A10" s="19" t="s">
        <v>30</v>
      </c>
      <c r="B10" s="19" t="s">
        <v>284</v>
      </c>
      <c r="C10" s="18">
        <v>151724.13793103449</v>
      </c>
      <c r="D10" s="18"/>
    </row>
    <row r="11" spans="1:46" x14ac:dyDescent="0.25">
      <c r="A11" s="19" t="s">
        <v>32</v>
      </c>
      <c r="B11" s="19" t="s">
        <v>268</v>
      </c>
      <c r="C11" s="18">
        <f>250000/0.87*1.1</f>
        <v>316091.95402298856</v>
      </c>
      <c r="D11" s="18"/>
    </row>
    <row r="12" spans="1:46" x14ac:dyDescent="0.25">
      <c r="A12" s="19" t="s">
        <v>32</v>
      </c>
      <c r="B12" s="19" t="s">
        <v>285</v>
      </c>
      <c r="C12" s="18">
        <v>379310.34482758626</v>
      </c>
      <c r="D12" s="18"/>
    </row>
    <row r="13" spans="1:46" x14ac:dyDescent="0.25">
      <c r="A13" s="19" t="s">
        <v>257</v>
      </c>
      <c r="B13" s="19" t="s">
        <v>268</v>
      </c>
      <c r="C13" s="18">
        <v>227586.20689655177</v>
      </c>
      <c r="D13" s="18"/>
    </row>
    <row r="14" spans="1:46" x14ac:dyDescent="0.25">
      <c r="A14" s="19" t="s">
        <v>39</v>
      </c>
      <c r="B14" s="19" t="s">
        <v>268</v>
      </c>
      <c r="C14" s="18">
        <v>126436.7816091954</v>
      </c>
      <c r="D14" s="18"/>
    </row>
    <row r="15" spans="1:46" x14ac:dyDescent="0.25">
      <c r="A15" s="4" t="s">
        <v>25</v>
      </c>
      <c r="B15" s="19" t="s">
        <v>268</v>
      </c>
      <c r="C15" s="18">
        <v>189655.17241379313</v>
      </c>
      <c r="D15" s="18"/>
    </row>
    <row r="16" spans="1:46" x14ac:dyDescent="0.25">
      <c r="A16" s="19" t="s">
        <v>27</v>
      </c>
      <c r="B16" s="19" t="s">
        <v>268</v>
      </c>
      <c r="C16" s="18">
        <v>101149.42528735634</v>
      </c>
      <c r="D16" s="18"/>
    </row>
    <row r="17" spans="1:4" x14ac:dyDescent="0.25">
      <c r="A17" s="19" t="s">
        <v>41</v>
      </c>
      <c r="B17" s="19" t="s">
        <v>268</v>
      </c>
      <c r="C17" s="18">
        <v>252873.5632183908</v>
      </c>
      <c r="D17" s="18"/>
    </row>
    <row r="18" spans="1:4" x14ac:dyDescent="0.25">
      <c r="A18" s="19" t="s">
        <v>36</v>
      </c>
      <c r="B18" s="19" t="s">
        <v>268</v>
      </c>
      <c r="C18" s="18">
        <v>303448.27586206899</v>
      </c>
      <c r="D18" s="18"/>
    </row>
    <row r="19" spans="1:4" x14ac:dyDescent="0.25">
      <c r="A19" s="19" t="s">
        <v>26</v>
      </c>
      <c r="B19" s="19" t="s">
        <v>268</v>
      </c>
      <c r="C19" s="18">
        <v>164367.81609195404</v>
      </c>
      <c r="D19" s="18"/>
    </row>
    <row r="20" spans="1:4" x14ac:dyDescent="0.25">
      <c r="A20" s="19" t="s">
        <v>37</v>
      </c>
      <c r="B20" s="19" t="s">
        <v>268</v>
      </c>
      <c r="C20" s="18">
        <f>40000/0.87*1.1</f>
        <v>50574.712643678169</v>
      </c>
      <c r="D20" s="18"/>
    </row>
    <row r="21" spans="1:4" x14ac:dyDescent="0.25">
      <c r="A21" s="19" t="s">
        <v>37</v>
      </c>
      <c r="B21" s="19" t="s">
        <v>285</v>
      </c>
      <c r="C21" s="18">
        <f>60000/0.87*1.1</f>
        <v>75862.068965517246</v>
      </c>
      <c r="D21" s="18"/>
    </row>
    <row r="22" spans="1:4" x14ac:dyDescent="0.25">
      <c r="A22" s="19" t="s">
        <v>252</v>
      </c>
      <c r="B22" s="19" t="s">
        <v>268</v>
      </c>
      <c r="C22" s="26">
        <v>0</v>
      </c>
      <c r="D22" s="24">
        <v>1380</v>
      </c>
    </row>
    <row r="23" spans="1:4" x14ac:dyDescent="0.25">
      <c r="A23" s="19" t="s">
        <v>42</v>
      </c>
      <c r="B23" s="19" t="s">
        <v>268</v>
      </c>
      <c r="C23" s="26">
        <v>0</v>
      </c>
      <c r="D23" s="24">
        <v>1418</v>
      </c>
    </row>
    <row r="24" spans="1:4" x14ac:dyDescent="0.25">
      <c r="A24" s="19" t="s">
        <v>44</v>
      </c>
      <c r="B24" s="19" t="s">
        <v>268</v>
      </c>
      <c r="C24" s="18">
        <v>354022.98850574717</v>
      </c>
      <c r="D24" s="18"/>
    </row>
    <row r="25" spans="1:4" x14ac:dyDescent="0.25">
      <c r="A25" s="19" t="s">
        <v>46</v>
      </c>
      <c r="B25" s="19" t="s">
        <v>268</v>
      </c>
      <c r="C25" s="18">
        <v>189655.17241379313</v>
      </c>
      <c r="D25" s="18"/>
    </row>
    <row r="26" spans="1:4" x14ac:dyDescent="0.25">
      <c r="A26" s="19" t="s">
        <v>21</v>
      </c>
      <c r="B26" s="19" t="s">
        <v>268</v>
      </c>
      <c r="C26" s="18">
        <f>225000/0.87*1.1</f>
        <v>284482.75862068968</v>
      </c>
      <c r="D26" s="18"/>
    </row>
  </sheetData>
  <mergeCells count="1">
    <mergeCell ref="F1:Q1"/>
  </mergeCells>
  <phoneticPr fontId="8" type="noConversion"/>
  <pageMargins left="0.7" right="0.7" top="0.75" bottom="0.75" header="0.3" footer="0.3"/>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832882-DF29-410B-96C2-38164916BE61}">
  <sheetPr codeName="Sheet92">
    <tabColor indexed="13"/>
  </sheetPr>
  <dimension ref="C5:E32"/>
  <sheetViews>
    <sheetView workbookViewId="0">
      <selection activeCell="D31" sqref="D31"/>
    </sheetView>
  </sheetViews>
  <sheetFormatPr defaultRowHeight="15" x14ac:dyDescent="0.25"/>
  <cols>
    <col min="1" max="1" width="4.85546875" customWidth="1"/>
    <col min="2" max="2" width="4.5703125" customWidth="1"/>
    <col min="3" max="3" width="30.5703125" customWidth="1"/>
    <col min="4" max="4" width="14.140625" customWidth="1"/>
    <col min="5" max="5" width="50.42578125" customWidth="1"/>
  </cols>
  <sheetData>
    <row r="5" spans="3:5" x14ac:dyDescent="0.25">
      <c r="C5" t="s">
        <v>9</v>
      </c>
      <c r="D5" t="s">
        <v>262</v>
      </c>
      <c r="E5" t="s">
        <v>288</v>
      </c>
    </row>
    <row r="6" spans="3:5" x14ac:dyDescent="0.25">
      <c r="C6" t="s">
        <v>951</v>
      </c>
      <c r="D6" s="30">
        <v>183000</v>
      </c>
    </row>
    <row r="7" spans="3:5" x14ac:dyDescent="0.25">
      <c r="C7" t="s">
        <v>40</v>
      </c>
      <c r="D7" s="30">
        <v>1355850</v>
      </c>
      <c r="E7" t="s">
        <v>950</v>
      </c>
    </row>
    <row r="8" spans="3:5" x14ac:dyDescent="0.25">
      <c r="C8" t="s">
        <v>29</v>
      </c>
      <c r="D8" s="30">
        <v>0</v>
      </c>
      <c r="E8" t="s">
        <v>290</v>
      </c>
    </row>
    <row r="9" spans="3:5" x14ac:dyDescent="0.25">
      <c r="C9" t="s">
        <v>258</v>
      </c>
      <c r="D9" s="30">
        <v>0</v>
      </c>
      <c r="E9" t="s">
        <v>289</v>
      </c>
    </row>
    <row r="10" spans="3:5" x14ac:dyDescent="0.25">
      <c r="C10" t="s">
        <v>250</v>
      </c>
      <c r="D10" s="30">
        <v>8995.5849889624733</v>
      </c>
    </row>
    <row r="11" spans="3:5" x14ac:dyDescent="0.25">
      <c r="C11" t="s">
        <v>34</v>
      </c>
      <c r="D11" s="30">
        <v>0</v>
      </c>
      <c r="E11" t="s">
        <v>289</v>
      </c>
    </row>
    <row r="12" spans="3:5" x14ac:dyDescent="0.25">
      <c r="C12" t="s">
        <v>31</v>
      </c>
      <c r="D12" s="30">
        <v>0</v>
      </c>
      <c r="E12" t="s">
        <v>289</v>
      </c>
    </row>
    <row r="13" spans="3:5" x14ac:dyDescent="0.25">
      <c r="C13" t="s">
        <v>50</v>
      </c>
      <c r="D13" s="30">
        <v>0</v>
      </c>
      <c r="E13" t="s">
        <v>287</v>
      </c>
    </row>
    <row r="14" spans="3:5" x14ac:dyDescent="0.25">
      <c r="C14" t="s">
        <v>45</v>
      </c>
      <c r="D14" s="30">
        <v>652800</v>
      </c>
    </row>
    <row r="15" spans="3:5" x14ac:dyDescent="0.25">
      <c r="C15" t="s">
        <v>60</v>
      </c>
      <c r="D15" s="30">
        <v>597300</v>
      </c>
    </row>
    <row r="16" spans="3:5" x14ac:dyDescent="0.25">
      <c r="C16" t="s">
        <v>952</v>
      </c>
      <c r="D16" s="30">
        <v>350000</v>
      </c>
    </row>
    <row r="17" spans="3:5" x14ac:dyDescent="0.25">
      <c r="C17" t="s">
        <v>953</v>
      </c>
      <c r="D17" s="30">
        <v>120000</v>
      </c>
    </row>
    <row r="18" spans="3:5" x14ac:dyDescent="0.25">
      <c r="C18" t="s">
        <v>270</v>
      </c>
      <c r="D18" s="30">
        <v>249000</v>
      </c>
    </row>
    <row r="19" spans="3:5" x14ac:dyDescent="0.25">
      <c r="C19" t="s">
        <v>954</v>
      </c>
      <c r="D19" s="30">
        <v>159000</v>
      </c>
    </row>
    <row r="20" spans="3:5" x14ac:dyDescent="0.25">
      <c r="C20" t="s">
        <v>955</v>
      </c>
      <c r="D20" s="30">
        <v>558000</v>
      </c>
    </row>
    <row r="21" spans="3:5" x14ac:dyDescent="0.25">
      <c r="C21" t="s">
        <v>956</v>
      </c>
      <c r="D21" s="30">
        <v>1080000</v>
      </c>
    </row>
    <row r="22" spans="3:5" x14ac:dyDescent="0.25">
      <c r="C22" t="s">
        <v>23</v>
      </c>
      <c r="D22" s="30">
        <v>2491666</v>
      </c>
      <c r="E22" t="s">
        <v>1010</v>
      </c>
    </row>
    <row r="23" spans="3:5" x14ac:dyDescent="0.25">
      <c r="C23" t="s">
        <v>47</v>
      </c>
      <c r="D23" s="30">
        <v>924800</v>
      </c>
    </row>
    <row r="24" spans="3:5" x14ac:dyDescent="0.25">
      <c r="C24" t="s">
        <v>28</v>
      </c>
      <c r="D24" s="30">
        <v>3038000</v>
      </c>
    </row>
    <row r="25" spans="3:5" x14ac:dyDescent="0.25">
      <c r="C25" t="s">
        <v>48</v>
      </c>
      <c r="D25" s="30">
        <v>789200</v>
      </c>
    </row>
    <row r="26" spans="3:5" x14ac:dyDescent="0.25">
      <c r="C26" t="s">
        <v>38</v>
      </c>
      <c r="D26" s="30">
        <v>0</v>
      </c>
      <c r="E26" t="s">
        <v>291</v>
      </c>
    </row>
    <row r="27" spans="3:5" x14ac:dyDescent="0.25">
      <c r="C27" t="s">
        <v>24</v>
      </c>
      <c r="D27" s="30">
        <v>1523500</v>
      </c>
    </row>
    <row r="28" spans="3:5" x14ac:dyDescent="0.25">
      <c r="C28" t="s">
        <v>35</v>
      </c>
      <c r="D28" s="30">
        <v>4974700</v>
      </c>
    </row>
    <row r="29" spans="3:5" x14ac:dyDescent="0.25">
      <c r="C29" t="s">
        <v>254</v>
      </c>
      <c r="D29" s="30">
        <v>612000</v>
      </c>
    </row>
    <row r="30" spans="3:5" x14ac:dyDescent="0.25">
      <c r="C30" t="s">
        <v>273</v>
      </c>
      <c r="D30" s="30">
        <v>2389500</v>
      </c>
    </row>
    <row r="31" spans="3:5" x14ac:dyDescent="0.25">
      <c r="C31" t="s">
        <v>20</v>
      </c>
      <c r="D31" s="30">
        <v>1866425</v>
      </c>
    </row>
    <row r="32" spans="3:5" x14ac:dyDescent="0.25">
      <c r="C32" t="s">
        <v>18</v>
      </c>
      <c r="D32" s="30">
        <v>0</v>
      </c>
      <c r="E32" t="s">
        <v>289</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Charts</vt:lpstr>
      </vt:variant>
      <vt:variant>
        <vt:i4>1</vt:i4>
      </vt:variant>
    </vt:vector>
  </HeadingPairs>
  <TitlesOfParts>
    <vt:vector size="10" baseType="lpstr">
      <vt:lpstr>PivotReport</vt:lpstr>
      <vt:lpstr>MonthlySummary</vt:lpstr>
      <vt:lpstr>ProjectMarginReport</vt:lpstr>
      <vt:lpstr>Руководство пользователя</vt:lpstr>
      <vt:lpstr>SpentTimeData</vt:lpstr>
      <vt:lpstr>ServiceData</vt:lpstr>
      <vt:lpstr>Config</vt:lpstr>
      <vt:lpstr>Rates</vt:lpstr>
      <vt:lpstr>ProjectPrices</vt:lpstr>
      <vt:lpstr>Chart1</vt:lpstr>
    </vt:vector>
  </TitlesOfParts>
  <Company>Wone IT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ERM report tool</dc:title>
  <dc:creator>Erofeev, Andrey</dc:creator>
  <cp:lastModifiedBy>Erofeev, Andrey</cp:lastModifiedBy>
  <dcterms:created xsi:type="dcterms:W3CDTF">2025-06-20T07:58:32Z</dcterms:created>
  <dcterms:modified xsi:type="dcterms:W3CDTF">2025-08-22T13:08:38Z</dcterms:modified>
  <cp:category>PMO tool</cp:category>
  <cp:contentStatus>Active</cp:contentStatus>
</cp:coreProperties>
</file>